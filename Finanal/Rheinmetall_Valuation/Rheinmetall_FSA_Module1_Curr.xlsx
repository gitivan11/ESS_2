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b4c90c798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ontpage" sheetId="1" r:id="R23c79291715d4149"/>
    <x:sheet xmlns:r="http://schemas.openxmlformats.org/officeDocument/2006/relationships" name="Table of contents" sheetId="2" r:id="R78a6b4e290164b20"/>
    <x:sheet xmlns:r="http://schemas.openxmlformats.org/officeDocument/2006/relationships" name="Reformation &amp; Profitability" sheetId="3" r:id="R3c1d812ed8344f9a"/>
    <x:sheet xmlns:r="http://schemas.openxmlformats.org/officeDocument/2006/relationships" name="Reported Financials" sheetId="4" r:id="Rf16b761ce001403f"/>
    <x:sheet xmlns:r="http://schemas.openxmlformats.org/officeDocument/2006/relationships" name="Input financials" sheetId="5" r:id="R761a4e9090f64569"/>
    <x:sheet xmlns:r="http://schemas.openxmlformats.org/officeDocument/2006/relationships" name="Log" sheetId="6" r:id="R771a46c0f32b44fb"/>
    <x:sheet xmlns:r="http://schemas.openxmlformats.org/officeDocument/2006/relationships" name="Decisions to revisit" sheetId="7" r:id="R7a5f1df53700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@"/>
    <x:numFmt numFmtId="202" formatCode="0.0%;[Red](0.0%);-"/>
    <x:numFmt numFmtId="203" formatCode="0.00x;[Red](0.00x);-"/>
    <x:numFmt numFmtId="204" formatCode="0.00%;[Red](0.00%);-"/>
    <x:numFmt numFmtId="205" formatCode="0.0000"/>
  </x:numFmts>
  <x:fonts count="15">
    <x:font>
      <x:sz val="11"/>
      <x:name val="Carlito"/>
    </x:font>
    <x:font>
      <x:b/>
      <x:sz val="28"/>
      <x:color rgb="FFFFFFFF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  <x:font>
      <x:b/>
      <x:sz val="12"/>
      <x:color rgb="FFFFFFFF"/>
      <x:name val="Carlito"/>
    </x:font>
    <x:font>
      <x:sz val="10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9"/>
      <x:color rgb="FF666666"/>
      <x:name val="Carlito"/>
    </x:font>
    <x:font>
      <x:i/>
      <x:sz val="9"/>
      <x:color rgb="FF666666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C63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6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808080"/>
      </x:top>
    </x:border>
    <x:border>
      <x:top style="thin">
        <x:color rgb="FF808080"/>
      </x:top>
    </x:border>
  </x:borders>
  <x:cellStyleXfs count="1">
    <x:xf numFmtId="0" fontId="0" fillId="0" borderId="0"/>
  </x:cellStyleXfs>
  <x:cellXfs count="2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8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8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11" fillId="0" borderId="0" xfId="0" applyNumberFormat="1" applyFont="1" applyFill="1" applyBorder="1"/>
    <x:xf numFmtId="200" fontId="11" fillId="0" borderId="1" xfId="0" applyNumberFormat="1" applyFont="1" applyFill="1" applyBorder="1"/>
    <x:xf numFmtId="0" fontId="12" fillId="0" borderId="0" xfId="0" applyNumberFormat="1" applyFont="1" applyFill="1" applyBorder="1"/>
    <x:xf numFmtId="200" fontId="13" fillId="0" borderId="0" xfId="0" applyNumberFormat="1" applyFont="1" applyFill="1" applyBorder="1"/>
    <x:xf numFmtId="0" fontId="12" fillId="0" borderId="1" xfId="0" applyNumberFormat="1" applyFont="1" applyFill="1" applyBorder="1"/>
    <x:xf numFmtId="200" fontId="13" fillId="0" borderId="1" xfId="0" applyNumberFormat="1" applyFont="1" applyFill="1" applyBorder="1"/>
    <x:xf numFmtId="0" fontId="12" fillId="0" borderId="4" xfId="0" applyNumberFormat="1" applyFont="1" applyFill="1" applyBorder="1"/>
    <x:xf numFmtId="200" fontId="13" fillId="0" borderId="4" xfId="0" applyNumberFormat="1" applyFont="1" applyFill="1" applyBorder="1"/>
    <x:xf numFmtId="0" fontId="12" fillId="0" borderId="5" xfId="0" applyNumberFormat="1" applyFont="1" applyFill="1" applyBorder="1"/>
    <x:xf numFmtId="200" fontId="13" fillId="0" borderId="5" xfId="0" applyNumberFormat="1" applyFont="1" applyFill="1" applyBorder="1"/>
    <x:xf numFmtId="200" fontId="11" fillId="4" borderId="0" xfId="0" applyNumberFormat="1" applyFont="1" applyFill="1" applyBorder="1"/>
    <x:xf numFmtId="200" fontId="11" fillId="4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200" fontId="14" fillId="0" borderId="0" xfId="0" applyNumberFormat="1" applyFont="1" applyFill="1" applyBorder="1"/>
    <x:xf numFmtId="200" fontId="14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0" fontId="6" fillId="0" borderId="4" xfId="0" applyNumberFormat="1" applyFont="1" applyFill="1" applyBorder="1"/>
    <x:xf numFmtId="200" fontId="6" fillId="0" borderId="5" xfId="0" applyNumberFormat="1" applyFont="1" applyFill="1" applyBorder="1"/>
    <x:xf numFmtId="0" fontId="12" fillId="4" borderId="0" xfId="0" applyNumberFormat="1" applyFont="1" applyFill="1" applyBorder="1"/>
    <x:xf numFmtId="200" fontId="13" fillId="4" borderId="0" xfId="0" applyNumberFormat="1" applyFont="1" applyFill="1" applyBorder="1"/>
    <x:xf numFmtId="0" fontId="12" fillId="4" borderId="1" xfId="0" applyNumberFormat="1" applyFont="1" applyFill="1" applyBorder="1"/>
    <x:xf numFmtId="200" fontId="13" fillId="4" borderId="1" xfId="0" applyNumberFormat="1" applyFont="1" applyFill="1" applyBorder="1"/>
    <x:xf numFmtId="0" fontId="12" fillId="4" borderId="4" xfId="0" applyNumberFormat="1" applyFont="1" applyFill="1" applyBorder="1"/>
    <x:xf numFmtId="200" fontId="13" fillId="4" borderId="4" xfId="0" applyNumberFormat="1" applyFont="1" applyFill="1" applyBorder="1"/>
    <x:xf numFmtId="0" fontId="12" fillId="4" borderId="5" xfId="0" applyNumberFormat="1" applyFont="1" applyFill="1" applyBorder="1"/>
    <x:xf numFmtId="200" fontId="13" fillId="4" borderId="5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0" fontId="14" fillId="4" borderId="0" xfId="0" applyNumberFormat="1" applyFont="1" applyFill="1" applyBorder="1"/>
    <x:xf numFmtId="200" fontId="14" fillId="4" borderId="1" xfId="0" applyNumberFormat="1" applyFont="1" applyFill="1" applyBorder="1"/>
    <x:xf numFmtId="200" fontId="6" fillId="4" borderId="0" xfId="0" applyNumberFormat="1" applyFont="1" applyFill="1" applyBorder="1"/>
    <x:xf numFmtId="200" fontId="6" fillId="4" borderId="1" xfId="0" applyNumberFormat="1" applyFont="1" applyFill="1" applyBorder="1"/>
    <x:xf numFmtId="200" fontId="6" fillId="4" borderId="4" xfId="0" applyNumberFormat="1" applyFont="1" applyFill="1" applyBorder="1"/>
    <x:xf numFmtId="200" fontId="6" fillId="4" borderId="5" xfId="0" applyNumberFormat="1" applyFont="1" applyFill="1" applyBorder="1"/>
    <x:xf numFmtId="202" fontId="14" fillId="0" borderId="0" xfId="0" applyNumberFormat="1" applyFont="1" applyFill="1" applyBorder="1"/>
    <x:xf numFmtId="202" fontId="14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2" fontId="6" fillId="0" borderId="4" xfId="0" applyNumberFormat="1" applyFont="1" applyFill="1" applyBorder="1"/>
    <x:xf numFmtId="202" fontId="6" fillId="0" borderId="5" xfId="0" applyNumberFormat="1" applyFont="1" applyFill="1" applyBorder="1"/>
    <x:xf numFmtId="202" fontId="11" fillId="0" borderId="0" xfId="0" applyNumberFormat="1" applyFont="1" applyFill="1" applyBorder="1"/>
    <x:xf numFmtId="202" fontId="11" fillId="0" borderId="1" xfId="0" applyNumberFormat="1" applyFont="1" applyFill="1" applyBorder="1"/>
    <x:xf numFmtId="203" fontId="11" fillId="0" borderId="0" xfId="0" applyNumberFormat="1" applyFont="1" applyFill="1" applyBorder="1"/>
    <x:xf numFmtId="203" fontId="11" fillId="0" borderId="1" xfId="0" applyNumberFormat="1" applyFont="1" applyFill="1" applyBorder="1"/>
    <x:xf numFmtId="203" fontId="14" fillId="0" borderId="0" xfId="0" applyNumberFormat="1" applyFont="1" applyFill="1" applyBorder="1"/>
    <x:xf numFmtId="203" fontId="14" fillId="0" borderId="1" xfId="0" applyNumberFormat="1" applyFont="1" applyFill="1" applyBorder="1"/>
    <x:xf numFmtId="202" fontId="14" fillId="4" borderId="0" xfId="0" applyNumberFormat="1" applyFont="1" applyFill="1" applyBorder="1"/>
    <x:xf numFmtId="202" fontId="14" fillId="4" borderId="1" xfId="0" applyNumberFormat="1" applyFont="1" applyFill="1" applyBorder="1"/>
    <x:xf numFmtId="202" fontId="13" fillId="0" borderId="0" xfId="0" applyNumberFormat="1" applyFont="1" applyFill="1" applyBorder="1"/>
    <x:xf numFmtId="202" fontId="13" fillId="0" borderId="1" xfId="0" applyNumberFormat="1" applyFont="1" applyFill="1" applyBorder="1"/>
    <x:xf numFmtId="202" fontId="13" fillId="0" borderId="4" xfId="0" applyNumberFormat="1" applyFont="1" applyFill="1" applyBorder="1"/>
    <x:xf numFmtId="202" fontId="13" fillId="0" borderId="5" xfId="0" applyNumberFormat="1" applyFont="1" applyFill="1" applyBorder="1"/>
    <x:xf numFmtId="202" fontId="11" fillId="4" borderId="0" xfId="0" applyNumberFormat="1" applyFont="1" applyFill="1" applyBorder="1"/>
    <x:xf numFmtId="202" fontId="11" fillId="4" borderId="1" xfId="0" applyNumberFormat="1" applyFont="1" applyFill="1" applyBorder="1"/>
    <x:xf numFmtId="204" fontId="14" fillId="0" borderId="0" xfId="0" applyNumberFormat="1" applyFont="1" applyFill="1" applyBorder="1"/>
    <x:xf numFmtId="204" fontId="14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4" fontId="6" fillId="0" borderId="4" xfId="0" applyNumberFormat="1" applyFont="1" applyFill="1" applyBorder="1"/>
    <x:xf numFmtId="204" fontId="6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6" fillId="3" borderId="2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top"/>
    </x:xf>
    <x:xf numFmtId="200" fontId="11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200" fontId="11" fillId="4" borderId="0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/>
    </x:xf>
    <x:xf numFmtId="200" fontId="6" fillId="0" borderId="4" xfId="0" applyNumberFormat="1" applyFont="1" applyFill="1" applyBorder="1" applyAlignment="1">
      <x:alignment vertical="top"/>
    </x:xf>
    <x:xf numFmtId="0" fontId="12" fillId="4" borderId="4" xfId="0" applyNumberFormat="1" applyFont="1" applyFill="1" applyBorder="1" applyAlignment="1">
      <x:alignment vertical="top"/>
    </x:xf>
    <x:xf numFmtId="200" fontId="13" fillId="4" borderId="4" xfId="0" applyNumberFormat="1" applyFont="1" applyFill="1" applyBorder="1" applyAlignment="1">
      <x:alignment vertical="top"/>
    </x:xf>
    <x:xf numFmtId="200" fontId="13" fillId="0" borderId="4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/>
    </x:xf>
    <x:xf numFmtId="200" fontId="14" fillId="0" borderId="0" xfId="0" applyNumberFormat="1" applyFont="1" applyFill="1" applyBorder="1" applyAlignment="1">
      <x:alignment vertical="top"/>
    </x:xf>
    <x:xf numFmtId="200" fontId="6" fillId="4" borderId="4" xfId="0" applyNumberFormat="1" applyFont="1" applyFill="1" applyBorder="1" applyAlignment="1">
      <x:alignment vertical="top"/>
    </x:xf>
    <x:xf numFmtId="202" fontId="6" fillId="0" borderId="4" xfId="0" applyNumberFormat="1" applyFont="1" applyFill="1" applyBorder="1" applyAlignment="1">
      <x:alignment vertical="top"/>
    </x:xf>
    <x:xf numFmtId="202" fontId="14" fillId="0" borderId="0" xfId="0" applyNumberFormat="1" applyFont="1" applyFill="1" applyBorder="1" applyAlignment="1">
      <x:alignment vertical="top"/>
    </x:xf>
    <x:xf numFmtId="202" fontId="11" fillId="0" borderId="0" xfId="0" applyNumberFormat="1" applyFont="1" applyFill="1" applyBorder="1" applyAlignment="1">
      <x:alignment vertical="top"/>
    </x:xf>
    <x:xf numFmtId="203" fontId="11" fillId="0" borderId="0" xfId="0" applyNumberFormat="1" applyFont="1" applyFill="1" applyBorder="1" applyAlignment="1">
      <x:alignment vertical="top"/>
    </x:xf>
    <x:xf numFmtId="203" fontId="14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14" fillId="4" borderId="0" xfId="0" applyNumberFormat="1" applyFont="1" applyFill="1" applyBorder="1" applyAlignment="1">
      <x:alignment vertical="top"/>
    </x:xf>
    <x:xf numFmtId="202" fontId="13" fillId="0" borderId="4" xfId="0" applyNumberFormat="1" applyFont="1" applyFill="1" applyBorder="1" applyAlignment="1">
      <x:alignment vertical="top"/>
    </x:xf>
    <x:xf numFmtId="202" fontId="11" fillId="4" borderId="0" xfId="0" applyNumberFormat="1" applyFont="1" applyFill="1" applyBorder="1" applyAlignment="1">
      <x:alignment vertical="top"/>
    </x:xf>
    <x:xf numFmtId="204" fontId="6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2" borderId="1" xfId="0" applyNumberFormat="1" applyFont="1" applyFill="1" applyBorder="1" applyAlignment="1">
      <x:alignment vertical="top"/>
    </x:xf>
    <x:xf numFmtId="0" fontId="6" fillId="3" borderId="3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vertical="top"/>
    </x:xf>
    <x:xf numFmtId="200" fontId="11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/>
    </x:xf>
    <x:xf numFmtId="200" fontId="11" fillId="4" borderId="1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0" fontId="12" fillId="4" borderId="5" xfId="0" applyNumberFormat="1" applyFont="1" applyFill="1" applyBorder="1" applyAlignment="1">
      <x:alignment vertical="top"/>
    </x:xf>
    <x:xf numFmtId="200" fontId="13" fillId="4" borderId="5" xfId="0" applyNumberFormat="1" applyFont="1" applyFill="1" applyBorder="1" applyAlignment="1">
      <x:alignment vertical="top"/>
    </x:xf>
    <x:xf numFmtId="200" fontId="13" fillId="0" borderId="5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/>
    </x:xf>
    <x:xf numFmtId="201" fontId="0" fillId="4" borderId="1" xfId="0" applyNumberFormat="1" applyFont="1" applyFill="1" applyBorder="1" applyAlignment="1">
      <x:alignment vertical="top"/>
    </x:xf>
    <x:xf numFmtId="200" fontId="14" fillId="0" borderId="1" xfId="0" applyNumberFormat="1" applyFont="1" applyFill="1" applyBorder="1" applyAlignment="1">
      <x:alignment vertical="top"/>
    </x:xf>
    <x:xf numFmtId="200" fontId="6" fillId="4" borderId="5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top"/>
    </x:xf>
    <x:xf numFmtId="202" fontId="14" fillId="0" borderId="1" xfId="0" applyNumberFormat="1" applyFont="1" applyFill="1" applyBorder="1" applyAlignment="1">
      <x:alignment vertical="top"/>
    </x:xf>
    <x:xf numFmtId="202" fontId="11" fillId="0" borderId="1" xfId="0" applyNumberFormat="1" applyFont="1" applyFill="1" applyBorder="1" applyAlignment="1">
      <x:alignment vertical="top"/>
    </x:xf>
    <x:xf numFmtId="203" fontId="11" fillId="0" borderId="1" xfId="0" applyNumberFormat="1" applyFont="1" applyFill="1" applyBorder="1" applyAlignment="1">
      <x:alignment vertical="top"/>
    </x:xf>
    <x:xf numFmtId="203" fontId="14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14" fillId="4" borderId="1" xfId="0" applyNumberFormat="1" applyFont="1" applyFill="1" applyBorder="1" applyAlignment="1">
      <x:alignment vertical="top"/>
    </x:xf>
    <x:xf numFmtId="202" fontId="13" fillId="0" borderId="5" xfId="0" applyNumberFormat="1" applyFont="1" applyFill="1" applyBorder="1" applyAlignment="1">
      <x:alignment vertical="top"/>
    </x:xf>
    <x:xf numFmtId="202" fontId="11" fillId="4" borderId="1" xfId="0" applyNumberFormat="1" applyFont="1" applyFill="1" applyBorder="1" applyAlignment="1">
      <x:alignment vertical="top"/>
    </x:xf>
    <x:xf numFmtId="204" fontId="6" fillId="0" borderId="5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 applyAlignment="1">
      <x:alignment vertical="top" wrapText="0"/>
    </x:xf>
    <x:xf numFmtId="0" fontId="6" fillId="3" borderId="2" xfId="0" applyNumberFormat="1" applyFont="1" applyFill="1" applyBorder="1" applyAlignment="1">
      <x:alignment vertical="top" wrapText="0"/>
    </x:xf>
    <x:xf numFmtId="0" fontId="7" fillId="2" borderId="0" xfId="0" applyNumberFormat="1" applyFont="1" applyFill="1" applyBorder="1" applyAlignment="1">
      <x:alignment vertical="top" wrapText="0"/>
    </x:xf>
    <x:xf numFmtId="200" fontId="11" fillId="0" borderId="0" xfId="0" applyNumberFormat="1" applyFont="1" applyFill="1" applyBorder="1" applyAlignment="1">
      <x:alignment vertical="top" wrapText="0"/>
    </x:xf>
    <x:xf numFmtId="0" fontId="9" fillId="0" borderId="0" xfId="0" applyNumberFormat="1" applyFont="1" applyFill="1" applyBorder="1" applyAlignment="1">
      <x:alignment vertical="top" wrapText="0"/>
    </x:xf>
    <x:xf numFmtId="0" fontId="0" fillId="4" borderId="0" xfId="0" applyNumberFormat="1" applyFont="1" applyFill="1" applyBorder="1" applyAlignment="1">
      <x:alignment vertical="top" wrapText="0"/>
    </x:xf>
    <x:xf numFmtId="200" fontId="11" fillId="4" borderId="0" xfId="0" applyNumberFormat="1" applyFont="1" applyFill="1" applyBorder="1" applyAlignment="1">
      <x:alignment vertical="top" wrapText="0"/>
    </x:xf>
    <x:xf numFmtId="0" fontId="9" fillId="4" borderId="0" xfId="0" applyNumberFormat="1" applyFont="1" applyFill="1" applyBorder="1" applyAlignment="1">
      <x:alignment vertical="top" wrapText="0"/>
    </x:xf>
    <x:xf numFmtId="0" fontId="12" fillId="0" borderId="4" xfId="0" applyNumberFormat="1" applyFont="1" applyFill="1" applyBorder="1" applyAlignment="1">
      <x:alignment vertical="top" wrapText="0"/>
    </x:xf>
    <x:xf numFmtId="200" fontId="6" fillId="0" borderId="4" xfId="0" applyNumberFormat="1" applyFont="1" applyFill="1" applyBorder="1" applyAlignment="1">
      <x:alignment vertical="top" wrapText="0"/>
    </x:xf>
    <x:xf numFmtId="0" fontId="12" fillId="4" borderId="4" xfId="0" applyNumberFormat="1" applyFont="1" applyFill="1" applyBorder="1" applyAlignment="1">
      <x:alignment vertical="top" wrapText="0"/>
    </x:xf>
    <x:xf numFmtId="200" fontId="13" fillId="4" borderId="4" xfId="0" applyNumberFormat="1" applyFont="1" applyFill="1" applyBorder="1" applyAlignment="1">
      <x:alignment vertical="top" wrapText="0"/>
    </x:xf>
    <x:xf numFmtId="200" fontId="13" fillId="0" borderId="4" xfId="0" applyNumberFormat="1" applyFont="1" applyFill="1" applyBorder="1" applyAlignment="1">
      <x:alignment vertical="top" wrapText="0"/>
    </x:xf>
    <x:xf numFmtId="0" fontId="10" fillId="0" borderId="0" xfId="0" applyNumberFormat="1" applyFont="1" applyFill="1" applyBorder="1" applyAlignment="1">
      <x:alignment vertical="top" wrapText="0"/>
    </x:xf>
    <x:xf numFmtId="0" fontId="6" fillId="5" borderId="0" xfId="0" applyNumberFormat="1" applyFont="1" applyFill="1" applyBorder="1" applyAlignment="1">
      <x:alignment vertical="top" wrapText="0"/>
    </x:xf>
    <x:xf numFmtId="201" fontId="0" fillId="4" borderId="0" xfId="0" applyNumberFormat="1" applyFont="1" applyFill="1" applyBorder="1" applyAlignment="1">
      <x:alignment vertical="top" wrapText="0"/>
    </x:xf>
    <x:xf numFmtId="200" fontId="14" fillId="0" borderId="0" xfId="0" applyNumberFormat="1" applyFont="1" applyFill="1" applyBorder="1" applyAlignment="1">
      <x:alignment vertical="top" wrapText="0"/>
    </x:xf>
    <x:xf numFmtId="200" fontId="6" fillId="4" borderId="4" xfId="0" applyNumberFormat="1" applyFont="1" applyFill="1" applyBorder="1" applyAlignment="1">
      <x:alignment vertical="top" wrapText="0"/>
    </x:xf>
    <x:xf numFmtId="202" fontId="6" fillId="0" borderId="4" xfId="0" applyNumberFormat="1" applyFont="1" applyFill="1" applyBorder="1" applyAlignment="1">
      <x:alignment vertical="top" wrapText="0"/>
    </x:xf>
    <x:xf numFmtId="202" fontId="14" fillId="0" borderId="0" xfId="0" applyNumberFormat="1" applyFont="1" applyFill="1" applyBorder="1" applyAlignment="1">
      <x:alignment vertical="top" wrapText="0"/>
    </x:xf>
    <x:xf numFmtId="202" fontId="11" fillId="0" borderId="0" xfId="0" applyNumberFormat="1" applyFont="1" applyFill="1" applyBorder="1" applyAlignment="1">
      <x:alignment vertical="top" wrapText="0"/>
    </x:xf>
    <x:xf numFmtId="203" fontId="11" fillId="0" borderId="0" xfId="0" applyNumberFormat="1" applyFont="1" applyFill="1" applyBorder="1" applyAlignment="1">
      <x:alignment vertical="top" wrapText="0"/>
    </x:xf>
    <x:xf numFmtId="203" fontId="14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2" fontId="14" fillId="4" borderId="0" xfId="0" applyNumberFormat="1" applyFont="1" applyFill="1" applyBorder="1" applyAlignment="1">
      <x:alignment vertical="top" wrapText="0"/>
    </x:xf>
    <x:xf numFmtId="202" fontId="13" fillId="0" borderId="4" xfId="0" applyNumberFormat="1" applyFont="1" applyFill="1" applyBorder="1" applyAlignment="1">
      <x:alignment vertical="top" wrapText="0"/>
    </x:xf>
    <x:xf numFmtId="202" fontId="11" fillId="4" borderId="0" xfId="0" applyNumberFormat="1" applyFont="1" applyFill="1" applyBorder="1" applyAlignment="1">
      <x:alignment vertical="top" wrapText="0"/>
    </x:xf>
    <x:xf numFmtId="204" fontId="6" fillId="0" borderId="4" xfId="0" applyNumberFormat="1" applyFont="1" applyFill="1" applyBorder="1" applyAlignment="1">
      <x:alignment vertical="top" wrapText="0"/>
    </x:xf>
    <x:xf numFmtId="205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2" borderId="1" xfId="0" applyNumberFormat="1" applyFont="1" applyFill="1" applyBorder="1" applyAlignment="1">
      <x:alignment vertical="top" wrapText="0"/>
    </x:xf>
    <x:xf numFmtId="0" fontId="6" fillId="3" borderId="3" xfId="0" applyNumberFormat="1" applyFont="1" applyFill="1" applyBorder="1" applyAlignment="1">
      <x:alignment vertical="top" wrapText="0"/>
    </x:xf>
    <x:xf numFmtId="0" fontId="7" fillId="2" borderId="1" xfId="0" applyNumberFormat="1" applyFont="1" applyFill="1" applyBorder="1" applyAlignment="1">
      <x:alignment vertical="top" wrapText="0"/>
    </x:xf>
    <x:xf numFmtId="200" fontId="11" fillId="0" borderId="1" xfId="0" applyNumberFormat="1" applyFont="1" applyFill="1" applyBorder="1" applyAlignment="1">
      <x:alignment vertical="top" wrapText="0"/>
    </x:xf>
    <x:xf numFmtId="0" fontId="9" fillId="0" borderId="1" xfId="0" applyNumberFormat="1" applyFont="1" applyFill="1" applyBorder="1" applyAlignment="1">
      <x:alignment vertical="top" wrapText="0"/>
    </x:xf>
    <x:xf numFmtId="0" fontId="0" fillId="4" borderId="1" xfId="0" applyNumberFormat="1" applyFont="1" applyFill="1" applyBorder="1" applyAlignment="1">
      <x:alignment vertical="top" wrapText="0"/>
    </x:xf>
    <x:xf numFmtId="200" fontId="11" fillId="4" borderId="1" xfId="0" applyNumberFormat="1" applyFont="1" applyFill="1" applyBorder="1" applyAlignment="1">
      <x:alignment vertical="top" wrapText="0"/>
    </x:xf>
    <x:xf numFmtId="0" fontId="9" fillId="4" borderId="1" xfId="0" applyNumberFormat="1" applyFont="1" applyFill="1" applyBorder="1" applyAlignment="1">
      <x:alignment vertical="top" wrapText="0"/>
    </x:xf>
    <x:xf numFmtId="0" fontId="12" fillId="0" borderId="5" xfId="0" applyNumberFormat="1" applyFont="1" applyFill="1" applyBorder="1" applyAlignment="1">
      <x:alignment vertical="top" wrapText="0"/>
    </x:xf>
    <x:xf numFmtId="200" fontId="6" fillId="0" borderId="5" xfId="0" applyNumberFormat="1" applyFont="1" applyFill="1" applyBorder="1" applyAlignment="1">
      <x:alignment vertical="top" wrapText="0"/>
    </x:xf>
    <x:xf numFmtId="0" fontId="12" fillId="4" borderId="5" xfId="0" applyNumberFormat="1" applyFont="1" applyFill="1" applyBorder="1" applyAlignment="1">
      <x:alignment vertical="top" wrapText="0"/>
    </x:xf>
    <x:xf numFmtId="200" fontId="13" fillId="4" borderId="5" xfId="0" applyNumberFormat="1" applyFont="1" applyFill="1" applyBorder="1" applyAlignment="1">
      <x:alignment vertical="top" wrapText="0"/>
    </x:xf>
    <x:xf numFmtId="200" fontId="13" fillId="0" borderId="5" xfId="0" applyNumberFormat="1" applyFont="1" applyFill="1" applyBorder="1" applyAlignment="1">
      <x:alignment vertical="top" wrapText="0"/>
    </x:xf>
    <x:xf numFmtId="0" fontId="10" fillId="0" borderId="1" xfId="0" applyNumberFormat="1" applyFont="1" applyFill="1" applyBorder="1" applyAlignment="1">
      <x:alignment vertical="top" wrapText="0"/>
    </x:xf>
    <x:xf numFmtId="0" fontId="6" fillId="5" borderId="1" xfId="0" applyNumberFormat="1" applyFont="1" applyFill="1" applyBorder="1" applyAlignment="1">
      <x:alignment vertical="top" wrapText="0"/>
    </x:xf>
    <x:xf numFmtId="201" fontId="0" fillId="4" borderId="1" xfId="0" applyNumberFormat="1" applyFont="1" applyFill="1" applyBorder="1" applyAlignment="1">
      <x:alignment vertical="top" wrapText="0"/>
    </x:xf>
    <x:xf numFmtId="200" fontId="14" fillId="0" borderId="1" xfId="0" applyNumberFormat="1" applyFont="1" applyFill="1" applyBorder="1" applyAlignment="1">
      <x:alignment vertical="top" wrapText="0"/>
    </x:xf>
    <x:xf numFmtId="200" fontId="6" fillId="4" borderId="5" xfId="0" applyNumberFormat="1" applyFont="1" applyFill="1" applyBorder="1" applyAlignment="1">
      <x:alignment vertical="top" wrapText="0"/>
    </x:xf>
    <x:xf numFmtId="202" fontId="6" fillId="0" borderId="5" xfId="0" applyNumberFormat="1" applyFont="1" applyFill="1" applyBorder="1" applyAlignment="1">
      <x:alignment vertical="top" wrapText="0"/>
    </x:xf>
    <x:xf numFmtId="202" fontId="14" fillId="0" borderId="1" xfId="0" applyNumberFormat="1" applyFont="1" applyFill="1" applyBorder="1" applyAlignment="1">
      <x:alignment vertical="top" wrapText="0"/>
    </x:xf>
    <x:xf numFmtId="202" fontId="11" fillId="0" borderId="1" xfId="0" applyNumberFormat="1" applyFont="1" applyFill="1" applyBorder="1" applyAlignment="1">
      <x:alignment vertical="top" wrapText="0"/>
    </x:xf>
    <x:xf numFmtId="203" fontId="11" fillId="0" borderId="1" xfId="0" applyNumberFormat="1" applyFont="1" applyFill="1" applyBorder="1" applyAlignment="1">
      <x:alignment vertical="top" wrapText="0"/>
    </x:xf>
    <x:xf numFmtId="203" fontId="14" fillId="0" borderId="1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14" fillId="4" borderId="1" xfId="0" applyNumberFormat="1" applyFont="1" applyFill="1" applyBorder="1" applyAlignment="1">
      <x:alignment vertical="top" wrapText="0"/>
    </x:xf>
    <x:xf numFmtId="202" fontId="13" fillId="0" borderId="5" xfId="0" applyNumberFormat="1" applyFont="1" applyFill="1" applyBorder="1" applyAlignment="1">
      <x:alignment vertical="top" wrapText="0"/>
    </x:xf>
    <x:xf numFmtId="202" fontId="11" fillId="4" borderId="1" xfId="0" applyNumberFormat="1" applyFont="1" applyFill="1" applyBorder="1" applyAlignment="1">
      <x:alignment vertical="top" wrapText="0"/>
    </x:xf>
    <x:xf numFmtId="204" fontId="6" fillId="0" borderId="5" xfId="0" applyNumberFormat="1" applyFont="1" applyFill="1" applyBorder="1" applyAlignment="1">
      <x:alignment vertical="top" wrapText="0"/>
    </x:xf>
    <x:xf numFmtId="205" fontId="0" fillId="0" borderId="1" xfId="0" applyNumberFormat="1" applyFont="1" applyFill="1" applyBorder="1" applyAlignment="1">
      <x:alignment vertical="top" wrapText="0"/>
    </x:xf>
    <x:xf numFmtId="200" fontId="8" fillId="0" borderId="0" xfId="0" applyNumberFormat="1" applyFont="1" applyFill="1" applyBorder="1" applyAlignment="1">
      <x:alignment vertical="top"/>
    </x:xf>
    <x:xf numFmtId="200" fontId="8" fillId="4" borderId="0" xfId="0" applyNumberFormat="1" applyFont="1" applyFill="1" applyBorder="1" applyAlignment="1">
      <x:alignment vertical="top"/>
    </x:xf>
    <x:xf numFmtId="200" fontId="8" fillId="0" borderId="1" xfId="0" applyNumberFormat="1" applyFont="1" applyFill="1" applyBorder="1" applyAlignment="1">
      <x:alignment vertical="top"/>
    </x:xf>
    <x:xf numFmtId="200" fontId="8" fillId="4" borderId="1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 wrapText="0"/>
    </x:xf>
    <x:xf numFmtId="200" fontId="8" fillId="4" borderId="0" xfId="0" applyNumberFormat="1" applyFont="1" applyFill="1" applyBorder="1" applyAlignment="1">
      <x:alignment vertical="top" wrapText="0"/>
    </x:xf>
    <x:xf numFmtId="200" fontId="8" fillId="0" borderId="1" xfId="0" applyNumberFormat="1" applyFont="1" applyFill="1" applyBorder="1" applyAlignment="1">
      <x:alignment vertical="top" wrapText="0"/>
    </x:xf>
    <x:xf numFmtId="200" fontId="8" fillId="4" borderId="1" xfId="0" applyNumberFormat="1" applyFont="1" applyFill="1" applyBorder="1" applyAlignment="1">
      <x:alignment vertical="top" wrapText="0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0"/>
    </x:xf>
    <x:xf numFmtId="0" fontId="0" fillId="6" borderId="1" xfId="0" applyNumberFormat="1" applyFont="1" applyFill="1" applyBorder="1" applyAlignment="1">
      <x:alignment vertical="top" wrapText="0"/>
    </x:xf>
    <x:xf numFmtId="0" fontId="12" fillId="0" borderId="0" xfId="0" applyNumberFormat="1" applyFont="1" applyFill="1" applyBorder="1" applyAlignment="1">
      <x:alignment vertical="top"/>
    </x:xf>
    <x:xf numFmtId="0" fontId="12" fillId="4" borderId="0" xfId="0" applyNumberFormat="1" applyFont="1" applyFill="1" applyBorder="1" applyAlignment="1">
      <x:alignment vertical="top"/>
    </x:xf>
    <x:xf numFmtId="0" fontId="12" fillId="0" borderId="1" xfId="0" applyNumberFormat="1" applyFont="1" applyFill="1" applyBorder="1" applyAlignment="1">
      <x:alignment vertical="top"/>
    </x:xf>
    <x:xf numFmtId="0" fontId="12" fillId="4" borderId="1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 wrapText="0"/>
    </x:xf>
    <x:xf numFmtId="0" fontId="12" fillId="0" borderId="1" xfId="0" applyNumberFormat="1" applyFont="1" applyFill="1" applyBorder="1" applyAlignment="1">
      <x:alignment vertical="top" wrapText="0"/>
    </x:xf>
    <x:xf numFmtId="0" fontId="12" fillId="4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f8f881251413e" /><Relationship Type="http://schemas.openxmlformats.org/officeDocument/2006/relationships/theme" Target="/xl/theme/theme1.xml" Id="Rb1672ba5e9fc4e2e" /><Relationship Type="http://schemas.openxmlformats.org/officeDocument/2006/relationships/sharedStrings" Target="/xl/sharedStrings.xml" Id="Rddbaf9112e8a4057" /><Relationship Type="http://schemas.openxmlformats.org/officeDocument/2006/relationships/worksheet" Target="/xl/worksheets/sheet1.xml" Id="R23c79291715d4149" /><Relationship Type="http://schemas.openxmlformats.org/officeDocument/2006/relationships/worksheet" Target="/xl/worksheets/sheet2.xml" Id="R78a6b4e290164b20" /><Relationship Type="http://schemas.openxmlformats.org/officeDocument/2006/relationships/worksheet" Target="/xl/worksheets/sheet3.xml" Id="R3c1d812ed8344f9a" /><Relationship Type="http://schemas.openxmlformats.org/officeDocument/2006/relationships/worksheet" Target="/xl/worksheets/sheet4.xml" Id="Rf16b761ce001403f" /><Relationship Type="http://schemas.openxmlformats.org/officeDocument/2006/relationships/worksheet" Target="/xl/worksheets/sheet5.xml" Id="R761a4e9090f64569" /><Relationship Type="http://schemas.openxmlformats.org/officeDocument/2006/relationships/worksheet" Target="/xl/worksheets/sheet6.xml" Id="R771a46c0f32b44fb" /><Relationship Type="http://schemas.openxmlformats.org/officeDocument/2006/relationships/worksheet" Target="/xl/worksheets/sheet7.xml" Id="R7a5f1df5370040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B7" s="2"/>
      <x:c r="C7" s="6" t="str">
        <x:v>Rheinmetall</x:v>
      </x:c>
      <x:c r="D7" s="2"/>
      <x:c r="E7" s="2"/>
      <x:c r="F7" s="2"/>
      <x:c r="G7" s="2"/>
      <x:c r="H7" s="2"/>
      <x:c r="I7" s="2"/>
      <x:c r="J7" s="2"/>
    </x:row>
    <x:row r="8"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B10" s="2"/>
      <x:c r="C10" s="10" t="str">
        <x:v>FSA - Module 1 calculation workbook</x:v>
      </x:c>
      <x:c r="D10" s="2"/>
      <x:c r="E10" s="2"/>
      <x:c r="F10" s="2"/>
      <x:c r="G10" s="2"/>
      <x:c r="H10" s="2"/>
      <x:c r="I10" s="2"/>
      <x:c r="J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B13" s="2"/>
      <x:c r="C13" s="16" t="str">
        <x:v>Recomputed from annual-report source data. The supplied Excel workbook was used only as a layout/style reference; none of its reported results were imported as final values.</x:v>
      </x:c>
      <x:c r="D13" s="16"/>
      <x:c r="E13" s="16"/>
      <x:c r="F13" s="16"/>
      <x:c r="G13" s="16"/>
      <x:c r="H13" s="16"/>
      <x:c r="I13" s="2"/>
      <x:c r="J13" s="2"/>
    </x:row>
    <x:row r="14">
      <x:c r="B14" s="2"/>
      <x:c r="C14" s="16"/>
      <x:c r="D14" s="16"/>
      <x:c r="E14" s="16"/>
      <x:c r="F14" s="16"/>
      <x:c r="G14" s="16"/>
      <x:c r="H14" s="16"/>
      <x:c r="I14" s="2"/>
      <x:c r="J14" s="2"/>
    </x:row>
    <x:row r="15">
      <x:c r="B15" s="2"/>
      <x:c r="C15" s="16"/>
      <x:c r="D15" s="16"/>
      <x:c r="E15" s="16"/>
      <x:c r="F15" s="16"/>
      <x:c r="G15" s="16"/>
      <x:c r="H15" s="16"/>
      <x:c r="I15" s="2"/>
      <x:c r="J15" s="2"/>
    </x:row>
    <x:row r="16">
      <x:c r="B16" s="2"/>
      <x:c r="C16" s="16"/>
      <x:c r="D16" s="16"/>
      <x:c r="E16" s="16"/>
      <x:c r="F16" s="16"/>
      <x:c r="G16" s="16"/>
      <x:c r="H16" s="16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0" t="str">
        <x:v>Bocconi - Group 12</x:v>
      </x:c>
      <x:c r="D19" s="2"/>
      <x:c r="E19" s="2"/>
      <x:c r="F19" s="2"/>
      <x:c r="G19" s="2"/>
      <x:c r="H19" s="2"/>
      <x:c r="I19" s="2"/>
      <x:c r="J19" s="2"/>
    </x:row>
    <x:row r="20">
      <x:c r="B20" s="2"/>
      <x:c r="C20" s="24" t="str">
        <x:v>Updated 03/10/2026</x:v>
      </x:c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mergeCells>
    <x:mergeCell ref="C7:H9"/>
    <x:mergeCell ref="C10:H11"/>
    <x:mergeCell ref="C13:H16"/>
    <x:mergeCell ref="C19:H19"/>
    <x:mergeCell ref="C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5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72" hidden="0" customWidth="1"/>
  </x:cols>
  <x:sheetData>
    <x:row r="1">
      <x:c r="A1" s="130"/>
      <x:c r="B1" s="194"/>
      <x:c r="C1" s="194"/>
      <x:c r="D1" s="194"/>
      <x:c r="E1" s="194"/>
      <x:c r="F1" s="194"/>
      <x:c r="G1" s="194"/>
      <x:c r="H1" s="194"/>
      <x:c r="I1" s="194"/>
      <x:c r="J1" s="159"/>
      <x:c r="K1" s="194"/>
      <x:c r="L1" s="194"/>
      <x:c r="M1" s="194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3" t="str">
        <x:v>x</x:v>
      </x:c>
      <x:c r="B6" s="197" t="str">
        <x:v>Start here</x:v>
      </x:c>
      <x:c r="C6" s="197"/>
      <x:c r="D6" s="197"/>
      <x:c r="E6" s="197"/>
      <x:c r="F6" s="197"/>
      <x:c r="G6" s="197"/>
      <x:c r="H6" s="197"/>
      <x:c r="I6" s="197"/>
      <x:c r="J6" s="197"/>
      <x:c r="K6" s="194"/>
      <x:c r="L6" s="194"/>
      <x:c r="M6" s="194"/>
    </x:row>
    <x:row r="7">
      <x:c r="A7" s="130"/>
      <x:c r="B7" s="194" t="str">
        <x:v>Frontpage</x:v>
      </x:c>
      <x:c r="C7" s="194"/>
      <x:c r="D7" s="194"/>
      <x:c r="E7" s="194"/>
      <x:c r="F7" s="194"/>
      <x:c r="G7" s="194"/>
      <x:c r="H7" s="194"/>
      <x:c r="I7" s="194"/>
      <x:c r="J7" s="194" t="str">
        <x:v>Cover and scope statement</x:v>
      </x:c>
      <x:c r="K7" s="194"/>
      <x:c r="L7" s="194"/>
      <x:c r="M7" s="194"/>
    </x:row>
    <x:row r="8">
      <x:c r="A8" s="130"/>
      <x:c r="B8" s="194" t="str">
        <x:v>Decisions to revisit</x:v>
      </x:c>
      <x:c r="C8" s="194"/>
      <x:c r="D8" s="194"/>
      <x:c r="E8" s="194"/>
      <x:c r="F8" s="194"/>
      <x:c r="G8" s="194"/>
      <x:c r="H8" s="194"/>
      <x:c r="I8" s="194"/>
      <x:c r="J8" s="194" t="str">
        <x:v>Open / provisional classifications highlighted in yellow</x:v>
      </x:c>
      <x:c r="K8" s="194"/>
      <x:c r="L8" s="194"/>
      <x:c r="M8" s="194"/>
    </x:row>
    <x:row r="9">
      <x:c r="A9" s="130"/>
      <x:c r="B9" s="194" t="str">
        <x:v>Log</x:v>
      </x:c>
      <x:c r="C9" s="194"/>
      <x:c r="D9" s="194"/>
      <x:c r="E9" s="194"/>
      <x:c r="F9" s="194"/>
      <x:c r="G9" s="194"/>
      <x:c r="H9" s="194"/>
      <x:c r="I9" s="194"/>
      <x:c r="J9" s="194" t="str">
        <x:v>Conflict, supervisor decision and residual-issue history</x:v>
      </x:c>
      <x:c r="K9" s="194"/>
      <x:c r="L9" s="194"/>
      <x:c r="M9" s="194"/>
    </x:row>
    <x:row r="10">
      <x:c r="A10" s="130"/>
      <x:c r="B10" s="194" t="str">
        <x:v>Reformation &amp; Profitability</x:v>
      </x:c>
      <x:c r="C10" s="194"/>
      <x:c r="D10" s="194"/>
      <x:c r="E10" s="194"/>
      <x:c r="F10" s="194"/>
      <x:c r="G10" s="194"/>
      <x:c r="H10" s="194"/>
      <x:c r="I10" s="194"/>
      <x:c r="J10" s="194" t="str">
        <x:v>Reformulated IS; three cost lenses; managerial BS; ROI; ROE; methodology review; checks</x:v>
      </x:c>
      <x:c r="K10" s="194"/>
      <x:c r="L10" s="194"/>
      <x:c r="M10" s="194"/>
    </x:row>
    <x:row r="11">
      <x:c r="A11" s="130"/>
      <x:c r="B11" s="194" t="str">
        <x:v>Reported Financials</x:v>
      </x:c>
      <x:c r="C11" s="194"/>
      <x:c r="D11" s="194"/>
      <x:c r="E11" s="194"/>
      <x:c r="F11" s="194"/>
      <x:c r="G11" s="194"/>
      <x:c r="H11" s="194"/>
      <x:c r="I11" s="194"/>
      <x:c r="J11" s="194" t="str">
        <x:v>Clean presentation of independently re-keyed reported financial data</x:v>
      </x:c>
      <x:c r="K11" s="194"/>
      <x:c r="L11" s="194"/>
      <x:c r="M11" s="194"/>
    </x:row>
    <x:row r="12">
      <x:c r="A12" s="130"/>
      <x:c r="B12" s="194" t="str">
        <x:v>Input financials</x:v>
      </x:c>
      <x:c r="C12" s="194"/>
      <x:c r="D12" s="194"/>
      <x:c r="E12" s="194"/>
      <x:c r="F12" s="194"/>
      <x:c r="G12" s="194"/>
      <x:c r="H12" s="194"/>
      <x:c r="I12" s="194"/>
      <x:c r="J12" s="194" t="str">
        <x:v>Every hardcoded input with document/page source and classification note</x:v>
      </x:c>
      <x:c r="K12" s="194"/>
      <x:c r="L12" s="194"/>
      <x:c r="M12" s="194"/>
    </x:row>
    <x:row r="13">
      <x:c r="A13" s="130"/>
      <x:c r="B13" s="194"/>
      <x:c r="C13" s="194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4"/>
    </x:row>
    <x:row r="14">
      <x:c r="A14" s="133" t="str">
        <x:v>x</x:v>
      </x:c>
      <x:c r="B14" s="197" t="str">
        <x:v>Block 1 - reformulation / profitability</x:v>
      </x:c>
      <x:c r="C14" s="197"/>
      <x:c r="D14" s="197"/>
      <x:c r="E14" s="197"/>
      <x:c r="F14" s="197"/>
      <x:c r="G14" s="197"/>
      <x:c r="H14" s="197"/>
      <x:c r="I14" s="197"/>
      <x:c r="J14" s="197"/>
      <x:c r="K14" s="194"/>
      <x:c r="L14" s="194"/>
      <x:c r="M14" s="194"/>
    </x:row>
    <x:row r="15">
      <x:c r="A15" s="130"/>
      <x:c r="B15" s="194" t="str">
        <x:v>Reformulated income statement</x:v>
      </x:c>
      <x:c r="C15" s="194" t="str">
        <x:v>R1-R17</x:v>
      </x:c>
      <x:c r="D15" s="194"/>
      <x:c r="E15" s="194"/>
      <x:c r="F15" s="194"/>
      <x:c r="G15" s="194"/>
      <x:c r="H15" s="194"/>
      <x:c r="I15" s="194"/>
      <x:c r="J15" s="194" t="str">
        <x:v>Core [A], non-core [B], financial [C], unusual items and CI</x:v>
      </x:c>
      <x:c r="K15" s="194"/>
      <x:c r="L15" s="194"/>
      <x:c r="M15" s="194"/>
    </x:row>
    <x:row r="16">
      <x:c r="A16" s="130"/>
      <x:c r="B16" s="194" t="str">
        <x:v>Operating cost structure</x:v>
      </x:c>
      <x:c r="C16" s="194" t="str">
        <x:v>C1-C22</x:v>
      </x:c>
      <x:c r="D16" s="194"/>
      <x:c r="E16" s="194"/>
      <x:c r="F16" s="194"/>
      <x:c r="G16" s="194"/>
      <x:c r="H16" s="194"/>
      <x:c r="I16" s="194"/>
      <x:c r="J16" s="194" t="str">
        <x:v>By function / Added Value &amp; EBITDA / Contribution Margin</x:v>
      </x:c>
      <x:c r="K16" s="194"/>
      <x:c r="L16" s="194"/>
      <x:c r="M16" s="194"/>
    </x:row>
    <x:row r="17">
      <x:c r="A17" s="130"/>
      <x:c r="B17" s="194" t="str">
        <x:v>Managerial balance sheet</x:v>
      </x:c>
      <x:c r="C17" s="194" t="str">
        <x:v>B1-B18</x:v>
      </x:c>
      <x:c r="D17" s="194"/>
      <x:c r="E17" s="194"/>
      <x:c r="F17" s="194"/>
      <x:c r="G17" s="194"/>
      <x:c r="H17" s="194"/>
      <x:c r="I17" s="194"/>
      <x:c r="J17" s="194" t="str">
        <x:v>NOWC, NOIC, non-operating assets, NFP, tax position, equity</x:v>
      </x:c>
      <x:c r="K17" s="194"/>
      <x:c r="L17" s="194"/>
      <x:c r="M17" s="194"/>
    </x:row>
    <x:row r="18">
      <x:c r="A18" s="130"/>
      <x:c r="B18" s="194" t="str">
        <x:v>ROI / RONA</x:v>
      </x:c>
      <x:c r="C18" s="194" t="str">
        <x:v>P1-P9</x:v>
      </x:c>
      <x:c r="D18" s="194"/>
      <x:c r="E18" s="194"/>
      <x:c r="F18" s="194"/>
      <x:c r="G18" s="194"/>
      <x:c r="H18" s="194"/>
      <x:c r="I18" s="194"/>
      <x:c r="J18" s="194" t="str">
        <x:v>Gross and net return measures; ROS / turnover / operating-liability leverage</x:v>
      </x:c>
      <x:c r="K18" s="194"/>
      <x:c r="L18" s="194"/>
      <x:c r="M18" s="194"/>
    </x:row>
    <x:row r="19">
      <x:c r="A19" s="130"/>
      <x:c r="B19" s="194" t="str">
        <x:v>ROE</x:v>
      </x:c>
      <x:c r="C19" s="194" t="str">
        <x:v>E1-E22</x:v>
      </x:c>
      <x:c r="D19" s="194"/>
      <x:c r="E19" s="194"/>
      <x:c r="F19" s="194"/>
      <x:c r="G19" s="194"/>
      <x:c r="H19" s="194"/>
      <x:c r="I19" s="194"/>
      <x:c r="J19" s="194" t="str">
        <x:v>DuPont, Modigliani-Miller and Penman</x:v>
      </x:c>
      <x:c r="K19" s="194"/>
      <x:c r="L19" s="194"/>
      <x:c r="M19" s="194"/>
    </x:row>
    <x:row r="20">
      <x:c r="A20" s="130"/>
      <x:c r="B20" s="194" t="str">
        <x:v>Ratio summary</x:v>
      </x:c>
      <x:c r="C20" s="194" t="str">
        <x:v>S1-S9</x:v>
      </x:c>
      <x:c r="D20" s="194"/>
      <x:c r="E20" s="194"/>
      <x:c r="F20" s="194"/>
      <x:c r="G20" s="194"/>
      <x:c r="H20" s="194"/>
      <x:c r="I20" s="194"/>
      <x:c r="J20" s="194" t="str">
        <x:v>Three-year ratios and descriptive material-change screen</x:v>
      </x:c>
      <x:c r="K20" s="194"/>
      <x:c r="L20" s="194"/>
      <x:c r="M20" s="194"/>
    </x:row>
    <x:row r="21">
      <x:c r="A21" s="130"/>
      <x:c r="B21" s="194" t="str">
        <x:v>Methodology review</x:v>
      </x:c>
      <x:c r="C21" s="194" t="str">
        <x:v>bottom of analysis tab</x:v>
      </x:c>
      <x:c r="D21" s="194"/>
      <x:c r="E21" s="194"/>
      <x:c r="F21" s="194"/>
      <x:c r="G21" s="194"/>
      <x:c r="H21" s="194"/>
      <x:c r="I21" s="194"/>
      <x:c r="J21" s="194" t="str">
        <x:v>Reproducible audit trail and checks</x:v>
      </x:c>
      <x:c r="K21" s="194"/>
      <x:c r="L21" s="194"/>
      <x:c r="M21" s="194"/>
    </x:row>
    <x:row r="22">
      <x:c r="A22" s="130"/>
      <x:c r="B22" s="194"/>
      <x:c r="C22" s="194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4"/>
    </x:row>
    <x:row r="23">
      <x:c r="A23" s="133" t="str">
        <x:v>x</x:v>
      </x:c>
      <x:c r="B23" s="197" t="str">
        <x:v>Workbook convention</x:v>
      </x:c>
      <x:c r="C23" s="197"/>
      <x:c r="D23" s="197"/>
      <x:c r="E23" s="197"/>
      <x:c r="F23" s="197"/>
      <x:c r="G23" s="197"/>
      <x:c r="H23" s="197"/>
      <x:c r="I23" s="197"/>
      <x:c r="J23" s="197"/>
      <x:c r="K23" s="194"/>
      <x:c r="L23" s="194"/>
      <x:c r="M23" s="194"/>
    </x:row>
    <x:row r="24">
      <x:c r="A24" s="130"/>
      <x:c r="B24" s="208" t="str">
        <x:v>Blue numbers = hardcoded sourced inputs; green numbers = links to another worksheet; black = formulas/calculations. Yellow rows/cells = unresolved or judgemental parameters requiring supervisor review. Negative amounts are red in parentheses; zeros show as dashes.</x:v>
      </x:c>
      <x:c r="C24" s="208"/>
      <x:c r="D24" s="208"/>
      <x:c r="E24" s="208"/>
      <x:c r="F24" s="208"/>
      <x:c r="G24" s="208"/>
      <x:c r="H24" s="208"/>
      <x:c r="I24" s="208"/>
      <x:c r="J24" s="208"/>
      <x:c r="K24" s="194"/>
      <x:c r="L24" s="194"/>
      <x:c r="M24" s="194"/>
    </x:row>
    <x:row r="25">
      <x:c r="A25" s="130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</x:row>
    <x:row r="26">
      <x:c r="A26" s="130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</x:row>
    <x:row r="27">
      <x:c r="A27" s="130"/>
      <x:c r="B27" s="194"/>
      <x:c r="C27" s="194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4"/>
    </x:row>
    <x:row r="28">
      <x:c r="A28" s="130"/>
      <x:c r="B28" s="194"/>
      <x:c r="C28" s="194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4"/>
    </x:row>
    <x:row r="29">
      <x:c r="A29" s="130"/>
      <x:c r="B29" s="194"/>
      <x:c r="C29" s="194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4"/>
    </x:row>
    <x:row r="30">
      <x:c r="A30" s="130"/>
      <x:c r="B30" s="194"/>
      <x:c r="C30" s="194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4"/>
    </x:row>
    <x:row r="31">
      <x:c r="A31" s="130"/>
      <x:c r="B31" s="194"/>
      <x:c r="C31" s="194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4"/>
    </x:row>
    <x:row r="32">
      <x:c r="A32" s="130"/>
      <x:c r="B32" s="194"/>
      <x:c r="C32" s="194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4"/>
    </x:row>
    <x:row r="33">
      <x:c r="A33" s="130"/>
      <x:c r="B33" s="194"/>
      <x:c r="C33" s="194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4"/>
    </x:row>
    <x:row r="34">
      <x:c r="A34" s="130"/>
      <x:c r="B34" s="194"/>
      <x:c r="C34" s="194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4"/>
    </x:row>
    <x:row r="35">
      <x:c r="A35" s="130"/>
      <x:c r="B35" s="194"/>
      <x:c r="C35" s="194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4"/>
    </x:row>
    <x:row r="36">
      <x:c r="A36" s="130"/>
      <x:c r="B36" s="194"/>
      <x:c r="C36" s="194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4"/>
    </x:row>
    <x:row r="37">
      <x:c r="A37" s="130"/>
      <x:c r="B37" s="194"/>
      <x:c r="C37" s="194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4"/>
    </x:row>
    <x:row r="38">
      <x:c r="A38" s="130"/>
      <x:c r="B38" s="194"/>
      <x:c r="C38" s="194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4"/>
    </x:row>
    <x:row r="39">
      <x:c r="A39" s="130"/>
      <x:c r="B39" s="194"/>
      <x:c r="C39" s="194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4"/>
    </x:row>
    <x:row r="40">
      <x:c r="A40" s="130"/>
      <x:c r="B40" s="194"/>
      <x:c r="C40" s="194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4"/>
    </x:row>
    <x:row r="41">
      <x:c r="A41" s="130"/>
      <x:c r="B41" s="194"/>
      <x:c r="C41" s="194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4"/>
    </x:row>
    <x:row r="42">
      <x:c r="A42" s="130"/>
      <x:c r="B42" s="194"/>
      <x:c r="C42" s="194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4"/>
    </x:row>
    <x:row r="43">
      <x:c r="A43" s="130"/>
      <x:c r="B43" s="194"/>
      <x:c r="C43" s="194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4"/>
    </x:row>
    <x:row r="44">
      <x:c r="A44" s="130"/>
      <x:c r="B44" s="194"/>
      <x:c r="C44" s="194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4"/>
    </x:row>
    <x:row r="45">
      <x:c r="A45" s="130"/>
      <x:c r="B45" s="194"/>
      <x:c r="C45" s="194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4"/>
    </x:row>
    <x:row r="46">
      <x:c r="A46" s="130"/>
      <x:c r="B46" s="194"/>
      <x:c r="C46" s="194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4"/>
    </x:row>
    <x:row r="47">
      <x:c r="A47" s="130"/>
      <x:c r="B47" s="194"/>
      <x:c r="C47" s="194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4"/>
    </x:row>
    <x:row r="48">
      <x:c r="A48" s="130"/>
      <x:c r="B48" s="194"/>
      <x:c r="C48" s="194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4"/>
    </x:row>
    <x:row r="49">
      <x:c r="A49" s="130"/>
      <x:c r="B49" s="194"/>
      <x:c r="C49" s="194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4"/>
    </x:row>
    <x:row r="50">
      <x:c r="A50" s="130"/>
      <x:c r="B50" s="194"/>
      <x:c r="C50" s="194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4"/>
    </x:row>
    <x:row r="51">
      <x:c r="A51" s="130"/>
      <x:c r="B51" s="194"/>
      <x:c r="C51" s="194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4"/>
    </x:row>
    <x:row r="52">
      <x:c r="A52" s="130"/>
      <x:c r="B52" s="194"/>
      <x:c r="C52" s="194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4"/>
    </x:row>
    <x:row r="53">
      <x:c r="A53" s="130"/>
      <x:c r="B53" s="194"/>
      <x:c r="C53" s="194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4"/>
    </x:row>
    <x:row r="54">
      <x:c r="A54" s="130"/>
      <x:c r="B54" s="194"/>
      <x:c r="C54" s="194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4"/>
    </x:row>
    <x:row r="55">
      <x:c r="A55" s="130"/>
      <x:c r="B55" s="194"/>
      <x:c r="C55" s="194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4"/>
    </x:row>
    <x:row r="56">
      <x:c r="A56" s="130"/>
      <x:c r="B56" s="194"/>
      <x:c r="C56" s="194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4"/>
    </x:row>
    <x:row r="57">
      <x:c r="A57" s="130"/>
      <x:c r="B57" s="194"/>
      <x:c r="C57" s="194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4"/>
    </x:row>
    <x:row r="58">
      <x:c r="A58" s="130"/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4"/>
    </x:row>
    <x:row r="59">
      <x:c r="A59" s="130"/>
      <x:c r="B59" s="194"/>
      <x:c r="C59" s="194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4"/>
    </x:row>
    <x:row r="60">
      <x:c r="A60" s="130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</x:row>
    <x:row r="61">
      <x:c r="A61" s="130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</x:row>
    <x:row r="62">
      <x:c r="A62" s="130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</x:row>
    <x:row r="63">
      <x:c r="A63" s="130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</x:row>
    <x:row r="64">
      <x:c r="A64" s="130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</x:row>
    <x:row r="65">
      <x:c r="A65" s="130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</x:row>
    <x:row r="66">
      <x:c r="A66" s="130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</x:row>
    <x:row r="67">
      <x:c r="A67" s="130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</x:row>
    <x:row r="68">
      <x:c r="A68" s="130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</x:row>
    <x:row r="69">
      <x:c r="A69" s="130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</x:row>
    <x:row r="70">
      <x:c r="A70" s="130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</x:row>
    <x:row r="71">
      <x:c r="A71" s="130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</x:row>
    <x:row r="72">
      <x:c r="A72" s="130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</x:row>
    <x:row r="73">
      <x:c r="A73" s="130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</x:row>
    <x:row r="74">
      <x:c r="A74" s="130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</x:row>
    <x:row r="75">
      <x:c r="A75" s="130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</x:row>
    <x:row r="76">
      <x:c r="A76" s="130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</x:row>
    <x:row r="77">
      <x:c r="A77" s="130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</x:row>
    <x:row r="78">
      <x:c r="A78" s="130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</x:row>
    <x:row r="79">
      <x:c r="A79" s="130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</x:row>
    <x:row r="80">
      <x:c r="A80" s="130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</x:row>
    <x:row r="81">
      <x:c r="A81" s="130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</x:row>
    <x:row r="82">
      <x:c r="A82" s="130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</x:row>
    <x:row r="83">
      <x:c r="A83" s="130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</x:row>
    <x:row r="84">
      <x:c r="A84" s="130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</x:row>
    <x:row r="85">
      <x:c r="A85" s="130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</x:row>
    <x:row r="86">
      <x:c r="A86" s="130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</x:row>
    <x:row r="87">
      <x:c r="A87" s="130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</x:row>
    <x:row r="88">
      <x:c r="A88" s="130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</x:row>
    <x:row r="89">
      <x:c r="A89" s="130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</x:row>
    <x:row r="90">
      <x:c r="A90" s="130"/>
      <x:c r="B90" s="194"/>
      <x:c r="C90" s="194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4"/>
    </x:row>
    <x:row r="91">
      <x:c r="A91" s="130"/>
      <x:c r="B91" s="194"/>
      <x:c r="C91" s="194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4"/>
    </x:row>
    <x:row r="92">
      <x:c r="A92" s="130"/>
      <x:c r="B92" s="194"/>
      <x:c r="C92" s="194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4"/>
    </x:row>
    <x:row r="93">
      <x:c r="A93" s="130"/>
      <x:c r="B93" s="194"/>
      <x:c r="C93" s="194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4"/>
    </x:row>
    <x:row r="94">
      <x:c r="A94" s="130"/>
      <x:c r="B94" s="194"/>
      <x:c r="C94" s="194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4"/>
    </x:row>
    <x:row r="95">
      <x:c r="A95" s="130"/>
      <x:c r="B95" s="194"/>
      <x:c r="C95" s="194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4"/>
    </x:row>
    <x:row r="96">
      <x:c r="A96" s="130"/>
      <x:c r="B96" s="194"/>
      <x:c r="C96" s="194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4"/>
    </x:row>
    <x:row r="97">
      <x:c r="A97" s="130"/>
      <x:c r="B97" s="194"/>
      <x:c r="C97" s="194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4"/>
    </x:row>
    <x:row r="98">
      <x:c r="A98" s="130"/>
      <x:c r="B98" s="194"/>
      <x:c r="C98" s="194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4"/>
    </x:row>
    <x:row r="99">
      <x:c r="A99" s="130"/>
      <x:c r="B99" s="194"/>
      <x:c r="C99" s="194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4"/>
    </x:row>
    <x:row r="100">
      <x:c r="A100" s="130"/>
      <x:c r="B100" s="194"/>
      <x:c r="C100" s="194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4"/>
    </x:row>
    <x:row r="101">
      <x:c r="A101" s="130"/>
      <x:c r="B101" s="194"/>
      <x:c r="C101" s="194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4"/>
    </x:row>
    <x:row r="102">
      <x:c r="A102" s="130"/>
      <x:c r="B102" s="194"/>
      <x:c r="C102" s="194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4"/>
    </x:row>
    <x:row r="103">
      <x:c r="A103" s="130"/>
      <x:c r="B103" s="194"/>
      <x:c r="C103" s="194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4"/>
    </x:row>
    <x:row r="104">
      <x:c r="A104" s="130"/>
      <x:c r="B104" s="194"/>
      <x:c r="C104" s="194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4"/>
    </x:row>
    <x:row r="105">
      <x:c r="A105" s="130"/>
      <x:c r="B105" s="194"/>
      <x:c r="C105" s="194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4"/>
    </x:row>
    <x:row r="106">
      <x:c r="A106" s="130"/>
      <x:c r="B106" s="194"/>
      <x:c r="C106" s="194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4"/>
    </x:row>
    <x:row r="107">
      <x:c r="A107" s="130"/>
      <x:c r="B107" s="194"/>
      <x:c r="C107" s="194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4"/>
    </x:row>
    <x:row r="108">
      <x:c r="A108" s="130"/>
      <x:c r="B108" s="194"/>
      <x:c r="C108" s="194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4"/>
    </x:row>
    <x:row r="109">
      <x:c r="A109" s="130"/>
      <x:c r="B109" s="194"/>
      <x:c r="C109" s="194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4"/>
    </x:row>
    <x:row r="110">
      <x:c r="A110" s="130"/>
      <x:c r="B110" s="194"/>
      <x:c r="C110" s="194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4"/>
    </x:row>
    <x:row r="111">
      <x:c r="A111" s="130"/>
      <x:c r="B111" s="194"/>
      <x:c r="C111" s="194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4"/>
    </x:row>
    <x:row r="112">
      <x:c r="A112" s="130"/>
      <x:c r="B112" s="194"/>
      <x:c r="C112" s="194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4"/>
    </x:row>
    <x:row r="113">
      <x:c r="A113" s="130"/>
      <x:c r="B113" s="194"/>
      <x:c r="C113" s="194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4"/>
    </x:row>
    <x:row r="114">
      <x:c r="A114" s="130"/>
      <x:c r="B114" s="194"/>
      <x:c r="C114" s="194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4"/>
    </x:row>
    <x:row r="115">
      <x:c r="A115" s="130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/>
      <x:c r="B117" s="194"/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</x:row>
    <x:row r="118">
      <x:c r="A118" s="130"/>
      <x:c r="B118" s="194"/>
      <x:c r="C118" s="194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4"/>
    </x:row>
    <x:row r="119">
      <x:c r="A119" s="130"/>
      <x:c r="B119" s="194"/>
      <x:c r="C119" s="194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4"/>
    </x:row>
    <x:row r="120">
      <x:c r="A120" s="130"/>
      <x:c r="B120" s="194"/>
      <x:c r="C120" s="194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4"/>
    </x:row>
    <x:row r="121">
      <x:c r="A121" s="130"/>
      <x:c r="B121" s="194"/>
      <x:c r="C121" s="194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4"/>
    </x:row>
    <x:row r="122">
      <x:c r="A122" s="130"/>
      <x:c r="B122" s="194"/>
      <x:c r="C122" s="194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4"/>
    </x:row>
    <x:row r="123">
      <x:c r="A123" s="130"/>
      <x:c r="B123" s="194"/>
      <x:c r="C123" s="194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4"/>
    </x:row>
    <x:row r="124">
      <x:c r="A124" s="130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</x:row>
    <x:row r="125">
      <x:c r="A125" s="130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</x:row>
    <x:row r="126">
      <x:c r="A126" s="130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0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</x:row>
    <x:row r="130">
      <x:c r="A130" s="130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</x:row>
    <x:row r="131">
      <x:c r="A131" s="130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</x:row>
    <x:row r="132">
      <x:c r="A132" s="130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</x:row>
    <x:row r="133">
      <x:c r="A133" s="130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</x:row>
    <x:row r="134">
      <x:c r="A134" s="130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</x:row>
    <x:row r="135">
      <x:c r="A135" s="130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</x:row>
    <x:row r="136">
      <x:c r="A136" s="130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</x:row>
    <x:row r="137">
      <x:c r="A137" s="130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</x:row>
    <x:row r="138">
      <x:c r="A138" s="130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0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</x:row>
    <x:row r="142">
      <x:c r="A142" s="130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</x:row>
    <x:row r="143">
      <x:c r="A143" s="130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</x:row>
    <x:row r="144">
      <x:c r="A144" s="130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</x:row>
    <x:row r="145">
      <x:c r="A145" s="130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</x:row>
    <x:row r="146">
      <x:c r="A146" s="130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</x:row>
    <x:row r="147">
      <x:c r="A147" s="130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</x:row>
    <x:row r="148">
      <x:c r="A148" s="130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0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</x:row>
    <x:row r="151">
      <x:c r="A151" s="130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  <x:mergeCell ref="B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56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2" hidden="0" customWidth="1"/>
    <x:col min="9" max="9" width="28" hidden="0" customWidth="1"/>
    <x:col min="10" max="10" width="68" hidden="0" customWidth="1"/>
  </x:cols>
  <x:sheetData>
    <x:row r="1">
      <x:c r="A1" s="130"/>
      <x:c r="B1" s="194"/>
      <x:c r="C1" s="194"/>
      <x:c r="D1" s="194"/>
      <x:c r="E1" s="194"/>
      <x:c r="F1" s="194"/>
      <x:c r="G1" s="159"/>
      <x:c r="H1" s="159"/>
      <x:c r="I1" s="159"/>
      <x:c r="J1" s="159"/>
      <x:c r="K1" s="194"/>
      <x:c r="L1" s="194"/>
      <x:c r="M1" s="194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0"/>
      <x:c r="B6" s="196" t="str">
        <x:v>(€ million unless stated)</x:v>
      </x:c>
      <x:c r="C6" s="196"/>
      <x:c r="D6" s="196" t="str">
        <x:v>2023A</x:v>
      </x:c>
      <x:c r="E6" s="196" t="str">
        <x:v>2024A</x:v>
      </x:c>
      <x:c r="F6" s="196" t="str">
        <x:v>2025A</x:v>
      </x:c>
      <x:c r="G6" s="196" t="str">
        <x:v>Method / formula</x:v>
      </x:c>
      <x:c r="H6" s="196" t="str">
        <x:v>Status</x:v>
      </x:c>
      <x:c r="I6" s="196" t="str">
        <x:v>Source / course basis</x:v>
      </x:c>
      <x:c r="J6" s="196" t="str">
        <x:v>Comment / interpretation</x:v>
      </x:c>
      <x:c r="K6" s="194"/>
      <x:c r="L6" s="194"/>
      <x:c r="M6" s="194"/>
    </x:row>
    <x:row r="7">
      <x:c r="A7" s="130"/>
      <x:c r="B7" s="194"/>
      <x:c r="C7" s="194"/>
      <x:c r="D7" s="194"/>
      <x:c r="E7" s="194"/>
      <x:c r="F7" s="194"/>
      <x:c r="G7" s="194"/>
      <x:c r="H7" s="194"/>
      <x:c r="I7" s="194"/>
      <x:c r="J7" s="194"/>
      <x:c r="K7" s="194"/>
      <x:c r="L7" s="194"/>
      <x:c r="M7" s="194"/>
    </x:row>
    <x:row r="8">
      <x:c r="A8" s="130"/>
      <x:c r="B8" s="194"/>
      <x:c r="C8" s="194"/>
      <x:c r="D8" s="194"/>
      <x:c r="E8" s="194"/>
      <x:c r="F8" s="194"/>
      <x:c r="G8" s="194"/>
      <x:c r="H8" s="194"/>
      <x:c r="I8" s="194"/>
      <x:c r="J8" s="194"/>
      <x:c r="K8" s="194"/>
      <x:c r="L8" s="194"/>
      <x:c r="M8" s="194"/>
    </x:row>
    <x:row r="9">
      <x:c r="A9" s="130"/>
      <x:c r="B9" s="194"/>
      <x:c r="C9" s="194"/>
      <x:c r="D9" s="194"/>
      <x:c r="E9" s="194"/>
      <x:c r="F9" s="194"/>
      <x:c r="G9" s="194"/>
      <x:c r="H9" s="194"/>
      <x:c r="I9" s="194"/>
      <x:c r="J9" s="194"/>
      <x:c r="K9" s="194"/>
      <x:c r="L9" s="194"/>
      <x:c r="M9" s="194"/>
    </x:row>
    <x:row r="10">
      <x:c r="A10" s="133" t="str">
        <x:v>x</x:v>
      </x:c>
      <x:c r="B10" s="197" t="str">
        <x:v>Reformulated Income Statement</x:v>
      </x:c>
      <x:c r="C10" s="197"/>
      <x:c r="D10" s="197"/>
      <x:c r="E10" s="197"/>
      <x:c r="F10" s="197"/>
      <x:c r="G10" s="197"/>
      <x:c r="H10" s="197"/>
      <x:c r="I10" s="197"/>
      <x:c r="J10" s="197"/>
      <x:c r="K10" s="194"/>
      <x:c r="L10" s="194"/>
      <x:c r="M10" s="194"/>
    </x:row>
    <x:row r="11">
      <x:c r="A11" s="130"/>
      <x:c r="B11" s="194" t="str">
        <x:v>Net revenues</x:v>
      </x:c>
      <x:c r="C11" s="194" t="str">
        <x:v>R1</x:v>
      </x:c>
      <x:c r="D11" s="198" t="n">
        <x:f>'Reported Financials'!D11</x:f>
        <x:v>7176</x:v>
      </x:c>
      <x:c r="E11" s="198" t="n">
        <x:f>'Reported Financials'!E11</x:f>
        <x:v>9751</x:v>
      </x:c>
      <x:c r="F11" s="198" t="n">
        <x:f>'Reported Financials'!F11</x:f>
        <x:v>9935</x:v>
      </x:c>
      <x:c r="G11" s="199" t="str">
        <x:v>Reported sales</x:v>
      </x:c>
      <x:c r="H11" s="199" t="str"/>
      <x:c r="I11" s="199" t="str">
        <x:v>Session 2; annual-report face statements</x:v>
      </x:c>
      <x:c r="J11" s="199" t="str"/>
      <x:c r="K11" s="194"/>
      <x:c r="L11" s="194"/>
      <x:c r="M11" s="194"/>
    </x:row>
    <x:row r="12">
      <x:c r="A12" s="130"/>
      <x:c r="B12" s="200" t="str">
        <x:v>Recurring result from equity-method investments</x:v>
      </x:c>
      <x:c r="C12" s="200" t="str">
        <x:v>R2</x:v>
      </x:c>
      <x:c r="D12" s="201" t="n">
        <x:f>'Reported Financials'!D18-'Reported Financials'!D107</x:f>
        <x:v>4</x:v>
      </x:c>
      <x:c r="E12" s="201" t="n">
        <x:f>'Reported Financials'!E18-'Reported Financials'!E107</x:f>
        <x:v>-37</x:v>
      </x:c>
      <x:c r="F12" s="201" t="n">
        <x:f>'Reported Financials'!F18-'Reported Financials'!F107</x:f>
        <x:v>1</x:v>
      </x:c>
      <x:c r="G12" s="202" t="str">
        <x:v>Reported equity-method result less identified disposal gain; PPA remains recurring.</x:v>
      </x:c>
      <x:c r="H12" s="202" t="str">
        <x:v>Analyst reformulation</x:v>
      </x:c>
      <x:c r="I12" s="202" t="str">
        <x:v>Session 2 non-core operating income; annual-report notes</x:v>
      </x:c>
      <x:c r="J12" s="202" t="str">
        <x:v>2025 AIM disposal gain removed as unusual; 4iG PPA effects added back.</x:v>
      </x:c>
      <x:c r="K12" s="194"/>
      <x:c r="L12" s="194"/>
      <x:c r="M12" s="194"/>
    </x:row>
    <x:row r="13">
      <x:c r="A13" s="130"/>
      <x:c r="B13" s="200" t="str">
        <x:v>Recurring other financial result (classified non-core operating)</x:v>
      </x:c>
      <x:c r="C13" s="200" t="str">
        <x:v>R3</x:v>
      </x:c>
      <x:c r="D13" s="201" t="n">
        <x:f>'Reported Financials'!D19-'Reported Financials'!D109</x:f>
        <x:v>-11</x:v>
      </x:c>
      <x:c r="E13" s="201" t="n">
        <x:f>'Reported Financials'!E19-'Reported Financials'!E109</x:f>
        <x:v>-10</x:v>
      </x:c>
      <x:c r="F13" s="201" t="n">
        <x:f>'Reported Financials'!F19-'Reported Financials'!F109</x:f>
        <x:v>-22</x:v>
      </x:c>
      <x:c r="G13" s="202" t="str">
        <x:v>Reported other financial result less identified fair-value step-up gain.</x:v>
      </x:c>
      <x:c r="H13" s="202" t="str">
        <x:v>Analyst classification</x:v>
      </x:c>
      <x:c r="I13" s="202" t="str">
        <x:v>Session 2: non-core operating vs financing distinction</x:v>
      </x:c>
      <x:c r="J13" s="202" t="str">
        <x:v>Classified as non-core operating because it relates to non-core investments/valuation rather than interest-bearing financing.</x:v>
      </x:c>
      <x:c r="K13" s="194"/>
      <x:c r="L13" s="194"/>
      <x:c r="M13" s="194"/>
    </x:row>
    <x:row r="14">
      <x:c r="A14" s="130"/>
      <x:c r="B14" s="203" t="str">
        <x:v>Non-core operating income [B]</x:v>
      </x:c>
      <x:c r="C14" s="203" t="str">
        <x:v>R4</x:v>
      </x:c>
      <x:c r="D14" s="204" t="n">
        <x:f>D12+D13</x:f>
        <x:v>-7</x:v>
      </x:c>
      <x:c r="E14" s="204" t="n">
        <x:f>E12+E13</x:f>
        <x:v>-47</x:v>
      </x:c>
      <x:c r="F14" s="204" t="n">
        <x:f>F12+F13</x:f>
        <x:v>-21</x:v>
      </x:c>
      <x:c r="G14" s="199" t="str">
        <x:v>R2 + R3</x:v>
      </x:c>
      <x:c r="H14" s="199" t="str"/>
      <x:c r="I14" s="199" t="str">
        <x:v>Session 2 slide 3</x:v>
      </x:c>
      <x:c r="J14" s="199" t="str"/>
      <x:c r="K14" s="194"/>
      <x:c r="L14" s="194"/>
      <x:c r="M14" s="194"/>
    </x:row>
    <x:row r="15">
      <x:c r="A15" s="130"/>
      <x:c r="B15" s="205" t="str">
        <x:v>Recurring operating income [A+B]</x:v>
      </x:c>
      <x:c r="C15" s="205" t="str">
        <x:v>R5</x:v>
      </x:c>
      <x:c r="D15" s="206" t="n">
        <x:f>'Reported Financials'!D20-D19</x:f>
        <x:v>843</x:v>
      </x:c>
      <x:c r="E15" s="206" t="n">
        <x:f>'Reported Financials'!E20-E19</x:f>
        <x:v>1361</x:v>
      </x:c>
      <x:c r="F15" s="206" t="n">
        <x:f>'Reported Financials'!F20-F19</x:f>
        <x:v>1642</x:v>
      </x:c>
      <x:c r="G15" s="202" t="str">
        <x:v>Reported EBIT less identified unusual items. Company 'operating result' is memo only.</x:v>
      </x:c>
      <x:c r="H15" s="202" t="str">
        <x:v>Instructor-feedback correction</x:v>
      </x:c>
      <x:c r="I15" s="202" t="str">
        <x:v>AR management-report operating-result reconciliation; Session 2 unusual-item criteria</x:v>
      </x:c>
      <x:c r="J15" s="202" t="str">
        <x:v>2025 management did not label AIM disposal gain as special; the course treatment here does.</x:v>
      </x:c>
      <x:c r="K15" s="194"/>
      <x:c r="L15" s="194"/>
      <x:c r="M15" s="194"/>
    </x:row>
    <x:row r="16">
      <x:c r="A16" s="130"/>
      <x:c r="B16" s="203" t="str">
        <x:v>Core operating income [A]</x:v>
      </x:c>
      <x:c r="C16" s="203" t="str">
        <x:v>R6</x:v>
      </x:c>
      <x:c r="D16" s="204" t="n">
        <x:f>D15-D14</x:f>
        <x:v>850</x:v>
      </x:c>
      <x:c r="E16" s="204" t="n">
        <x:f>E15-E14</x:f>
        <x:v>1408</x:v>
      </x:c>
      <x:c r="F16" s="204" t="n">
        <x:f>F15-F14</x:f>
        <x:v>1663</x:v>
      </x:c>
      <x:c r="G16" s="199" t="str">
        <x:v>Recurring operating income [A+B] less recurring non-core [B].</x:v>
      </x:c>
      <x:c r="H16" s="199" t="str">
        <x:v>Instructor-feedback correction</x:v>
      </x:c>
      <x:c r="I16" s="199" t="str">
        <x:v>Session 2 slide 3</x:v>
      </x:c>
      <x:c r="J16" s="199" t="str"/>
      <x:c r="K16" s="194"/>
      <x:c r="L16" s="194"/>
      <x:c r="M16" s="194"/>
    </x:row>
    <x:row r="17">
      <x:c r="A17" s="130"/>
      <x:c r="B17" s="203" t="str">
        <x:v>Net financial income / (expenses) [C]</x:v>
      </x:c>
      <x:c r="C17" s="203" t="str">
        <x:v>R7</x:v>
      </x:c>
      <x:c r="D17" s="207" t="n">
        <x:f>'Reported Financials'!D21+'Reported Financials'!D22</x:f>
        <x:v>-82</x:v>
      </x:c>
      <x:c r="E17" s="207" t="n">
        <x:f>'Reported Financials'!E21+'Reported Financials'!E22</x:f>
        <x:v>-116</x:v>
      </x:c>
      <x:c r="F17" s="207" t="n">
        <x:f>'Reported Financials'!F21+'Reported Financials'!F22</x:f>
        <x:v>-112</x:v>
      </x:c>
      <x:c r="G17" s="199" t="str">
        <x:v>Interest income + interest expense</x:v>
      </x:c>
      <x:c r="H17" s="199" t="str"/>
      <x:c r="I17" s="199" t="str">
        <x:v>Session 2 slide 3</x:v>
      </x:c>
      <x:c r="J17" s="199" t="str"/>
      <x:c r="K17" s="194"/>
      <x:c r="L17" s="194"/>
      <x:c r="M17" s="194"/>
    </x:row>
    <x:row r="18">
      <x:c r="A18" s="130"/>
      <x:c r="B18" s="203" t="str">
        <x:v>Earnings before unusual items and taxes</x:v>
      </x:c>
      <x:c r="C18" s="203" t="str">
        <x:v>R8</x:v>
      </x:c>
      <x:c r="D18" s="204" t="n">
        <x:f>D15+D17</x:f>
        <x:v>761</x:v>
      </x:c>
      <x:c r="E18" s="204" t="n">
        <x:f>E15+E17</x:f>
        <x:v>1245</x:v>
      </x:c>
      <x:c r="F18" s="204" t="n">
        <x:f>F15+F17</x:f>
        <x:v>1530</x:v>
      </x:c>
      <x:c r="G18" s="199" t="str">
        <x:v>[A+B] + [C]</x:v>
      </x:c>
      <x:c r="H18" s="199" t="str"/>
      <x:c r="I18" s="199" t="str">
        <x:v>Session 2 slide 3</x:v>
      </x:c>
      <x:c r="J18" s="199" t="str"/>
      <x:c r="K18" s="194"/>
      <x:c r="L18" s="194"/>
      <x:c r="M18" s="194"/>
    </x:row>
    <x:row r="19">
      <x:c r="A19" s="130"/>
      <x:c r="B19" s="205" t="str">
        <x:v>Unusual items - continuing operations</x:v>
      </x:c>
      <x:c r="C19" s="205" t="str">
        <x:v>R9</x:v>
      </x:c>
      <x:c r="D19" s="206" t="n">
        <x:f>'Reported Financials'!D118+'Reported Financials'!D119+'Reported Financials'!D120+'Reported Financials'!D107+'Reported Financials'!D109+'Reported Financials'!D122</x:f>
        <x:v>54</x:v>
      </x:c>
      <x:c r="E19" s="206" t="n">
        <x:f>'Reported Financials'!E118+'Reported Financials'!E119+'Reported Financials'!E120+'Reported Financials'!E107+'Reported Financials'!E109+'Reported Financials'!E122</x:f>
        <x:v>-16</x:v>
      </x:c>
      <x:c r="F19" s="206" t="n">
        <x:f>'Reported Financials'!F118+'Reported Financials'!F119+'Reported Financials'!F120+'Reported Financials'!F107+'Reported Financials'!F109+'Reported Financials'!F122</x:f>
        <x:v>42</x:v>
      </x:c>
      <x:c r="G19" s="202" t="str">
        <x:v>Identified unusual items only: impairment/reversal, disposal/FV gains, acquisition transaction costs, and rounding bridge. Restructuring is recurring; PPA remains in recurring D&amp;A.</x:v>
      </x:c>
      <x:c r="H19" s="202" t="str">
        <x:v>Instructor-feedback correction</x:v>
      </x:c>
      <x:c r="I19" s="202" t="str">
        <x:v>Session 2 unusual items; AR management special/PPA reconciliation</x:v>
      </x:c>
      <x:c r="J19" s="202" t="str">
        <x:v>Unusual-item total excludes recurring restructuring and PPA. It includes only the separately identified impairment/reversal, disposal/FV, acquisition-cost and rounding items shown in the audit inputs.</x:v>
      </x:c>
      <x:c r="K19" s="194"/>
      <x:c r="L19" s="194"/>
      <x:c r="M19" s="194"/>
    </x:row>
    <x:row r="20">
      <x:c r="A20" s="130"/>
      <x:c r="B20" s="194" t="str">
        <x:v>  Memo: company management special items (not used wholesale)</x:v>
      </x:c>
      <x:c r="C20" s="194" t="str">
        <x:v>U1</x:v>
      </x:c>
      <x:c r="D20" s="198" t="n">
        <x:f>'Reported Financials'!D106</x:f>
        <x:v>49</x:v>
      </x:c>
      <x:c r="E20" s="198" t="n">
        <x:f>'Reported Financials'!E106</x:f>
        <x:v>-9</x:v>
      </x:c>
      <x:c r="F20" s="198" t="n">
        <x:f>'Reported Financials'!F106</x:f>
        <x:v>9</x:v>
      </x:c>
      <x:c r="G20" s="199" t="str">
        <x:v>Memo only; decomposed items are classified individually.</x:v>
      </x:c>
      <x:c r="H20" s="199" t="str"/>
      <x:c r="I20" s="199" t="str">
        <x:v>AR management reports</x:v>
      </x:c>
      <x:c r="J20" s="199" t="str"/>
      <x:c r="K20" s="194"/>
      <x:c r="L20" s="194"/>
      <x:c r="M20" s="194"/>
    </x:row>
    <x:row r="21">
      <x:c r="A21" s="130"/>
      <x:c r="B21" s="200" t="str">
        <x:v>  Memo: PPA effects (included in recurring D&amp;A)</x:v>
      </x:c>
      <x:c r="C21" s="200" t="str">
        <x:v>U2</x:v>
      </x:c>
      <x:c r="D21" s="201" t="n">
        <x:f>'Reported Financials'!D105</x:f>
        <x:v>-70</x:v>
      </x:c>
      <x:c r="E21" s="201" t="n">
        <x:f>'Reported Financials'!E105</x:f>
        <x:v>-125</x:v>
      </x:c>
      <x:c r="F21" s="201" t="n">
        <x:f>'Reported Financials'!F105</x:f>
        <x:v>-167</x:v>
      </x:c>
      <x:c r="G21" s="202" t="str">
        <x:v>Memo only. PPA amortization/depreciation remains in recurring operating costs.</x:v>
      </x:c>
      <x:c r="H21" s="202" t="str">
        <x:v>Resolved by feedback</x:v>
      </x:c>
      <x:c r="I21" s="202" t="str">
        <x:v>AR management reports</x:v>
      </x:c>
      <x:c r="J21" s="202" t="str">
        <x:v>PPA is shown as a memo only and remains inside recurring D&amp;A; it is not used as an unusual-item adjustment.</x:v>
      </x:c>
      <x:c r="K21" s="194"/>
      <x:c r="L21" s="194"/>
      <x:c r="M21" s="194"/>
    </x:row>
    <x:row r="22">
      <x:c r="A22" s="130"/>
      <x:c r="B22" s="200" t="str">
        <x:v>  Memo: analyst-added unusual disposal gain</x:v>
      </x:c>
      <x:c r="C22" s="200" t="str">
        <x:v>U3</x:v>
      </x:c>
      <x:c r="D22" s="201" t="n">
        <x:f>0</x:f>
        <x:v>0</x:v>
      </x:c>
      <x:c r="E22" s="201" t="n">
        <x:f>0</x:f>
        <x:v>0</x:v>
      </x:c>
      <x:c r="F22" s="201" t="n">
        <x:f>'Reported Financials'!F107</x:f>
        <x:v>46</x:v>
      </x:c>
      <x:c r="G22" s="202" t="str">
        <x:v>2025 AIM disposal gain</x:v>
      </x:c>
      <x:c r="H22" s="202" t="str">
        <x:v>Resolved by feedback</x:v>
      </x:c>
      <x:c r="I22" s="202" t="str">
        <x:v>AR2025 Note 22 p.229; Session 2 unusual-item criteria</x:v>
      </x:c>
      <x:c r="J22" s="202" t="str"/>
      <x:c r="K22" s="194"/>
      <x:c r="L22" s="194"/>
      <x:c r="M22" s="194"/>
    </x:row>
    <x:row r="23">
      <x:c r="A23" s="130"/>
      <x:c r="B23" s="203" t="str">
        <x:v>Earnings before taxes - continuing operations</x:v>
      </x:c>
      <x:c r="C23" s="203" t="str">
        <x:v>R10</x:v>
      </x:c>
      <x:c r="D23" s="204" t="n">
        <x:f>D18+D19</x:f>
        <x:v>815</x:v>
      </x:c>
      <x:c r="E23" s="204" t="n">
        <x:f>E18+E19</x:f>
        <x:v>1229</x:v>
      </x:c>
      <x:c r="F23" s="204" t="n">
        <x:f>F18+F19</x:f>
        <x:v>1572</x:v>
      </x:c>
      <x:c r="G23" s="199" t="str">
        <x:v>EBUIT + unusual items</x:v>
      </x:c>
      <x:c r="H23" s="199" t="str"/>
      <x:c r="I23" s="199" t="str">
        <x:v>Reconciles to reported EBT</x:v>
      </x:c>
      <x:c r="J23" s="199" t="str"/>
      <x:c r="K23" s="194"/>
      <x:c r="L23" s="194"/>
      <x:c r="M23" s="194"/>
    </x:row>
    <x:row r="24">
      <x:c r="A24" s="130"/>
      <x:c r="B24" s="194" t="str">
        <x:v>Discontinued operations before tax (unusual)</x:v>
      </x:c>
      <x:c r="C24" s="194" t="str">
        <x:v>R11</x:v>
      </x:c>
      <x:c r="D24" s="198" t="n">
        <x:f>'Reported Financials'!D110</x:f>
        <x:v>-59</x:v>
      </x:c>
      <x:c r="E24" s="198" t="n">
        <x:f>'Reported Financials'!E110</x:f>
        <x:v>-78</x:v>
      </x:c>
      <x:c r="F24" s="198" t="n">
        <x:f>'Reported Financials'!F110</x:f>
        <x:v>-315</x:v>
      </x:c>
      <x:c r="G24" s="199" t="str">
        <x:v>IFRS 5 discontinued operations</x:v>
      </x:c>
      <x:c r="H24" s="199" t="str"/>
      <x:c r="I24" s="199" t="str">
        <x:v>Session 2 unusual-items logic; AR Notes 8</x:v>
      </x:c>
      <x:c r="J24" s="199" t="str"/>
      <x:c r="K24" s="194"/>
      <x:c r="L24" s="194"/>
      <x:c r="M24" s="194"/>
    </x:row>
    <x:row r="25">
      <x:c r="A25" s="130"/>
      <x:c r="B25" s="194" t="str">
        <x:v>Income taxes - continuing operations</x:v>
      </x:c>
      <x:c r="C25" s="194" t="str">
        <x:v>R12</x:v>
      </x:c>
      <x:c r="D25" s="198" t="n">
        <x:f>'Reported Financials'!D24</x:f>
        <x:v>-185</x:v>
      </x:c>
      <x:c r="E25" s="198" t="n">
        <x:f>'Reported Financials'!E24</x:f>
        <x:v>-333</x:v>
      </x:c>
      <x:c r="F25" s="198" t="n">
        <x:f>'Reported Financials'!F24</x:f>
        <x:v>-396</x:v>
      </x:c>
      <x:c r="G25" s="199" t="str">
        <x:v>Reported continuing tax</x:v>
      </x:c>
      <x:c r="H25" s="199" t="str"/>
      <x:c r="I25" s="199" t="str">
        <x:v>Annual reports</x:v>
      </x:c>
      <x:c r="J25" s="199" t="str"/>
      <x:c r="K25" s="194"/>
      <x:c r="L25" s="194"/>
      <x:c r="M25" s="194"/>
    </x:row>
    <x:row r="26">
      <x:c r="A26" s="130"/>
      <x:c r="B26" s="194" t="str">
        <x:v>Tax effect on discontinued operations</x:v>
      </x:c>
      <x:c r="C26" s="194" t="str">
        <x:v>R13</x:v>
      </x:c>
      <x:c r="D26" s="198" t="n">
        <x:f>'Reported Financials'!D111</x:f>
        <x:v>15</x:v>
      </x:c>
      <x:c r="E26" s="198" t="n">
        <x:f>'Reported Financials'!E111</x:f>
        <x:v>-9</x:v>
      </x:c>
      <x:c r="F26" s="198" t="n">
        <x:f>'Reported Financials'!F111</x:f>
        <x:v>-27</x:v>
      </x:c>
      <x:c r="G26" s="199" t="str">
        <x:v>Reported tax effect</x:v>
      </x:c>
      <x:c r="H26" s="199" t="str"/>
      <x:c r="I26" s="199" t="str">
        <x:v>AR Notes 8</x:v>
      </x:c>
      <x:c r="J26" s="199" t="str"/>
      <x:c r="K26" s="194"/>
      <x:c r="L26" s="194"/>
      <x:c r="M26" s="194"/>
    </x:row>
    <x:row r="27">
      <x:c r="A27" s="130"/>
      <x:c r="B27" s="194" t="str">
        <x:v>Rounding / reconciliation to earnings after taxes</x:v>
      </x:c>
      <x:c r="C27" s="194" t="str">
        <x:v>R14</x:v>
      </x:c>
      <x:c r="D27" s="198" t="n">
        <x:f>'Reported Financials'!D30-(D23+D24+D25+D26)</x:f>
        <x:v>0</x:v>
      </x:c>
      <x:c r="E27" s="198" t="n">
        <x:f>'Reported Financials'!E30-(E23+E24+E25+E26)</x:f>
        <x:v>-1</x:v>
      </x:c>
      <x:c r="F27" s="198" t="n">
        <x:f>'Reported Financials'!F30-(F23+F24+F25+F26)</x:f>
        <x:v>1</x:v>
      </x:c>
      <x:c r="G27" s="199" t="str">
        <x:v>Balancing item; expected only rounding</x:v>
      </x:c>
      <x:c r="H27" s="199" t="str"/>
      <x:c r="I27" s="199" t="str"/>
      <x:c r="J27" s="199" t="str"/>
      <x:c r="K27" s="194"/>
      <x:c r="L27" s="194"/>
      <x:c r="M27" s="194"/>
    </x:row>
    <x:row r="28">
      <x:c r="A28" s="130"/>
      <x:c r="B28" s="203" t="str">
        <x:v>Earnings after taxes</x:v>
      </x:c>
      <x:c r="C28" s="203" t="str">
        <x:v>R15</x:v>
      </x:c>
      <x:c r="D28" s="207" t="n">
        <x:f>'Reported Financials'!D30</x:f>
        <x:v>586</x:v>
      </x:c>
      <x:c r="E28" s="207" t="n">
        <x:f>'Reported Financials'!E30</x:f>
        <x:v>808</x:v>
      </x:c>
      <x:c r="F28" s="207" t="n">
        <x:f>'Reported Financials'!F30</x:f>
        <x:v>835</x:v>
      </x:c>
      <x:c r="G28" s="199" t="str">
        <x:v>Reported</x:v>
      </x:c>
      <x:c r="H28" s="199" t="str"/>
      <x:c r="I28" s="199" t="str">
        <x:v>Annual reports</x:v>
      </x:c>
      <x:c r="J28" s="199" t="str"/>
      <x:c r="K28" s="194"/>
      <x:c r="L28" s="194"/>
      <x:c r="M28" s="194"/>
    </x:row>
    <x:row r="29">
      <x:c r="A29" s="130"/>
      <x:c r="B29" s="194" t="str">
        <x:v>Other comprehensive income</x:v>
      </x:c>
      <x:c r="C29" s="194" t="str">
        <x:v>R16</x:v>
      </x:c>
      <x:c r="D29" s="198" t="n">
        <x:f>'Reported Financials'!D36</x:f>
        <x:v>11</x:v>
      </x:c>
      <x:c r="E29" s="198" t="n">
        <x:f>'Reported Financials'!E36</x:f>
        <x:v>191</x:v>
      </x:c>
      <x:c r="F29" s="198" t="n">
        <x:f>'Reported Financials'!F36</x:f>
        <x:v>-49</x:v>
      </x:c>
      <x:c r="G29" s="199" t="str">
        <x:v>Reported</x:v>
      </x:c>
      <x:c r="H29" s="199" t="str"/>
      <x:c r="I29" s="199" t="str">
        <x:v>Annual reports</x:v>
      </x:c>
      <x:c r="J29" s="199" t="str"/>
      <x:c r="K29" s="194"/>
      <x:c r="L29" s="194"/>
      <x:c r="M29" s="194"/>
    </x:row>
    <x:row r="30">
      <x:c r="A30" s="130"/>
      <x:c r="B30" s="203" t="str">
        <x:v>Comprehensive income</x:v>
      </x:c>
      <x:c r="C30" s="203" t="str">
        <x:v>R17</x:v>
      </x:c>
      <x:c r="D30" s="207" t="n">
        <x:f>'Reported Financials'!D37</x:f>
        <x:v>597</x:v>
      </x:c>
      <x:c r="E30" s="207" t="n">
        <x:f>'Reported Financials'!E37</x:f>
        <x:v>999</x:v>
      </x:c>
      <x:c r="F30" s="207" t="n">
        <x:f>'Reported Financials'!F37</x:f>
        <x:v>786</x:v>
      </x:c>
      <x:c r="G30" s="199" t="str">
        <x:v>Net income + OCI</x:v>
      </x:c>
      <x:c r="H30" s="199" t="str"/>
      <x:c r="I30" s="199" t="str">
        <x:v>Session 6 ROE numerator</x:v>
      </x:c>
      <x:c r="J30" s="199" t="str"/>
      <x:c r="K30" s="194"/>
      <x:c r="L30" s="194"/>
      <x:c r="M30" s="194"/>
    </x:row>
    <x:row r="31">
      <x:c r="A31" s="130"/>
      <x:c r="B31" s="208" t="str">
        <x:v>Scope note: 2023/2024 are historical full-group figures from AR2024. 2025 income statement is continuing operations plus separately presented discontinued operations under IFRS 5. No like-for-like restatement is performed, by supervisor instruction.</x:v>
      </x:c>
      <x:c r="C31" s="208"/>
      <x:c r="D31" s="208"/>
      <x:c r="E31" s="208"/>
      <x:c r="F31" s="208"/>
      <x:c r="G31" s="208"/>
      <x:c r="H31" s="208"/>
      <x:c r="I31" s="208"/>
      <x:c r="J31" s="208"/>
      <x:c r="K31" s="194"/>
      <x:c r="L31" s="194"/>
      <x:c r="M31" s="194"/>
    </x:row>
    <x:row r="32">
      <x:c r="A32" s="130"/>
      <x:c r="B32" s="194"/>
      <x:c r="C32" s="194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4"/>
    </x:row>
    <x:row r="33">
      <x:c r="A33" s="130"/>
      <x:c r="B33" s="194"/>
      <x:c r="C33" s="194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4"/>
    </x:row>
    <x:row r="34">
      <x:c r="A34" s="133" t="str">
        <x:v>x</x:v>
      </x:c>
      <x:c r="B34" s="197" t="str">
        <x:v>Operating Cost Structure - three reformulations (Session 3)</x:v>
      </x:c>
      <x:c r="C34" s="197"/>
      <x:c r="D34" s="197"/>
      <x:c r="E34" s="197"/>
      <x:c r="F34" s="197"/>
      <x:c r="G34" s="197"/>
      <x:c r="H34" s="197"/>
      <x:c r="I34" s="197"/>
      <x:c r="J34" s="197"/>
      <x:c r="K34" s="194"/>
      <x:c r="L34" s="194"/>
      <x:c r="M34" s="194"/>
    </x:row>
    <x:row r="35">
      <x:c r="A35" s="130"/>
      <x:c r="B35" s="209" t="str">
        <x:v>1. By function / Gross Profit - strict-source view</x:v>
      </x:c>
      <x:c r="C35" s="209"/>
      <x:c r="D35" s="209"/>
      <x:c r="E35" s="209"/>
      <x:c r="F35" s="209"/>
      <x:c r="G35" s="209"/>
      <x:c r="H35" s="209"/>
      <x:c r="I35" s="209"/>
      <x:c r="J35" s="209"/>
      <x:c r="K35" s="194"/>
      <x:c r="L35" s="194"/>
      <x:c r="M35" s="194"/>
    </x:row>
    <x:row r="36">
      <x:c r="A36" s="130"/>
      <x:c r="B36" s="194" t="str">
        <x:v>Net revenues</x:v>
      </x:c>
      <x:c r="C36" s="194" t="str">
        <x:v>C1</x:v>
      </x:c>
      <x:c r="D36" s="198" t="n">
        <x:f>'Reported Financials'!D11</x:f>
        <x:v>7176</x:v>
      </x:c>
      <x:c r="E36" s="198" t="n">
        <x:f>'Reported Financials'!E11</x:f>
        <x:v>9751</x:v>
      </x:c>
      <x:c r="F36" s="198" t="n">
        <x:f>'Reported Financials'!F11</x:f>
        <x:v>9935</x:v>
      </x:c>
      <x:c r="G36" s="199" t="str">
        <x:v>Reported</x:v>
      </x:c>
      <x:c r="H36" s="199" t="str"/>
      <x:c r="I36" s="199" t="str"/>
      <x:c r="J36" s="199" t="str"/>
      <x:c r="K36" s="194"/>
      <x:c r="L36" s="194"/>
      <x:c r="M36" s="194"/>
    </x:row>
    <x:row r="37">
      <x:c r="A37" s="130"/>
      <x:c r="B37" s="200" t="str">
        <x:v>Cost of sales</x:v>
      </x:c>
      <x:c r="C37" s="200" t="str">
        <x:v>C2</x:v>
      </x:c>
      <x:c r="D37" s="210" t="str">
        <x:v>n.d.</x:v>
      </x:c>
      <x:c r="E37" s="210" t="str">
        <x:v>n.d.</x:v>
      </x:c>
      <x:c r="F37" s="210" t="str">
        <x:v>n.d.</x:v>
      </x:c>
      <x:c r="G37" s="202" t="str">
        <x:v>Not determinable without unsupported functional allocation</x:v>
      </x:c>
      <x:c r="H37" s="202" t="str">
        <x:v>Incomplete - source limitation</x:v>
      </x:c>
      <x:c r="I37" s="202" t="str">
        <x:v>Session 3 slide 4</x:v>
      </x:c>
      <x:c r="J37" s="202" t="str">
        <x:v>Rheinmetall presents costs by nature; direct labour/factory overhead/inventory allocation to COGS is not disclosed.</x:v>
      </x:c>
      <x:c r="K37" s="194"/>
      <x:c r="L37" s="194"/>
      <x:c r="M37" s="194"/>
    </x:row>
    <x:row r="38">
      <x:c r="A38" s="130"/>
      <x:c r="B38" s="200" t="str">
        <x:v>Gross profit</x:v>
      </x:c>
      <x:c r="C38" s="200" t="str">
        <x:v>C3</x:v>
      </x:c>
      <x:c r="D38" s="210" t="str">
        <x:v>n.d.</x:v>
      </x:c>
      <x:c r="E38" s="210" t="str">
        <x:v>n.d.</x:v>
      </x:c>
      <x:c r="F38" s="210" t="str">
        <x:v>n.d.</x:v>
      </x:c>
      <x:c r="G38" s="202" t="str">
        <x:v>Net revenues - COGS</x:v>
      </x:c>
      <x:c r="H38" s="202" t="str">
        <x:v>Incomplete - source limitation</x:v>
      </x:c>
      <x:c r="I38" s="202" t="str">
        <x:v>Session 3 slide 4</x:v>
      </x:c>
      <x:c r="J38" s="202" t="str"/>
      <x:c r="K38" s="194"/>
      <x:c r="L38" s="194"/>
      <x:c r="M38" s="194"/>
    </x:row>
    <x:row r="39">
      <x:c r="A39" s="130"/>
      <x:c r="B39" s="194" t="str">
        <x:v>Identifiable selling cost: distribution &amp; advertising</x:v>
      </x:c>
      <x:c r="C39" s="194" t="str">
        <x:v>C4</x:v>
      </x:c>
      <x:c r="D39" s="198" t="n">
        <x:f>'Reported Financials'!D90</x:f>
        <x:v>-117</x:v>
      </x:c>
      <x:c r="E39" s="198" t="n">
        <x:f>'Reported Financials'!E90</x:f>
        <x:v>-143</x:v>
      </x:c>
      <x:c r="F39" s="198" t="n">
        <x:f>'Reported Financials'!F90</x:f>
        <x:v>-133</x:v>
      </x:c>
      <x:c r="G39" s="199" t="str">
        <x:v>Disclosed note line only; not complete selling function</x:v>
      </x:c>
      <x:c r="H39" s="199" t="str"/>
      <x:c r="I39" s="199" t="str"/>
      <x:c r="J39" s="199" t="str"/>
      <x:c r="K39" s="194"/>
      <x:c r="L39" s="194"/>
      <x:c r="M39" s="194"/>
    </x:row>
    <x:row r="40">
      <x:c r="A40" s="130"/>
      <x:c r="B40" s="194" t="str">
        <x:v>Identifiable G&amp;A cost</x:v>
      </x:c>
      <x:c r="C40" s="194" t="str">
        <x:v>C5</x:v>
      </x:c>
      <x:c r="D40" s="198" t="n">
        <x:f>'Reported Financials'!D92</x:f>
        <x:v>-54</x:v>
      </x:c>
      <x:c r="E40" s="198" t="n">
        <x:f>'Reported Financials'!E92</x:f>
        <x:v>-70</x:v>
      </x:c>
      <x:c r="F40" s="198" t="n">
        <x:f>'Reported Financials'!F92</x:f>
        <x:v>-93</x:v>
      </x:c>
      <x:c r="G40" s="199" t="str">
        <x:v>Disclosed note line only; not complete G&amp;A function</x:v>
      </x:c>
      <x:c r="H40" s="199" t="str"/>
      <x:c r="I40" s="199" t="str"/>
      <x:c r="J40" s="199" t="str"/>
      <x:c r="K40" s="194"/>
      <x:c r="L40" s="194"/>
      <x:c r="M40" s="194"/>
    </x:row>
    <x:row r="41">
      <x:c r="A41" s="130"/>
      <x:c r="B41" s="194" t="str">
        <x:v>R&amp;D recognized as expense</x:v>
      </x:c>
      <x:c r="C41" s="194" t="str">
        <x:v>C6</x:v>
      </x:c>
      <x:c r="D41" s="198" t="n">
        <x:f>'Reported Financials'!D112</x:f>
        <x:v>-217</x:v>
      </x:c>
      <x:c r="E41" s="198" t="n">
        <x:f>'Reported Financials'!E112</x:f>
        <x:v>-235</x:v>
      </x:c>
      <x:c r="F41" s="198" t="n">
        <x:f>'Reported Financials'!F112</x:f>
        <x:v>-105</x:v>
      </x:c>
      <x:c r="G41" s="199" t="str">
        <x:v>Disclosed R&amp;D expense</x:v>
      </x:c>
      <x:c r="H41" s="199" t="str"/>
      <x:c r="I41" s="199" t="str">
        <x:v>AR2024 p.35 / AR2025 p.31</x:v>
      </x:c>
      <x:c r="J41" s="199" t="str"/>
      <x:c r="K41" s="194"/>
      <x:c r="L41" s="194"/>
      <x:c r="M41" s="194"/>
    </x:row>
    <x:row r="42">
      <x:c r="A42" s="130"/>
      <x:c r="B42" s="208" t="str">
        <x:v>Conclusion: the by-function lens cannot be completed reliably. The workbook deliberately shows n.d. rather than constructing COGS or gross profit from unsupported allocations.</x:v>
      </x:c>
      <x:c r="C42" s="208"/>
      <x:c r="D42" s="208"/>
      <x:c r="E42" s="208"/>
      <x:c r="F42" s="208"/>
      <x:c r="G42" s="208"/>
      <x:c r="H42" s="208"/>
      <x:c r="I42" s="208"/>
      <x:c r="J42" s="208"/>
      <x:c r="K42" s="194"/>
      <x:c r="L42" s="194"/>
      <x:c r="M42" s="194"/>
    </x:row>
    <x:row r="43">
      <x:c r="A43" s="130"/>
      <x:c r="B43" s="194"/>
      <x:c r="C43" s="194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4"/>
    </x:row>
    <x:row r="44">
      <x:c r="A44" s="130"/>
      <x:c r="B44" s="209" t="str">
        <x:v>2. External vs internal costs - Added Value and EBITDA</x:v>
      </x:c>
      <x:c r="C44" s="209"/>
      <x:c r="D44" s="209"/>
      <x:c r="E44" s="209"/>
      <x:c r="F44" s="209"/>
      <x:c r="G44" s="209"/>
      <x:c r="H44" s="209"/>
      <x:c r="I44" s="209"/>
      <x:c r="J44" s="209"/>
      <x:c r="K44" s="194"/>
      <x:c r="L44" s="194"/>
      <x:c r="M44" s="194"/>
    </x:row>
    <x:row r="45">
      <x:c r="A45" s="130"/>
      <x:c r="B45" s="194" t="str">
        <x:v>Value of production</x:v>
      </x:c>
      <x:c r="C45" s="194" t="str">
        <x:v>C7</x:v>
      </x:c>
      <x:c r="D45" s="198" t="n">
        <x:f>'Reported Financials'!D11+'Reported Financials'!D12</x:f>
        <x:v>7872</x:v>
      </x:c>
      <x:c r="E45" s="198" t="n">
        <x:f>'Reported Financials'!E11+'Reported Financials'!E12</x:f>
        <x:v>9918</x:v>
      </x:c>
      <x:c r="F45" s="198" t="n">
        <x:f>'Reported Financials'!F11+'Reported Financials'!F12</x:f>
        <x:v>10456</x:v>
      </x:c>
      <x:c r="G45" s="199" t="str">
        <x:v>Sales + change in inventories / own work</x:v>
      </x:c>
      <x:c r="H45" s="199" t="str"/>
      <x:c r="I45" s="199" t="str">
        <x:v>Session 3 slide 6</x:v>
      </x:c>
      <x:c r="J45" s="199" t="str"/>
      <x:c r="K45" s="194"/>
      <x:c r="L45" s="194"/>
      <x:c r="M45" s="194"/>
    </x:row>
    <x:row r="46">
      <x:c r="A46" s="130"/>
      <x:c r="B46" s="194" t="str">
        <x:v>External costs purchased from third parties</x:v>
      </x:c>
      <x:c r="C46" s="194" t="str">
        <x:v>C8</x:v>
      </x:c>
      <x:c r="D46" s="198" t="n">
        <x:f>'Reported Financials'!D14+'Reported Financials'!D88+'Reported Financials'!D89+'Reported Financials'!D90+'Reported Financials'!D92+'Reported Financials'!D93+'Reported Financials'!D94+'Reported Financials'!D96+'Reported Financials'!D97+'Reported Financials'!D99</x:f>
        <x:v>-4633</x:v>
      </x:c>
      <x:c r="E46" s="198" t="n">
        <x:f>'Reported Financials'!E14+'Reported Financials'!E88+'Reported Financials'!E89+'Reported Financials'!E90+'Reported Financials'!E92+'Reported Financials'!E93+'Reported Financials'!E94+'Reported Financials'!E96+'Reported Financials'!E97+'Reported Financials'!E99</x:f>
        <x:v>-5694</x:v>
      </x:c>
      <x:c r="F46" s="198" t="n">
        <x:f>'Reported Financials'!F14+'Reported Financials'!F88+'Reported Financials'!F89+'Reported Financials'!F90+'Reported Financials'!F92+'Reported Financials'!F93+'Reported Financials'!F94+'Reported Financials'!F96+'Reported Financials'!F97+'Reported Financials'!F99</x:f>
        <x:v>-6086</x:v>
      </x:c>
      <x:c r="G46" s="199" t="str">
        <x:v>Materials/services + operating/maintenance + IT + distribution + G&amp;A + travel + insurance + audit/legal + rents + patent/licensing</x:v>
      </x:c>
      <x:c r="H46" s="199" t="str">
        <x:v>Analyst classification</x:v>
      </x:c>
      <x:c r="I46" s="199" t="str">
        <x:v>Session 3 slide 6</x:v>
      </x:c>
      <x:c r="J46" s="199" t="str">
        <x:v>Component-by-component classification; no outside allocation key used.</x:v>
      </x:c>
      <x:c r="K46" s="194"/>
      <x:c r="L46" s="194"/>
      <x:c r="M46" s="194"/>
    </x:row>
    <x:row r="47">
      <x:c r="A47" s="130"/>
      <x:c r="B47" s="203" t="str">
        <x:v>Added value</x:v>
      </x:c>
      <x:c r="C47" s="203" t="str">
        <x:v>C9</x:v>
      </x:c>
      <x:c r="D47" s="204" t="n">
        <x:f>D45+D46</x:f>
        <x:v>3239</x:v>
      </x:c>
      <x:c r="E47" s="204" t="n">
        <x:f>E45+E46</x:f>
        <x:v>4224</x:v>
      </x:c>
      <x:c r="F47" s="204" t="n">
        <x:f>F45+F46</x:f>
        <x:v>4370</x:v>
      </x:c>
      <x:c r="G47" s="199" t="str">
        <x:v>Value of production - external costs</x:v>
      </x:c>
      <x:c r="H47" s="199" t="str"/>
      <x:c r="I47" s="199" t="str">
        <x:v>Session 3 slide 6</x:v>
      </x:c>
      <x:c r="J47" s="199" t="str"/>
      <x:c r="K47" s="194"/>
      <x:c r="L47" s="194"/>
      <x:c r="M47" s="194"/>
    </x:row>
    <x:row r="48">
      <x:c r="A48" s="130"/>
      <x:c r="B48" s="194" t="str">
        <x:v>Other operating income</x:v>
      </x:c>
      <x:c r="C48" s="194" t="str">
        <x:v>C10</x:v>
      </x:c>
      <x:c r="D48" s="198" t="n">
        <x:f>'Reported Financials'!D13-'Reported Financials'!D118</x:f>
        <x:v>151</x:v>
      </x:c>
      <x:c r="E48" s="198" t="n">
        <x:f>'Reported Financials'!E13-'Reported Financials'!E118</x:f>
        <x:v>221</x:v>
      </x:c>
      <x:c r="F48" s="198" t="n">
        <x:f>'Reported Financials'!F13-'Reported Financials'!F118</x:f>
        <x:v>273</x:v>
      </x:c>
      <x:c r="G48" s="199" t="str">
        <x:v>Shown after added value; not netted against purchases</x:v>
      </x:c>
      <x:c r="H48" s="199" t="str"/>
      <x:c r="I48" s="199" t="str">
        <x:v>Session 3</x:v>
      </x:c>
      <x:c r="J48" s="199" t="str"/>
      <x:c r="K48" s="194"/>
      <x:c r="L48" s="194"/>
      <x:c r="M48" s="194"/>
    </x:row>
    <x:row r="49">
      <x:c r="A49" s="130"/>
      <x:c r="B49" s="194" t="str">
        <x:v>Personnel + incidental personnel costs</x:v>
      </x:c>
      <x:c r="C49" s="194" t="str">
        <x:v>C11</x:v>
      </x:c>
      <x:c r="D49" s="198" t="n">
        <x:f>'Reported Financials'!D15+'Reported Financials'!D91</x:f>
        <x:v>-2121</x:v>
      </x:c>
      <x:c r="E49" s="198" t="n">
        <x:f>'Reported Financials'!E15+'Reported Financials'!E91</x:f>
        <x:v>-2462</x:v>
      </x:c>
      <x:c r="F49" s="198" t="n">
        <x:f>'Reported Financials'!F15+'Reported Financials'!F91</x:f>
        <x:v>-2411</x:v>
      </x:c>
      <x:c r="G49" s="199" t="str">
        <x:v>Internal labour cost</x:v>
      </x:c>
      <x:c r="H49" s="199" t="str"/>
      <x:c r="I49" s="199" t="str"/>
      <x:c r="J49" s="199" t="str"/>
      <x:c r="K49" s="194"/>
      <x:c r="L49" s="194"/>
      <x:c r="M49" s="194"/>
    </x:row>
    <x:row r="50">
      <x:c r="A50" s="130"/>
      <x:c r="B50" s="194" t="str">
        <x:v>Other recurring/internal operating costs</x:v>
      </x:c>
      <x:c r="C50" s="194" t="str">
        <x:v>C12</x:v>
      </x:c>
      <x:c r="D50" s="198" t="n">
        <x:f>'Reported Financials'!D98+'Reported Financials'!D95+'Reported Financials'!D102+'Reported Financials'!D101+'Reported Financials'!D103</x:f>
        <x:v>-109</x:v>
      </x:c>
      <x:c r="E50" s="198" t="n">
        <x:f>'Reported Financials'!E98+'Reported Financials'!E95+'Reported Financials'!E102+'Reported Financials'!E101+'Reported Financials'!E103</x:f>
        <x:v>-174</x:v>
      </x:c>
      <x:c r="F50" s="198" t="n">
        <x:f>'Reported Financials'!F98+'Reported Financials'!F95+'Reported Financials'!F102+'Reported Financials'!F101+'Reported Financials'!F103</x:f>
        <x:v>-171</x:v>
      </x:c>
      <x:c r="G50" s="199" t="str">
        <x:v>Warranties + provisions + write-offs + other taxes + miscellaneous</x:v>
      </x:c>
      <x:c r="H50" s="199" t="str">
        <x:v>Analyst classification</x:v>
      </x:c>
      <x:c r="I50" s="199" t="str"/>
      <x:c r="J50" s="199" t="str"/>
      <x:c r="K50" s="194"/>
      <x:c r="L50" s="194"/>
      <x:c r="M50" s="194"/>
    </x:row>
    <x:row r="51">
      <x:c r="A51" s="130"/>
      <x:c r="B51" s="203" t="str">
        <x:v>EBITDA - nature-based reconstruction before bridge</x:v>
      </x:c>
      <x:c r="C51" s="203" t="str">
        <x:v>C13</x:v>
      </x:c>
      <x:c r="D51" s="204" t="n">
        <x:f>SUM(D47:D50)</x:f>
        <x:v>1160</x:v>
      </x:c>
      <x:c r="E51" s="204" t="n">
        <x:f>SUM(E47:E50)</x:f>
        <x:v>1809</x:v>
      </x:c>
      <x:c r="F51" s="204" t="n">
        <x:f>SUM(F47:F50)</x:f>
        <x:v>2061</x:v>
      </x:c>
      <x:c r="G51" s="199" t="str">
        <x:v>Added value + other op income - personnel - other internal costs</x:v>
      </x:c>
      <x:c r="H51" s="199" t="str"/>
      <x:c r="I51" s="199" t="str"/>
      <x:c r="J51" s="199" t="str"/>
      <x:c r="K51" s="194"/>
      <x:c r="L51" s="194"/>
      <x:c r="M51" s="194"/>
    </x:row>
    <x:row r="52">
      <x:c r="A52" s="130"/>
      <x:c r="B52" s="200" t="str">
        <x:v>Recurring D&amp;A used for core EBITDA</x:v>
      </x:c>
      <x:c r="C52" s="200" t="str">
        <x:v>C14</x:v>
      </x:c>
      <x:c r="D52" s="201" t="n">
        <x:f>-('Reported Financials'!D16-'Reported Financials'!D86)</x:f>
        <x:v>302</x:v>
      </x:c>
      <x:c r="E52" s="201" t="n">
        <x:f>-('Reported Financials'!E16-'Reported Financials'!E86)</x:f>
        <x:v>385</x:v>
      </x:c>
      <x:c r="F52" s="201" t="n">
        <x:f>-('Reported Financials'!F16-'Reported Financials'!F86)</x:f>
        <x:v>389</x:v>
      </x:c>
      <x:c r="G52" s="202" t="str">
        <x:v>Total D&amp;A/impairment less impairment only. PPA is recurring, consistent with instructor feedback.</x:v>
      </x:c>
      <x:c r="H52" s="202" t="str">
        <x:v>Instructor-feedback correction</x:v>
      </x:c>
      <x:c r="I52" s="202" t="str"/>
      <x:c r="J52" s="202" t="str"/>
      <x:c r="K52" s="194"/>
      <x:c r="L52" s="194"/>
      <x:c r="M52" s="194"/>
    </x:row>
    <x:row r="53">
      <x:c r="A53" s="130"/>
      <x:c r="B53" s="203" t="str">
        <x:v>Core EBITDA implied by reformulated IS</x:v>
      </x:c>
      <x:c r="C53" s="203" t="str">
        <x:v>C15</x:v>
      </x:c>
      <x:c r="D53" s="204" t="n">
        <x:f>D16+D52</x:f>
        <x:v>1152</x:v>
      </x:c>
      <x:c r="E53" s="204" t="n">
        <x:f>E16+E52</x:f>
        <x:v>1793</x:v>
      </x:c>
      <x:c r="F53" s="204" t="n">
        <x:f>F16+F52</x:f>
        <x:v>2052</x:v>
      </x:c>
      <x:c r="G53" s="199" t="str">
        <x:v>Core operating income [A] + recurring D&amp;A</x:v>
      </x:c>
      <x:c r="H53" s="199" t="str"/>
      <x:c r="I53" s="199" t="str"/>
      <x:c r="J53" s="199" t="str"/>
      <x:c r="K53" s="194"/>
      <x:c r="L53" s="194"/>
      <x:c r="M53" s="194"/>
    </x:row>
    <x:row r="54">
      <x:c r="A54" s="130"/>
      <x:c r="B54" s="194" t="str">
        <x:v>Classification / unusual / rounding bridge</x:v>
      </x:c>
      <x:c r="C54" s="194" t="str">
        <x:v>C16</x:v>
      </x:c>
      <x:c r="D54" s="211" t="n">
        <x:f>D53-D51</x:f>
        <x:v>-8</x:v>
      </x:c>
      <x:c r="E54" s="211" t="n">
        <x:f>E53-E51</x:f>
        <x:v>-16</x:v>
      </x:c>
      <x:c r="F54" s="211" t="n">
        <x:f>F53-F51</x:f>
        <x:v>-9</x:v>
      </x:c>
      <x:c r="G54" s="199" t="str">
        <x:v>Core EBITDA - nature-based reconstruction</x:v>
      </x:c>
      <x:c r="H54" s="199" t="str"/>
      <x:c r="I54" s="199" t="str"/>
      <x:c r="J54" s="199" t="str">
        <x:v>Captures residual classification differences, special items and rounding that cannot be mapped cleanly to note categories.</x:v>
      </x:c>
      <x:c r="K54" s="194"/>
      <x:c r="L54" s="194"/>
      <x:c r="M54" s="194"/>
    </x:row>
    <x:row r="55">
      <x:c r="A55" s="130"/>
      <x:c r="B55" s="194"/>
      <x:c r="C55" s="194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4"/>
    </x:row>
    <x:row r="56">
      <x:c r="A56" s="130"/>
      <x:c r="B56" s="209" t="str">
        <x:v>3. Variable vs fixed costs - indicative contribution margin</x:v>
      </x:c>
      <x:c r="C56" s="209"/>
      <x:c r="D56" s="209"/>
      <x:c r="E56" s="209"/>
      <x:c r="F56" s="209"/>
      <x:c r="G56" s="209"/>
      <x:c r="H56" s="209"/>
      <x:c r="I56" s="209"/>
      <x:c r="J56" s="209"/>
      <x:c r="K56" s="194"/>
      <x:c r="L56" s="194"/>
      <x:c r="M56" s="194"/>
    </x:row>
    <x:row r="57">
      <x:c r="A57" s="130"/>
      <x:c r="B57" s="194" t="str">
        <x:v>Value of production</x:v>
      </x:c>
      <x:c r="C57" s="194" t="str">
        <x:v>C17</x:v>
      </x:c>
      <x:c r="D57" s="211" t="n">
        <x:f>D45</x:f>
        <x:v>7872</x:v>
      </x:c>
      <x:c r="E57" s="211" t="n">
        <x:f>E45</x:f>
        <x:v>9918</x:v>
      </x:c>
      <x:c r="F57" s="211" t="n">
        <x:f>F45</x:f>
        <x:v>10456</x:v>
      </x:c>
      <x:c r="G57" s="199" t="str">
        <x:v>Used instead of sales because costs are presented by nature; avoids inventory timing mismatch.</x:v>
      </x:c>
      <x:c r="H57" s="199" t="str"/>
      <x:c r="I57" s="199" t="str"/>
      <x:c r="J57" s="199" t="str"/>
      <x:c r="K57" s="194"/>
      <x:c r="L57" s="194"/>
      <x:c r="M57" s="194"/>
    </x:row>
    <x:row r="58">
      <x:c r="A58" s="130"/>
      <x:c r="B58" s="194" t="str">
        <x:v>Variable costs - supervisor-approved analytical classification</x:v>
      </x:c>
      <x:c r="C58" s="194" t="str">
        <x:v>C18</x:v>
      </x:c>
      <x:c r="D58" s="198" t="n">
        <x:f>'Reported Financials'!D77+'Reported Financials'!D78+'Reported Financials'!D90+'Reported Financials'!D93+'Reported Financials'!D102+'Reported Financials'!D98+'Reported Financials'!D99</x:f>
        <x:v>-4142</x:v>
      </x:c>
      <x:c r="E58" s="198" t="n">
        <x:f>'Reported Financials'!E77+'Reported Financials'!E78+'Reported Financials'!E90+'Reported Financials'!E93+'Reported Financials'!E102+'Reported Financials'!E98+'Reported Financials'!E99</x:f>
        <x:v>-5112</x:v>
      </x:c>
      <x:c r="F58" s="198" t="n">
        <x:f>'Reported Financials'!F77+'Reported Financials'!F78+'Reported Financials'!F90+'Reported Financials'!F93+'Reported Financials'!F102+'Reported Financials'!F98+'Reported Financials'!F99</x:f>
        <x:v>-5514</x:v>
      </x:c>
      <x:c r="G58" s="199" t="str">
        <x:v>Raw materials, services, distribution, travel, receivable write-downs, warranties, patent/licensing</x:v>
      </x:c>
      <x:c r="H58" s="199" t="str">
        <x:v>Supervisor-approved classification</x:v>
      </x:c>
      <x:c r="I58" s="199" t="str"/>
      <x:c r="J58" s="199" t="str"/>
      <x:c r="K58" s="194"/>
      <x:c r="L58" s="194"/>
      <x:c r="M58" s="194"/>
    </x:row>
    <x:row r="59">
      <x:c r="A59" s="130"/>
      <x:c r="B59" s="203" t="str">
        <x:v>Contribution margin (indicative)</x:v>
      </x:c>
      <x:c r="C59" s="203" t="str">
        <x:v>C19</x:v>
      </x:c>
      <x:c r="D59" s="204" t="n">
        <x:f>D57+D58</x:f>
        <x:v>3730</x:v>
      </x:c>
      <x:c r="E59" s="204" t="n">
        <x:f>E57+E58</x:f>
        <x:v>4806</x:v>
      </x:c>
      <x:c r="F59" s="204" t="n">
        <x:f>F57+F58</x:f>
        <x:v>4942</x:v>
      </x:c>
      <x:c r="G59" s="199" t="str">
        <x:v>Value of production - variable costs</x:v>
      </x:c>
      <x:c r="H59" s="199" t="str"/>
      <x:c r="I59" s="199" t="str">
        <x:v>Session 3 variable/fixed lens</x:v>
      </x:c>
      <x:c r="J59" s="199" t="str"/>
      <x:c r="K59" s="194"/>
      <x:c r="L59" s="194"/>
      <x:c r="M59" s="194"/>
    </x:row>
    <x:row r="60">
      <x:c r="A60" s="130"/>
      <x:c r="B60" s="194" t="str">
        <x:v>Fixed costs - supervisor-approved analytical classification</x:v>
      </x:c>
      <x:c r="C60" s="194" t="str">
        <x:v>C20</x:v>
      </x:c>
      <x:c r="D60" s="198" t="n">
        <x:f>'Reported Financials'!D79+'Reported Financials'!D80+'Reported Financials'!D81+'Reported Financials'!D82-D52+'Reported Financials'!D88+'Reported Financials'!D89+'Reported Financials'!D91+'Reported Financials'!D92+'Reported Financials'!D94+'Reported Financials'!D95+'Reported Financials'!D96+'Reported Financials'!D97+'Reported Financials'!D101+'Reported Financials'!D103</x:f>
        <x:v>-3024</x:v>
      </x:c>
      <x:c r="E60" s="198" t="n">
        <x:f>'Reported Financials'!E79+'Reported Financials'!E80+'Reported Financials'!E81+'Reported Financials'!E82-E52+'Reported Financials'!E88+'Reported Financials'!E89+'Reported Financials'!E91+'Reported Financials'!E92+'Reported Financials'!E94+'Reported Financials'!E95+'Reported Financials'!E96+'Reported Financials'!E97+'Reported Financials'!E101+'Reported Financials'!E103</x:f>
        <x:v>-3602</x:v>
      </x:c>
      <x:c r="F60" s="198" t="n">
        <x:f>'Reported Financials'!F79+'Reported Financials'!F80+'Reported Financials'!F81+'Reported Financials'!F82-F52+'Reported Financials'!F88+'Reported Financials'!F89+'Reported Financials'!F91+'Reported Financials'!F92+'Reported Financials'!F94+'Reported Financials'!F95+'Reported Financials'!F96+'Reported Financials'!F97+'Reported Financials'!F101+'Reported Financials'!F103</x:f>
        <x:v>-3545</x:v>
      </x:c>
      <x:c r="G60" s="199" t="str">
        <x:v>Personnel + fixed opex categories + recurring D&amp;A</x:v>
      </x:c>
      <x:c r="H60" s="199" t="str">
        <x:v>Supervisor-approved classification</x:v>
      </x:c>
      <x:c r="I60" s="199" t="str"/>
      <x:c r="J60" s="199" t="str"/>
      <x:c r="K60" s="194"/>
      <x:c r="L60" s="194"/>
      <x:c r="M60" s="194"/>
    </x:row>
    <x:row r="61">
      <x:c r="A61" s="130"/>
      <x:c r="B61" s="194" t="str">
        <x:v>Other operating income</x:v>
      </x:c>
      <x:c r="C61" s="194" t="str">
        <x:v>C21</x:v>
      </x:c>
      <x:c r="D61" s="198" t="n">
        <x:f>D48</x:f>
        <x:v>151</x:v>
      </x:c>
      <x:c r="E61" s="198" t="n">
        <x:f>E48</x:f>
        <x:v>221</x:v>
      </x:c>
      <x:c r="F61" s="198" t="n">
        <x:f>F48</x:f>
        <x:v>273</x:v>
      </x:c>
      <x:c r="G61" s="199" t="str">
        <x:v>Operating income outside cost classification</x:v>
      </x:c>
      <x:c r="H61" s="199" t="str"/>
      <x:c r="I61" s="199" t="str"/>
      <x:c r="J61" s="199" t="str"/>
      <x:c r="K61" s="194"/>
      <x:c r="L61" s="194"/>
      <x:c r="M61" s="194"/>
    </x:row>
    <x:row r="62">
      <x:c r="A62" s="130"/>
      <x:c r="B62" s="194" t="str">
        <x:v>Bridge to Core Operating Income [A]</x:v>
      </x:c>
      <x:c r="C62" s="194" t="str">
        <x:v>C22</x:v>
      </x:c>
      <x:c r="D62" s="211" t="n">
        <x:f>D16-(D59+D60+D61)</x:f>
        <x:v>-7</x:v>
      </x:c>
      <x:c r="E62" s="211" t="n">
        <x:f>E16-(E59+E60+E61)</x:f>
        <x:v>-17</x:v>
      </x:c>
      <x:c r="F62" s="211" t="n">
        <x:f>F16-(F59+F60+F61)</x:f>
        <x:v>-7</x:v>
      </x:c>
      <x:c r="G62" s="199" t="str">
        <x:v>Residual needed to reconcile to [A]</x:v>
      </x:c>
      <x:c r="H62" s="199" t="str"/>
      <x:c r="I62" s="199" t="str"/>
      <x:c r="J62" s="199" t="str">
        <x:v>Mainly unusual/classification/rounding items not assignable with sufficient disclosure.</x:v>
      </x:c>
      <x:c r="K62" s="194"/>
      <x:c r="L62" s="194"/>
      <x:c r="M62" s="194"/>
    </x:row>
    <x:row r="63">
      <x:c r="A63" s="130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</x:row>
    <x:row r="64">
      <x:c r="A64" s="130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</x:row>
    <x:row r="65">
      <x:c r="A65" s="133" t="str">
        <x:v>x</x:v>
      </x:c>
      <x:c r="B65" s="197" t="str">
        <x:v>Managerial Balance Sheet (Session 4)</x:v>
      </x:c>
      <x:c r="C65" s="197"/>
      <x:c r="D65" s="197"/>
      <x:c r="E65" s="197"/>
      <x:c r="F65" s="197"/>
      <x:c r="G65" s="197"/>
      <x:c r="H65" s="197"/>
      <x:c r="I65" s="197"/>
      <x:c r="J65" s="197"/>
      <x:c r="K65" s="194"/>
      <x:c r="L65" s="194"/>
      <x:c r="M65" s="194"/>
    </x:row>
    <x:row r="66">
      <x:c r="A66" s="130"/>
      <x:c r="B66" s="194" t="str">
        <x:v>Operating cash (final supervisor override: none)</x:v>
      </x:c>
      <x:c r="C66" s="194" t="str">
        <x:v>B1</x:v>
      </x:c>
      <x:c r="D66" s="198" t="n">
        <x:v>0</x:v>
      </x:c>
      <x:c r="E66" s="198" t="n">
        <x:v>0</x:v>
      </x:c>
      <x:c r="F66" s="198" t="n">
        <x:v>0</x:v>
      </x:c>
      <x:c r="G66" s="199" t="str">
        <x:v>Final supervisor instruction: no operating cash; 100% of cash and cash equivalents is classified as financial/non-operating.</x:v>
      </x:c>
      <x:c r="H66" s="199" t="str">
        <x:v>Resolved supervisor override</x:v>
      </x:c>
      <x:c r="I66" s="199" t="str">
        <x:v>Session 4; final supervisor instruction</x:v>
      </x:c>
      <x:c r="J66" s="199" t="str">
        <x:v>Supersedes the earlier 0.5%-of-sales working-cash convention.</x:v>
      </x:c>
      <x:c r="K66" s="194"/>
      <x:c r="L66" s="194"/>
      <x:c r="M66" s="194"/>
    </x:row>
    <x:row r="67">
      <x:c r="A67" s="130"/>
      <x:c r="B67" s="194" t="str">
        <x:v>Current operating assets</x:v>
      </x:c>
      <x:c r="C67" s="194" t="str">
        <x:v>B2</x:v>
      </x:c>
      <x:c r="D67" s="198" t="n">
        <x:f>'Reported Financials'!D48+'Reported Financials'!D49+'Reported Financials'!D50+'Reported Financials'!D72+D66</x:f>
        <x:v>5938</x:v>
      </x:c>
      <x:c r="E67" s="198" t="n">
        <x:f>'Reported Financials'!E48+'Reported Financials'!E49+'Reported Financials'!E50+'Reported Financials'!E72+E66</x:f>
        <x:v>6877</x:v>
      </x:c>
      <x:c r="F67" s="198" t="n">
        <x:f>'Reported Financials'!F48+'Reported Financials'!F49+'Reported Financials'!F50+'Reported Financials'!F72+F66</x:f>
        <x:v>7880</x:v>
      </x:c>
      <x:c r="G67" s="199" t="str">
        <x:v>Inventory + contract assets + trade receivables + nonfinancial current other assets; excludes all cash and cash equivalents.</x:v>
      </x:c>
      <x:c r="H67" s="199" t="str"/>
      <x:c r="I67" s="199" t="str">
        <x:v>Session 4</x:v>
      </x:c>
      <x:c r="J67" s="199" t="str"/>
      <x:c r="K67" s="194"/>
      <x:c r="L67" s="194"/>
      <x:c r="M67" s="194"/>
    </x:row>
    <x:row r="68">
      <x:c r="A68" s="130"/>
      <x:c r="B68" s="194" t="str">
        <x:v>Non-current operating assets (incl. investment property)</x:v>
      </x:c>
      <x:c r="C68" s="194" t="str">
        <x:v>B3</x:v>
      </x:c>
      <x:c r="D68" s="198" t="n">
        <x:f>'Reported Financials'!D40+'Reported Financials'!D41+'Reported Financials'!D42+'Reported Financials'!D43+'Reported Financials'!D44+'Reported Financials'!D73</x:f>
        <x:v>4026</x:v>
      </x:c>
      <x:c r="E68" s="198" t="n">
        <x:f>'Reported Financials'!E40+'Reported Financials'!E41+'Reported Financials'!E42+'Reported Financials'!E43+'Reported Financials'!E44+'Reported Financials'!E73</x:f>
        <x:v>5504</x:v>
      </x:c>
      <x:c r="F68" s="198" t="n">
        <x:f>'Reported Financials'!F40+'Reported Financials'!F41+'Reported Financials'!F42+'Reported Financials'!F43+'Reported Financials'!F44+'Reported Financials'!F73</x:f>
        <x:v>5415</x:v>
      </x:c>
      <x:c r="G68" s="199" t="str">
        <x:v>Goodwill + intangibles + ROU + PPE + nonfinancial noncurrent other assets</x:v>
      </x:c>
      <x:c r="H68" s="199" t="str"/>
      <x:c r="I68" s="199" t="str">
        <x:v>Session 4</x:v>
      </x:c>
      <x:c r="J68" s="199" t="str"/>
      <x:c r="K68" s="194"/>
      <x:c r="L68" s="194"/>
      <x:c r="M68" s="194"/>
    </x:row>
    <x:row r="69">
      <x:c r="A69" s="130"/>
      <x:c r="B69" s="200" t="str">
        <x:v>Operating liabilities (recurring; incl. structural measures and other liabilities)</x:v>
      </x:c>
      <x:c r="C69" s="200" t="str">
        <x:v>B4</x:v>
      </x:c>
      <x:c r="D69" s="201" t="n">
        <x:f>'Reported Financials'!D57+'Reported Financials'!D58+'Reported Financials'!D62+'Reported Financials'!D64+'Reported Financials'!D65+'Reported Financials'!D60+'Reported Financials'!D66</x:f>
        <x:v>5623</x:v>
      </x:c>
      <x:c r="E69" s="201" t="n">
        <x:f>'Reported Financials'!E57+'Reported Financials'!E58+'Reported Financials'!E62+'Reported Financials'!E64+'Reported Financials'!E65+'Reported Financials'!E60+'Reported Financials'!E66</x:f>
        <x:v>6982</x:v>
      </x:c>
      <x:c r="F69" s="201" t="n">
        <x:f>'Reported Financials'!F57+'Reported Financials'!F58+'Reported Financials'!F62+'Reported Financials'!F64+'Reported Financials'!F65+'Reported Financials'!F60+'Reported Financials'!F66</x:f>
        <x:v>8605</x:v>
      </x:c>
      <x:c r="G69" s="202" t="str">
        <x:v>Pensions + provisions + contract/trade liabilities + all other liabilities. Structural-measures provisions remain operating because the restructuring charge is recurring under the instructor feedback.</x:v>
      </x:c>
      <x:c r="H69" s="202" t="str">
        <x:v>Structural-provision review</x:v>
      </x:c>
      <x:c r="I69" s="202" t="str">
        <x:v>Session 4; Session 9 provision coherence</x:v>
      </x:c>
      <x:c r="J69" s="202" t="str">
        <x:v>Structural-measures provisions are included in operating liabilities because the related restructuring charge is treated as recurring under the instructor feedback.</x:v>
      </x:c>
      <x:c r="K69" s="194"/>
      <x:c r="L69" s="194"/>
      <x:c r="M69" s="194"/>
    </x:row>
    <x:row r="70">
      <x:c r="A70" s="130"/>
      <x:c r="B70" s="203" t="str">
        <x:v>Net operating working capital (NOWC)</x:v>
      </x:c>
      <x:c r="C70" s="203" t="str">
        <x:v>B5</x:v>
      </x:c>
      <x:c r="D70" s="204" t="n">
        <x:f>D67-D69</x:f>
        <x:v>315</x:v>
      </x:c>
      <x:c r="E70" s="204" t="n">
        <x:f>E67-E69</x:f>
        <x:v>-105</x:v>
      </x:c>
      <x:c r="F70" s="204" t="n">
        <x:f>F67-F69</x:f>
        <x:v>-725</x:v>
      </x:c>
      <x:c r="G70" s="199" t="str">
        <x:v>Current operating assets - operating liabilities</x:v>
      </x:c>
      <x:c r="H70" s="199" t="str"/>
      <x:c r="I70" s="199" t="str">
        <x:v>Session 4 slide 15</x:v>
      </x:c>
      <x:c r="J70" s="199" t="str"/>
      <x:c r="K70" s="194"/>
      <x:c r="L70" s="194"/>
      <x:c r="M70" s="194"/>
    </x:row>
    <x:row r="71">
      <x:c r="A71" s="130"/>
      <x:c r="B71" s="203" t="str">
        <x:v>Gross core operating invested capital</x:v>
      </x:c>
      <x:c r="C71" s="203" t="str">
        <x:v>B6</x:v>
      </x:c>
      <x:c r="D71" s="204" t="n">
        <x:f>D67+D68</x:f>
        <x:v>9964</x:v>
      </x:c>
      <x:c r="E71" s="204" t="n">
        <x:f>E67+E68</x:f>
        <x:v>12381</x:v>
      </x:c>
      <x:c r="F71" s="204" t="n">
        <x:f>F67+F68</x:f>
        <x:v>13295</x:v>
      </x:c>
      <x:c r="G71" s="199" t="str">
        <x:v>Current + noncurrent operating assets</x:v>
      </x:c>
      <x:c r="H71" s="199" t="str"/>
      <x:c r="I71" s="199" t="str">
        <x:v>Session 4</x:v>
      </x:c>
      <x:c r="J71" s="199" t="str"/>
      <x:c r="K71" s="194"/>
      <x:c r="L71" s="194"/>
      <x:c r="M71" s="194"/>
    </x:row>
    <x:row r="72">
      <x:c r="A72" s="130"/>
      <x:c r="B72" s="203" t="str">
        <x:v>Net operating invested capital (NOIC)</x:v>
      </x:c>
      <x:c r="C72" s="203" t="str">
        <x:v>B7</x:v>
      </x:c>
      <x:c r="D72" s="204" t="n">
        <x:f>D70+D68</x:f>
        <x:v>4341</x:v>
      </x:c>
      <x:c r="E72" s="204" t="n">
        <x:f>E70+E68</x:f>
        <x:v>5399</x:v>
      </x:c>
      <x:c r="F72" s="204" t="n">
        <x:f>F70+F68</x:f>
        <x:v>4690</x:v>
      </x:c>
      <x:c r="G72" s="199" t="str">
        <x:v>NOWC + noncurrent operating assets</x:v>
      </x:c>
      <x:c r="H72" s="199" t="str"/>
      <x:c r="I72" s="199" t="str">
        <x:v>Session 4</x:v>
      </x:c>
      <x:c r="J72" s="199" t="str"/>
      <x:c r="K72" s="194"/>
      <x:c r="L72" s="194"/>
      <x:c r="M72" s="194"/>
    </x:row>
    <x:row r="73">
      <x:c r="A73" s="130"/>
      <x:c r="B73" s="194" t="str">
        <x:v>Non-operating assets earning [B] / financial income</x:v>
      </x:c>
      <x:c r="C73" s="194" t="str">
        <x:v>B8</x:v>
      </x:c>
      <x:c r="D73" s="198" t="n">
        <x:f>'Reported Financials'!D45+'Reported Financials'!D71</x:f>
        <x:v>520</x:v>
      </x:c>
      <x:c r="E73" s="198" t="n">
        <x:f>'Reported Financials'!E45+'Reported Financials'!E71</x:f>
        <x:v>549</x:v>
      </x:c>
      <x:c r="F73" s="198" t="n">
        <x:f>'Reported Financials'!F45+'Reported Financials'!F71</x:f>
        <x:v>379</x:v>
      </x:c>
      <x:c r="G73" s="199" t="str">
        <x:v>Equity-method investments + other financial assets (Note 24). Investment property remains operating in B3.</x:v>
      </x:c>
      <x:c r="H73" s="199" t="str"/>
      <x:c r="I73" s="199" t="str">
        <x:v>Session 4 / Session 5</x:v>
      </x:c>
      <x:c r="J73" s="199" t="str"/>
      <x:c r="K73" s="194"/>
      <x:c r="L73" s="194"/>
      <x:c r="M73" s="194"/>
    </x:row>
    <x:row r="74">
      <x:c r="A74" s="130"/>
      <x:c r="B74" s="194" t="str">
        <x:v>Net assets held for sale / discontinued operations</x:v>
      </x:c>
      <x:c r="C74" s="194" t="str">
        <x:v>B9</x:v>
      </x:c>
      <x:c r="D74" s="198" t="n">
        <x:f>'Reported Financials'!D54-'Reported Financials'!D68</x:f>
        <x:v>35</x:v>
      </x:c>
      <x:c r="E74" s="198" t="n">
        <x:f>'Reported Financials'!E54-'Reported Financials'!E68</x:f>
        <x:v>0</x:v>
      </x:c>
      <x:c r="F74" s="198" t="n">
        <x:f>'Reported Financials'!F54-'Reported Financials'!F68</x:f>
        <x:v>562</x:v>
      </x:c>
      <x:c r="G74" s="199" t="str">
        <x:v>Assets held for sale - directly associated liabilities</x:v>
      </x:c>
      <x:c r="H74" s="199" t="str"/>
      <x:c r="I74" s="199" t="str">
        <x:v>Session 4 slide 19</x:v>
      </x:c>
      <x:c r="J74" s="199" t="str">
        <x:v>Classified non-operating so discontinued assets do not contaminate recurring operating capital.</x:v>
      </x:c>
      <x:c r="K74" s="194"/>
      <x:c r="L74" s="194"/>
      <x:c r="M74" s="194"/>
    </x:row>
    <x:row r="75">
      <x:c r="A75" s="130"/>
      <x:c r="B75" s="203" t="str">
        <x:v>Total non-operating assets</x:v>
      </x:c>
      <x:c r="C75" s="203" t="str">
        <x:v>B10</x:v>
      </x:c>
      <x:c r="D75" s="204" t="n">
        <x:f>D73+D74</x:f>
        <x:v>555</x:v>
      </x:c>
      <x:c r="E75" s="204" t="n">
        <x:f>E73+E74</x:f>
        <x:v>549</x:v>
      </x:c>
      <x:c r="F75" s="204" t="n">
        <x:f>F73+F74</x:f>
        <x:v>941</x:v>
      </x:c>
      <x:c r="G75" s="199" t="str">
        <x:v>B8 + B9</x:v>
      </x:c>
      <x:c r="H75" s="199" t="str"/>
      <x:c r="I75" s="199" t="str"/>
      <x:c r="J75" s="199" t="str"/>
      <x:c r="K75" s="194"/>
      <x:c r="L75" s="194"/>
      <x:c r="M75" s="194"/>
    </x:row>
    <x:row r="76">
      <x:c r="A76" s="130"/>
      <x:c r="B76" s="194" t="str">
        <x:v>Gross financial debt (incl. leases)</x:v>
      </x:c>
      <x:c r="C76" s="194" t="str">
        <x:v>B11</x:v>
      </x:c>
      <x:c r="D76" s="198" t="n">
        <x:f>'Reported Financials'!D59+'Reported Financials'!D63</x:f>
        <x:v>1913</x:v>
      </x:c>
      <x:c r="E76" s="198" t="n">
        <x:f>'Reported Financials'!E59+'Reported Financials'!E63</x:f>
        <x:v>2423</x:v>
      </x:c>
      <x:c r="F76" s="198" t="n">
        <x:f>'Reported Financials'!F59+'Reported Financials'!F63</x:f>
        <x:v>1281</x:v>
      </x:c>
      <x:c r="G76" s="199" t="str">
        <x:v>Note 29 financial debt only; includes lease liabilities.</x:v>
      </x:c>
      <x:c r="H76" s="199" t="str"/>
      <x:c r="I76" s="199" t="str"/>
      <x:c r="J76" s="199" t="str"/>
      <x:c r="K76" s="194"/>
      <x:c r="L76" s="194"/>
      <x:c r="M76" s="194"/>
    </x:row>
    <x:row r="77">
      <x:c r="A77" s="130"/>
      <x:c r="B77" s="194" t="str">
        <x:v>Financial cash used in NFP (100% of cash and cash equivalents)</x:v>
      </x:c>
      <x:c r="C77" s="194" t="str">
        <x:v>B12</x:v>
      </x:c>
      <x:c r="D77" s="198" t="n">
        <x:f>'Reported Financials'!D53</x:f>
        <x:v>850</x:v>
      </x:c>
      <x:c r="E77" s="198" t="n">
        <x:f>'Reported Financials'!E53</x:f>
        <x:v>1184</x:v>
      </x:c>
      <x:c r="F77" s="198" t="n">
        <x:f>'Reported Financials'!F53</x:f>
        <x:v>1650</x:v>
      </x:c>
      <x:c r="G77" s="199" t="str">
        <x:v>Full reported cash and cash equivalents; final supervisor instruction sets operating cash to zero.</x:v>
      </x:c>
      <x:c r="H77" s="199" t="str"/>
      <x:c r="I77" s="199" t="str">
        <x:v>Session 4; final supervisor cash convention</x:v>
      </x:c>
      <x:c r="J77" s="199" t="str"/>
      <x:c r="K77" s="194"/>
      <x:c r="L77" s="194"/>
      <x:c r="M77" s="194"/>
    </x:row>
    <x:row r="78">
      <x:c r="A78" s="130"/>
      <x:c r="B78" s="203" t="str">
        <x:v>Net financial position (NFP; debt positive)</x:v>
      </x:c>
      <x:c r="C78" s="203" t="str">
        <x:v>B13</x:v>
      </x:c>
      <x:c r="D78" s="204" t="n">
        <x:f>D76-D77</x:f>
        <x:v>1063</x:v>
      </x:c>
      <x:c r="E78" s="204" t="n">
        <x:f>E76-E77</x:f>
        <x:v>1239</x:v>
      </x:c>
      <x:c r="F78" s="204" t="n">
        <x:f>F76-F77</x:f>
        <x:v>-369</x:v>
      </x:c>
      <x:c r="G78" s="199" t="str">
        <x:v>Financial debt less financial cash. Other long-term/non-operating assets remain outside NFP.</x:v>
      </x:c>
      <x:c r="H78" s="199" t="str"/>
      <x:c r="I78" s="199" t="str">
        <x:v>Session 4</x:v>
      </x:c>
      <x:c r="J78" s="199" t="str"/>
      <x:c r="K78" s="194"/>
      <x:c r="L78" s="194"/>
      <x:c r="M78" s="194"/>
    </x:row>
    <x:row r="79">
      <x:c r="A79" s="130"/>
      <x:c r="B79" s="205" t="str">
        <x:v>Net tax liabilities / (assets)</x:v>
      </x:c>
      <x:c r="C79" s="205" t="str">
        <x:v>B14</x:v>
      </x:c>
      <x:c r="D79" s="206" t="n">
        <x:f>'Reported Financials'!D61+'Reported Financials'!D67-'Reported Financials'!D47-'Reported Financials'!D52</x:f>
        <x:v>191</x:v>
      </x:c>
      <x:c r="E79" s="206" t="n">
        <x:f>'Reported Financials'!E61+'Reported Financials'!E67-'Reported Financials'!E47-'Reported Financials'!E52</x:f>
        <x:v>245</x:v>
      </x:c>
      <x:c r="F79" s="206" t="n">
        <x:f>'Reported Financials'!F61+'Reported Financials'!F67-'Reported Financials'!F47-'Reported Financials'!F52</x:f>
        <x:v>387</x:v>
      </x:c>
      <x:c r="G79" s="202" t="str">
        <x:v>Tax liabilities - tax assets</x:v>
      </x:c>
      <x:c r="H79" s="202" t="str">
        <x:v>UNRESOLVED: separate tax position selected provisionally</x:v>
      </x:c>
      <x:c r="I79" s="202" t="str">
        <x:v>Session 4 slide 18</x:v>
      </x:c>
      <x:c r="J79" s="202" t="str">
        <x:v>Course permits either a separate Net Tax Position or inclusion in operating capital. Main BS keeps a separate position; ROE section shows a technical tax-embedded variant.</x:v>
      </x:c>
      <x:c r="K79" s="194"/>
      <x:c r="L79" s="194"/>
      <x:c r="M79" s="194"/>
    </x:row>
    <x:row r="80">
      <x:c r="A80" s="130"/>
      <x:c r="B80" s="200" t="str">
        <x:v>Net financial obligations (NFO) for ROE decomposition</x:v>
      </x:c>
      <x:c r="C80" s="200" t="str">
        <x:v>B15</x:v>
      </x:c>
      <x:c r="D80" s="201" t="n">
        <x:f>D78-D75</x:f>
        <x:v>508</x:v>
      </x:c>
      <x:c r="E80" s="201" t="n">
        <x:f>E78-E75</x:f>
        <x:v>690</x:v>
      </x:c>
      <x:c r="F80" s="201" t="n">
        <x:f>F78-F75</x:f>
        <x:v>-1310</x:v>
      </x:c>
      <x:c r="G80" s="202" t="str">
        <x:v>NFP less equity-method investments, Note 24 financial assets and net held-for-sale assets; this is the signed NFO/NFA perimeter used in MM/Penman.</x:v>
      </x:c>
      <x:c r="H80" s="202" t="str">
        <x:v>Instructor-feedback correction</x:v>
      </x:c>
      <x:c r="I80" s="202" t="str">
        <x:v>Sessions 4 and 6; instructor feedback</x:v>
      </x:c>
      <x:c r="J80" s="202" t="str"/>
      <x:c r="K80" s="194"/>
      <x:c r="L80" s="194"/>
      <x:c r="M80" s="194"/>
    </x:row>
    <x:row r="81">
      <x:c r="A81" s="130"/>
      <x:c r="B81" s="203" t="str">
        <x:v>Net equity</x:v>
      </x:c>
      <x:c r="C81" s="203" t="str">
        <x:v>B16</x:v>
      </x:c>
      <x:c r="D81" s="207" t="n">
        <x:f>'Reported Financials'!D56</x:f>
        <x:v>3643</x:v>
      </x:c>
      <x:c r="E81" s="207" t="n">
        <x:f>'Reported Financials'!E56</x:f>
        <x:v>4465</x:v>
      </x:c>
      <x:c r="F81" s="207" t="n">
        <x:f>'Reported Financials'!F56</x:f>
        <x:v>5614</x:v>
      </x:c>
      <x:c r="G81" s="199" t="str">
        <x:v>Reported equity</x:v>
      </x:c>
      <x:c r="H81" s="199" t="str"/>
      <x:c r="I81" s="199" t="str"/>
      <x:c r="J81" s="199" t="str"/>
      <x:c r="K81" s="194"/>
      <x:c r="L81" s="194"/>
      <x:c r="M81" s="194"/>
    </x:row>
    <x:row r="82">
      <x:c r="A82" s="130"/>
      <x:c r="B82" s="203" t="str">
        <x:v>Managerial BS reconciliation check</x:v>
      </x:c>
      <x:c r="C82" s="203" t="str">
        <x:v>B17</x:v>
      </x:c>
      <x:c r="D82" s="204" t="n">
        <x:f>D72+D75-D78-D79-D81</x:f>
        <x:v>-1</x:v>
      </x:c>
      <x:c r="E82" s="204" t="n">
        <x:f>E72+E75-E78-E79-E81</x:f>
        <x:v>-1</x:v>
      </x:c>
      <x:c r="F82" s="204" t="n">
        <x:f>F72+F75-F78-F79-F81</x:f>
        <x:v>-1</x:v>
      </x:c>
      <x:c r="G82" s="199" t="str">
        <x:v>NOIC + non-operating assets - NFP - net tax position - other liabilities - equity</x:v>
      </x:c>
      <x:c r="H82" s="199" t="str"/>
      <x:c r="I82" s="199" t="str"/>
      <x:c r="J82" s="199" t="str">
        <x:v>Should be zero apart from report rounding.</x:v>
      </x:c>
      <x:c r="K82" s="194"/>
      <x:c r="L82" s="194"/>
      <x:c r="M82" s="194"/>
    </x:row>
    <x:row r="83">
      <x:c r="A83" s="130"/>
      <x:c r="B83" s="205" t="str">
        <x:v>Technical NOIC for ROE decomposition (tax position embedded)</x:v>
      </x:c>
      <x:c r="C83" s="205" t="str">
        <x:v>B18</x:v>
      </x:c>
      <x:c r="D83" s="212" t="n">
        <x:f>D80+D81</x:f>
        <x:v>4151</x:v>
      </x:c>
      <x:c r="E83" s="212" t="n">
        <x:f>E80+E81</x:f>
        <x:v>5155</x:v>
      </x:c>
      <x:c r="F83" s="212" t="n">
        <x:f>F80+F81</x:f>
        <x:v>4304</x:v>
      </x:c>
      <x:c r="G83" s="202" t="str">
        <x:v>Technical NOIC for ROE decomposition = NFO + equity. This financing-side identity removes the €1m report-rounding residual; the main managerial NOIC in B7 is unchanged and the tax-position presentation remains a supervisor decision.</x:v>
      </x:c>
      <x:c r="H83" s="202" t="str">
        <x:v>Technical identity for exact MM/Penman reconciliation</x:v>
      </x:c>
      <x:c r="I83" s="202" t="str">
        <x:v>Session 4 slide 18; Session 6 technical adjustments</x:v>
      </x:c>
      <x:c r="J83" s="202" t="str"/>
      <x:c r="K83" s="194"/>
      <x:c r="L83" s="194"/>
      <x:c r="M83" s="194"/>
    </x:row>
    <x:row r="84">
      <x:c r="A84" s="130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</x:row>
    <x:row r="85">
      <x:c r="A85" s="130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</x:row>
    <x:row r="86">
      <x:c r="A86" s="133" t="str">
        <x:v>x</x:v>
      </x:c>
      <x:c r="B86" s="197" t="str">
        <x:v>ROI and ROE Decompositions (Sessions 5-6)</x:v>
      </x:c>
      <x:c r="C86" s="197"/>
      <x:c r="D86" s="197"/>
      <x:c r="E86" s="197"/>
      <x:c r="F86" s="197"/>
      <x:c r="G86" s="197"/>
      <x:c r="H86" s="197"/>
      <x:c r="I86" s="197"/>
      <x:c r="J86" s="197"/>
      <x:c r="K86" s="194"/>
      <x:c r="L86" s="194"/>
      <x:c r="M86" s="194"/>
    </x:row>
    <x:row r="87">
      <x:c r="A87" s="130"/>
      <x:c r="B87" s="209" t="str">
        <x:v>ROI / RONA</x:v>
      </x:c>
      <x:c r="C87" s="209"/>
      <x:c r="D87" s="209"/>
      <x:c r="E87" s="209"/>
      <x:c r="F87" s="209"/>
      <x:c r="G87" s="209"/>
      <x:c r="H87" s="209"/>
      <x:c r="I87" s="209"/>
      <x:c r="J87" s="209"/>
      <x:c r="K87" s="194"/>
      <x:c r="L87" s="194"/>
      <x:c r="M87" s="194"/>
    </x:row>
    <x:row r="88">
      <x:c r="A88" s="130"/>
      <x:c r="B88" s="203" t="str">
        <x:v>Gross core ROI</x:v>
      </x:c>
      <x:c r="C88" s="203" t="str">
        <x:v>P1</x:v>
      </x:c>
      <x:c r="D88" s="213" t="n">
        <x:f>D16/D71</x:f>
        <x:v>0.08530710558008832</x:v>
      </x:c>
      <x:c r="E88" s="213" t="n">
        <x:f>E16/E71</x:f>
        <x:v>0.11372263952830951</x:v>
      </x:c>
      <x:c r="F88" s="213" t="n">
        <x:f>F16/F71</x:f>
        <x:v>0.12508461827754794</x:v>
      </x:c>
      <x:c r="G88" s="199" t="str">
        <x:v>Core operating income [A] / gross core operating invested capital</x:v>
      </x:c>
      <x:c r="H88" s="199" t="str"/>
      <x:c r="I88" s="199" t="str">
        <x:v>Session 5</x:v>
      </x:c>
      <x:c r="J88" s="199" t="str"/>
      <x:c r="K88" s="194"/>
      <x:c r="L88" s="194"/>
      <x:c r="M88" s="194"/>
    </x:row>
    <x:row r="89">
      <x:c r="A89" s="130"/>
      <x:c r="B89" s="203" t="str">
        <x:v>Core RONA / net core ROI</x:v>
      </x:c>
      <x:c r="C89" s="203" t="str">
        <x:v>P2</x:v>
      </x:c>
      <x:c r="D89" s="213" t="n">
        <x:f>D16/D72</x:f>
        <x:v>0.19580741764570375</x:v>
      </x:c>
      <x:c r="E89" s="213" t="n">
        <x:f>E16/E72</x:f>
        <x:v>0.2607890350064827</x:v>
      </x:c>
      <x:c r="F89" s="213" t="n">
        <x:f>F16/F72</x:f>
        <x:v>0.3545842217484009</x:v>
      </x:c>
      <x:c r="G89" s="199" t="str">
        <x:v>Core operating income [A] / NOIC</x:v>
      </x:c>
      <x:c r="H89" s="199" t="str"/>
      <x:c r="I89" s="199" t="str">
        <x:v>Session 5</x:v>
      </x:c>
      <x:c r="J89" s="199" t="str"/>
      <x:c r="K89" s="194"/>
      <x:c r="L89" s="194"/>
      <x:c r="M89" s="194"/>
    </x:row>
    <x:row r="90">
      <x:c r="A90" s="130"/>
      <x:c r="B90" s="194" t="str">
        <x:v>Non-core ROI</x:v>
      </x:c>
      <x:c r="C90" s="194" t="str">
        <x:v>P3</x:v>
      </x:c>
      <x:c r="D90" s="214" t="n">
        <x:f>IFERROR(D14/D73,0)</x:f>
        <x:v>-0.013461538461538462</x:v>
      </x:c>
      <x:c r="E90" s="214" t="n">
        <x:f>IFERROR(E14/E73,0)</x:f>
        <x:v>-0.08561020036429873</x:v>
      </x:c>
      <x:c r="F90" s="214" t="n">
        <x:f>IFERROR(F14/F73,0)</x:f>
        <x:v>-0.055408970976253295</x:v>
      </x:c>
      <x:c r="G90" s="199" t="str">
        <x:v>Non-core operating income [B] / non-core assets earning [B]</x:v>
      </x:c>
      <x:c r="H90" s="199" t="str"/>
      <x:c r="I90" s="199" t="str"/>
      <x:c r="J90" s="199" t="str"/>
      <x:c r="K90" s="194"/>
      <x:c r="L90" s="194"/>
      <x:c r="M90" s="194"/>
    </x:row>
    <x:row r="91">
      <x:c r="A91" s="130"/>
      <x:c r="B91" s="203" t="str">
        <x:v>Total net ROI (recurring)</x:v>
      </x:c>
      <x:c r="C91" s="203" t="str">
        <x:v>P4</x:v>
      </x:c>
      <x:c r="D91" s="213" t="n">
        <x:f>(D15)/(D72+D73)</x:f>
        <x:v>0.1734211067681547</x:v>
      </x:c>
      <x:c r="E91" s="213" t="n">
        <x:f>(E15)/(E72+E73)</x:f>
        <x:v>0.2288164088769334</x:v>
      </x:c>
      <x:c r="F91" s="213" t="n">
        <x:f>(F15)/(F72+F73)</x:f>
        <x:v>0.32392976918524363</x:v>
      </x:c>
      <x:c r="G91" s="199" t="str">
        <x:v>Recurring operating income [A+B] / (NOIC + non-core earning assets)</x:v>
      </x:c>
      <x:c r="H91" s="199" t="str"/>
      <x:c r="I91" s="199" t="str"/>
      <x:c r="J91" s="199" t="str"/>
      <x:c r="K91" s="194"/>
      <x:c r="L91" s="194"/>
      <x:c r="M91" s="194"/>
    </x:row>
    <x:row r="92">
      <x:c r="A92" s="130"/>
      <x:c r="B92" s="194" t="str">
        <x:v>ROS - core operating margin</x:v>
      </x:c>
      <x:c r="C92" s="194" t="str">
        <x:v>P5</x:v>
      </x:c>
      <x:c r="D92" s="215" t="n">
        <x:f>D16/D11</x:f>
        <x:v>0.11845039018952062</x:v>
      </x:c>
      <x:c r="E92" s="215" t="n">
        <x:f>E16/E11</x:f>
        <x:v>0.1443954466208594</x:v>
      </x:c>
      <x:c r="F92" s="215" t="n">
        <x:f>F16/F11</x:f>
        <x:v>0.16738802214393558</x:v>
      </x:c>
      <x:c r="G92" s="199" t="str">
        <x:v>Core operating income [A] / sales</x:v>
      </x:c>
      <x:c r="H92" s="199" t="str"/>
      <x:c r="I92" s="199" t="str"/>
      <x:c r="J92" s="199" t="str"/>
      <x:c r="K92" s="194"/>
      <x:c r="L92" s="194"/>
      <x:c r="M92" s="194"/>
    </x:row>
    <x:row r="93">
      <x:c r="A93" s="130"/>
      <x:c r="B93" s="194" t="str">
        <x:v>Gross operating asset turnover</x:v>
      </x:c>
      <x:c r="C93" s="194" t="str">
        <x:v>P6</x:v>
      </x:c>
      <x:c r="D93" s="216" t="n">
        <x:f>D11/D71</x:f>
        <x:v>0.7201926936973103</x:v>
      </x:c>
      <x:c r="E93" s="216" t="n">
        <x:f>E11/E71</x:f>
        <x:v>0.7875777400856151</x:v>
      </x:c>
      <x:c r="F93" s="216" t="n">
        <x:f>F11/F71</x:f>
        <x:v>0.7472734110567882</x:v>
      </x:c>
      <x:c r="G93" s="199" t="str">
        <x:v>Sales / gross core operating invested capital</x:v>
      </x:c>
      <x:c r="H93" s="199" t="str"/>
      <x:c r="I93" s="199" t="str"/>
      <x:c r="J93" s="199" t="str"/>
      <x:c r="K93" s="194"/>
      <x:c r="L93" s="194"/>
      <x:c r="M93" s="194"/>
    </x:row>
    <x:row r="94">
      <x:c r="A94" s="130"/>
      <x:c r="B94" s="194" t="str">
        <x:v>Operating-liability leverage factor</x:v>
      </x:c>
      <x:c r="C94" s="194" t="str">
        <x:v>P7</x:v>
      </x:c>
      <x:c r="D94" s="217" t="n">
        <x:f>D71/D72</x:f>
        <x:v>2.295323658143285</x:v>
      </x:c>
      <x:c r="E94" s="217" t="n">
        <x:f>E71/E72</x:f>
        <x:v>2.293202444897203</x:v>
      </x:c>
      <x:c r="F94" s="217" t="n">
        <x:f>F71/F72</x:f>
        <x:v>2.8347547974413647</x:v>
      </x:c>
      <x:c r="G94" s="199" t="str">
        <x:v>Gross / net operating invested capital</x:v>
      </x:c>
      <x:c r="H94" s="199" t="str"/>
      <x:c r="I94" s="199" t="str"/>
      <x:c r="J94" s="199" t="str"/>
      <x:c r="K94" s="194"/>
      <x:c r="L94" s="194"/>
      <x:c r="M94" s="194"/>
    </x:row>
    <x:row r="95">
      <x:c r="A95" s="130"/>
      <x:c r="B95" s="203" t="str">
        <x:v>RONA decomposition check</x:v>
      </x:c>
      <x:c r="C95" s="203" t="str">
        <x:v>P8</x:v>
      </x:c>
      <x:c r="D95" s="213" t="n">
        <x:f>D92*D93*D94</x:f>
        <x:v>0.19580741764570375</x:v>
      </x:c>
      <x:c r="E95" s="213" t="n">
        <x:f>E92*E93*E94</x:f>
        <x:v>0.2607890350064827</x:v>
      </x:c>
      <x:c r="F95" s="213" t="n">
        <x:f>F92*F93*F94</x:f>
        <x:v>0.3545842217484008</x:v>
      </x:c>
      <x:c r="G95" s="199" t="str">
        <x:v>ROS × gross asset turnover × operating-liability leverage</x:v>
      </x:c>
      <x:c r="H95" s="199" t="str"/>
      <x:c r="I95" s="199" t="str">
        <x:v>Session 5 / Session 6</x:v>
      </x:c>
      <x:c r="J95" s="199" t="str"/>
      <x:c r="K95" s="194"/>
      <x:c r="L95" s="194"/>
      <x:c r="M95" s="194"/>
    </x:row>
    <x:row r="96">
      <x:c r="A96" s="130"/>
      <x:c r="B96" s="194" t="str">
        <x:v>Reading - RONA drivers</x:v>
      </x:c>
      <x:c r="C96" s="194" t="str">
        <x:v>P9</x:v>
      </x:c>
      <x:c r="D96" s="218" t="str"/>
      <x:c r="E96" s="218" t="str"/>
      <x:c r="F96" s="218" t="str"/>
      <x:c r="G96" s="199" t="str"/>
      <x:c r="H96" s="199" t="str"/>
      <x:c r="I96" s="199" t="str"/>
      <x:c r="J96" s="199" t="str">
        <x:v>RONA rises across the period. 2023→2024 is driven by a higher core margin and better gross asset turnover while operating-liability leverage is broadly flat. In 2025 the margin rises again and customer advances push operating-liability leverage materially higher, while asset turnover declines. The 2024→2025 comparison remains non-like-for-like under the supervisor's historical-basis instruction.</x:v>
      </x:c>
      <x:c r="K96" s="194"/>
      <x:c r="L96" s="194"/>
      <x:c r="M96" s="194"/>
    </x:row>
    <x:row r="97">
      <x:c r="A97" s="130"/>
      <x:c r="B97" s="194"/>
      <x:c r="C97" s="194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4"/>
    </x:row>
    <x:row r="98">
      <x:c r="A98" s="130"/>
      <x:c r="B98" s="194"/>
      <x:c r="C98" s="194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4"/>
    </x:row>
    <x:row r="99">
      <x:c r="A99" s="130"/>
      <x:c r="B99" s="209" t="str">
        <x:v>ROE - DuPont (using comprehensive income for consistency with course ROE)</x:v>
      </x:c>
      <x:c r="C99" s="209"/>
      <x:c r="D99" s="209"/>
      <x:c r="E99" s="209"/>
      <x:c r="F99" s="209"/>
      <x:c r="G99" s="209"/>
      <x:c r="H99" s="209"/>
      <x:c r="I99" s="209"/>
      <x:c r="J99" s="209"/>
      <x:c r="K99" s="194"/>
      <x:c r="L99" s="194"/>
      <x:c r="M99" s="194"/>
    </x:row>
    <x:row r="100">
      <x:c r="A100" s="130"/>
      <x:c r="B100" s="194" t="str">
        <x:v>Comprehensive income margin</x:v>
      </x:c>
      <x:c r="C100" s="194" t="str">
        <x:v>E1</x:v>
      </x:c>
      <x:c r="D100" s="215" t="n">
        <x:f>'Reported Financials'!D37/'Reported Financials'!D11</x:f>
        <x:v>0.08319397993311037</x:v>
      </x:c>
      <x:c r="E100" s="215" t="n">
        <x:f>'Reported Financials'!E37/'Reported Financials'!E11</x:f>
        <x:v>0.1024510306635217</x:v>
      </x:c>
      <x:c r="F100" s="215" t="n">
        <x:f>'Reported Financials'!F37/'Reported Financials'!F11</x:f>
        <x:v>0.07911424257674887</x:v>
      </x:c>
      <x:c r="G100" s="199" t="str">
        <x:v>Comprehensive income / sales</x:v>
      </x:c>
      <x:c r="H100" s="199" t="str"/>
      <x:c r="I100" s="199" t="str"/>
      <x:c r="J100" s="199" t="str"/>
      <x:c r="K100" s="194"/>
      <x:c r="L100" s="194"/>
      <x:c r="M100" s="194"/>
    </x:row>
    <x:row r="101">
      <x:c r="A101" s="130"/>
      <x:c r="B101" s="194" t="str">
        <x:v>Total asset turnover</x:v>
      </x:c>
      <x:c r="C101" s="194" t="str">
        <x:v>E2</x:v>
      </x:c>
      <x:c r="D101" s="216" t="n">
        <x:f>'Reported Financials'!D11/'Reported Financials'!D55</x:f>
        <x:v>0.6129666011787819</x:v>
      </x:c>
      <x:c r="E101" s="216" t="n">
        <x:f>'Reported Financials'!E11/'Reported Financials'!E55</x:f>
        <x:v>0.6797964305633017</x:v>
      </x:c>
      <x:c r="F101" s="216" t="n">
        <x:f>'Reported Financials'!F11/'Reported Financials'!F55</x:f>
        <x:v>0.592356308132602</x:v>
      </x:c>
      <x:c r="G101" s="199" t="str">
        <x:v>Sales / total assets</x:v>
      </x:c>
      <x:c r="H101" s="199" t="str"/>
      <x:c r="I101" s="199" t="str"/>
      <x:c r="J101" s="199" t="str"/>
      <x:c r="K101" s="194"/>
      <x:c r="L101" s="194"/>
      <x:c r="M101" s="194"/>
    </x:row>
    <x:row r="102">
      <x:c r="A102" s="130"/>
      <x:c r="B102" s="194" t="str">
        <x:v>Equity multiplier</x:v>
      </x:c>
      <x:c r="C102" s="194" t="str">
        <x:v>E3</x:v>
      </x:c>
      <x:c r="D102" s="216" t="n">
        <x:f>'Reported Financials'!D55/'Reported Financials'!D56</x:f>
        <x:v>3.213560252539116</x:v>
      </x:c>
      <x:c r="E102" s="216" t="n">
        <x:f>'Reported Financials'!E55/'Reported Financials'!E56</x:f>
        <x:v>3.212541993281075</x:v>
      </x:c>
      <x:c r="F102" s="216" t="n">
        <x:f>'Reported Financials'!F55/'Reported Financials'!F56</x:f>
        <x:v>2.9875311720698257</x:v>
      </x:c>
      <x:c r="G102" s="199" t="str">
        <x:v>Total assets / equity</x:v>
      </x:c>
      <x:c r="H102" s="199" t="str"/>
      <x:c r="I102" s="199" t="str"/>
      <x:c r="J102" s="199" t="str"/>
      <x:c r="K102" s="194"/>
      <x:c r="L102" s="194"/>
      <x:c r="M102" s="194"/>
    </x:row>
    <x:row r="103">
      <x:c r="A103" s="130"/>
      <x:c r="B103" s="203" t="str">
        <x:v>ROE - DuPont</x:v>
      </x:c>
      <x:c r="C103" s="203" t="str">
        <x:v>E4</x:v>
      </x:c>
      <x:c r="D103" s="213" t="n">
        <x:f>D100*D101*D102</x:f>
        <x:v>0.16387592643425747</x:v>
      </x:c>
      <x:c r="E103" s="213" t="n">
        <x:f>E100*E101*E102</x:f>
        <x:v>0.22374020156774915</x:v>
      </x:c>
      <x:c r="F103" s="213" t="n">
        <x:f>F100*F101*F102</x:f>
        <x:v>0.14000712504453156</x:v>
      </x:c>
      <x:c r="G103" s="199" t="str">
        <x:v>CI margin × asset turnover × equity multiplier</x:v>
      </x:c>
      <x:c r="H103" s="199" t="str"/>
      <x:c r="I103" s="199" t="str"/>
      <x:c r="J103" s="199" t="str"/>
      <x:c r="K103" s="194"/>
      <x:c r="L103" s="194"/>
      <x:c r="M103" s="194"/>
    </x:row>
    <x:row r="104">
      <x:c r="A104" s="130"/>
      <x:c r="B104" s="194"/>
      <x:c r="C104" s="194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4"/>
    </x:row>
    <x:row r="105">
      <x:c r="A105" s="130"/>
      <x:c r="B105" s="209" t="str">
        <x:v>ROE - Modigliani-Miller decomposition (before taxes)</x:v>
      </x:c>
      <x:c r="C105" s="209"/>
      <x:c r="D105" s="209"/>
      <x:c r="E105" s="209"/>
      <x:c r="F105" s="209"/>
      <x:c r="G105" s="209"/>
      <x:c r="H105" s="209"/>
      <x:c r="I105" s="209"/>
      <x:c r="J105" s="209"/>
      <x:c r="K105" s="194"/>
      <x:c r="L105" s="194"/>
      <x:c r="M105" s="194"/>
    </x:row>
    <x:row r="106">
      <x:c r="A106" s="130"/>
      <x:c r="B106" s="200" t="str">
        <x:v>Core operating return used in ROE decomposition</x:v>
      </x:c>
      <x:c r="C106" s="200" t="str">
        <x:v>E5</x:v>
      </x:c>
      <x:c r="D106" s="219" t="n">
        <x:f>D16/D83</x:f>
        <x:v>0.20476993495543241</x:v>
      </x:c>
      <x:c r="E106" s="219" t="n">
        <x:f>E16/E83</x:f>
        <x:v>0.2731328806983511</x:v>
      </x:c>
      <x:c r="F106" s="219" t="n">
        <x:f>F16/F83</x:f>
        <x:v>0.38638475836431224</x:v>
      </x:c>
      <x:c r="G106" s="202" t="str">
        <x:v>Core operating income [A] / technical NOIC (tax position embedded). Non-operating assets are moved to NFO per instructor feedback.</x:v>
      </x:c>
      <x:c r="H106" s="202" t="str">
        <x:v>Uses technical tax/structural adjustment</x:v>
      </x:c>
      <x:c r="I106" s="202" t="str"/>
      <x:c r="J106" s="202" t="str"/>
      <x:c r="K106" s="194"/>
      <x:c r="L106" s="194"/>
      <x:c r="M106" s="194"/>
    </x:row>
    <x:row r="107">
      <x:c r="A107" s="130"/>
      <x:c r="B107" s="194" t="str">
        <x:v>Net financial expenses incl. non-core/financial income</x:v>
      </x:c>
      <x:c r="C107" s="194" t="str">
        <x:v>E6</x:v>
      </x:c>
      <x:c r="D107" s="211" t="n">
        <x:f>-(D14+D17)</x:f>
        <x:v>89</x:v>
      </x:c>
      <x:c r="E107" s="211" t="n">
        <x:f>-(E14+E17)</x:f>
        <x:v>163</x:v>
      </x:c>
      <x:c r="F107" s="211" t="n">
        <x:f>-(F14+F17)</x:f>
        <x:v>133</x:v>
      </x:c>
      <x:c r="G107" s="199" t="str">
        <x:v>−([B] + [C]); matches the income generated by assets moved into NFO.</x:v>
      </x:c>
      <x:c r="H107" s="199" t="str"/>
      <x:c r="I107" s="199" t="str"/>
      <x:c r="J107" s="199" t="str"/>
      <x:c r="K107" s="194"/>
      <x:c r="L107" s="194"/>
      <x:c r="M107" s="194"/>
    </x:row>
    <x:row r="108">
      <x:c r="A108" s="130"/>
      <x:c r="B108" s="200" t="str">
        <x:v>Signed return/cost on NFO (NFA if negative)</x:v>
      </x:c>
      <x:c r="C108" s="200" t="str">
        <x:v>E7</x:v>
      </x:c>
      <x:c r="D108" s="219" t="n">
        <x:f>IFERROR(D107/D80,0)</x:f>
        <x:v>0.17519685039370078</x:v>
      </x:c>
      <x:c r="E108" s="219" t="n">
        <x:f>IFERROR(E107/E80,0)</x:f>
        <x:v>0.23623188405797102</x:v>
      </x:c>
      <x:c r="F108" s="219" t="n">
        <x:f>IFERROR(F107/F80,0)</x:f>
        <x:v>-0.10152671755725191</x:v>
      </x:c>
      <x:c r="G108" s="202" t="str">
        <x:v>Net financial expenses / signed NFO (negative denominator denotes net financial assets).</x:v>
      </x:c>
      <x:c r="H108" s="202" t="str">
        <x:v>2025 NFP is net financial assets</x:v>
      </x:c>
      <x:c r="I108" s="202" t="str"/>
      <x:c r="J108" s="202" t="str">
        <x:v>Signed algebra keeps the identity exact; 2025 should not be interpreted as a normal cost-of-debt ratio.</x:v>
      </x:c>
      <x:c r="K108" s="194"/>
      <x:c r="L108" s="194"/>
      <x:c r="M108" s="194"/>
    </x:row>
    <x:row r="109">
      <x:c r="A109" s="130"/>
      <x:c r="B109" s="194" t="str">
        <x:v>Financial leverage (NFO / equity)</x:v>
      </x:c>
      <x:c r="C109" s="194" t="str">
        <x:v>E8</x:v>
      </x:c>
      <x:c r="D109" s="216" t="n">
        <x:f>D80/D81</x:f>
        <x:v>0.1394455119407082</x:v>
      </x:c>
      <x:c r="E109" s="216" t="n">
        <x:f>E80/E81</x:f>
        <x:v>0.15453527435610304</x:v>
      </x:c>
      <x:c r="F109" s="216" t="n">
        <x:f>F80/F81</x:f>
        <x:v>-0.23334520840755255</x:v>
      </x:c>
      <x:c r="G109" s="199" t="str">
        <x:v>Signed NFO / equity.</x:v>
      </x:c>
      <x:c r="H109" s="199" t="str"/>
      <x:c r="I109" s="199" t="str"/>
      <x:c r="J109" s="199" t="str"/>
      <x:c r="K109" s="194"/>
      <x:c r="L109" s="194"/>
      <x:c r="M109" s="194"/>
    </x:row>
    <x:row r="110">
      <x:c r="A110" s="130"/>
      <x:c r="B110" s="203" t="str">
        <x:v>ROE before unusual items and taxes</x:v>
      </x:c>
      <x:c r="C110" s="203" t="str">
        <x:v>E9</x:v>
      </x:c>
      <x:c r="D110" s="213" t="n">
        <x:f>D106+(D106-D108)*D109</x:f>
        <x:v>0.20889376887180894</x:v>
      </x:c>
      <x:c r="E110" s="213" t="n">
        <x:f>E106+(E106-E108)*E109</x:f>
        <x:v>0.2788353863381859</x:v>
      </x:c>
      <x:c r="F110" s="213" t="n">
        <x:f>F106+(F106-F108)*F109</x:f>
        <x:v>0.2725329533309583</x:v>
      </x:c>
      <x:c r="G110" s="199" t="str">
        <x:v>ROI + (ROI - net financial rate) × leverage</x:v>
      </x:c>
      <x:c r="H110" s="199" t="str"/>
      <x:c r="I110" s="199" t="str">
        <x:v>Session 6 MM formula</x:v>
      </x:c>
      <x:c r="J110" s="199" t="str"/>
      <x:c r="K110" s="194"/>
      <x:c r="L110" s="194"/>
      <x:c r="M110" s="194"/>
    </x:row>
    <x:row r="111">
      <x:c r="A111" s="130"/>
      <x:c r="B111" s="194" t="str">
        <x:v>CI / earnings before unusual items and taxes</x:v>
      </x:c>
      <x:c r="C111" s="194" t="str">
        <x:v>E10</x:v>
      </x:c>
      <x:c r="D111" s="215" t="n">
        <x:f>D30/D18</x:f>
        <x:v>0.7844940867279895</x:v>
      </x:c>
      <x:c r="E111" s="215" t="n">
        <x:f>E30/E18</x:f>
        <x:v>0.8024096385542169</x:v>
      </x:c>
      <x:c r="F111" s="215" t="n">
        <x:f>F30/F18</x:f>
        <x:v>0.5137254901960784</x:v>
      </x:c>
      <x:c r="G111" s="199" t="str">
        <x:v>Bridge from recurring pre-tax earnings to comprehensive income</x:v>
      </x:c>
      <x:c r="H111" s="199" t="str"/>
      <x:c r="I111" s="199" t="str">
        <x:v>Session 6</x:v>
      </x:c>
      <x:c r="J111" s="199" t="str"/>
      <x:c r="K111" s="194"/>
      <x:c r="L111" s="194"/>
      <x:c r="M111" s="194"/>
    </x:row>
    <x:row r="112">
      <x:c r="A112" s="130"/>
      <x:c r="B112" s="203" t="str">
        <x:v>ROE - MM decomposition</x:v>
      </x:c>
      <x:c r="C112" s="203" t="str">
        <x:v>E11</x:v>
      </x:c>
      <x:c r="D112" s="213" t="n">
        <x:f>D110*D111</x:f>
        <x:v>0.16387592643425747</x:v>
      </x:c>
      <x:c r="E112" s="213" t="n">
        <x:f>E110*E111</x:f>
        <x:v>0.22374020156774915</x:v>
      </x:c>
      <x:c r="F112" s="213" t="n">
        <x:f>F110*F111</x:f>
        <x:v>0.1400071250445315</x:v>
      </x:c>
      <x:c r="G112" s="199" t="str">
        <x:v>Pre-unusual/tax ROE × CI/EBUIT</x:v>
      </x:c>
      <x:c r="H112" s="199" t="str"/>
      <x:c r="I112" s="199" t="str"/>
      <x:c r="J112" s="199" t="str"/>
      <x:c r="K112" s="194"/>
      <x:c r="L112" s="194"/>
      <x:c r="M112" s="194"/>
    </x:row>
    <x:row r="113">
      <x:c r="A113" s="130"/>
      <x:c r="B113" s="203" t="str">
        <x:v>ROE - direct check</x:v>
      </x:c>
      <x:c r="C113" s="203" t="str">
        <x:v>E12</x:v>
      </x:c>
      <x:c r="D113" s="220" t="n">
        <x:f>D30/D81</x:f>
        <x:v>0.16387592643425747</x:v>
      </x:c>
      <x:c r="E113" s="220" t="n">
        <x:f>E30/E81</x:f>
        <x:v>0.22374020156774915</x:v>
      </x:c>
      <x:c r="F113" s="220" t="n">
        <x:f>F30/F81</x:f>
        <x:v>0.14000712504453153</x:v>
      </x:c>
      <x:c r="G113" s="199" t="str">
        <x:v>Comprehensive income / equity</x:v>
      </x:c>
      <x:c r="H113" s="199" t="str"/>
      <x:c r="I113" s="199" t="str">
        <x:v>Session 6</x:v>
      </x:c>
      <x:c r="J113" s="199" t="str"/>
      <x:c r="K113" s="194"/>
      <x:c r="L113" s="194"/>
      <x:c r="M113" s="194"/>
    </x:row>
    <x:row r="114">
      <x:c r="A114" s="130"/>
      <x:c r="B114" s="194" t="str">
        <x:v>Reading - ROE</x:v>
      </x:c>
      <x:c r="C114" s="194" t="str">
        <x:v>E13</x:v>
      </x:c>
      <x:c r="D114" s="218" t="str"/>
      <x:c r="E114" s="218" t="str"/>
      <x:c r="F114" s="218" t="str"/>
      <x:c r="G114" s="199" t="str"/>
      <x:c r="H114" s="199" t="str"/>
      <x:c r="I114" s="199" t="str"/>
      <x:c r="J114" s="199" t="str">
        <x:v>ROE reconciles to comprehensive income / equity. The feedback-driven change is in the explanation: non-operating assets are moved into NFO/NFA and their income is included in net financial income, while Rheinmetall's management operating-result KPI is memo-only.</x:v>
      </x:c>
      <x:c r="K114" s="194"/>
      <x:c r="L114" s="194"/>
      <x:c r="M114" s="194"/>
    </x:row>
    <x:row r="115">
      <x:c r="A115" s="130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/>
      <x:c r="B117" s="209" t="str">
        <x:v>Penman - after-tax ROE and operating-liability leverage</x:v>
      </x:c>
      <x:c r="C117" s="209"/>
      <x:c r="D117" s="209"/>
      <x:c r="E117" s="209"/>
      <x:c r="F117" s="209"/>
      <x:c r="G117" s="209"/>
      <x:c r="H117" s="209"/>
      <x:c r="I117" s="209"/>
      <x:c r="J117" s="209"/>
      <x:c r="K117" s="194"/>
      <x:c r="L117" s="194"/>
      <x:c r="M117" s="194"/>
    </x:row>
    <x:row r="118">
      <x:c r="A118" s="130"/>
      <x:c r="B118" s="200" t="str">
        <x:v>Effective tax rate - continuing operations</x:v>
      </x:c>
      <x:c r="C118" s="200" t="str">
        <x:v>E14</x:v>
      </x:c>
      <x:c r="D118" s="221" t="n">
        <x:f>-'Reported Financials'!D24/'Reported Financials'!D23</x:f>
        <x:v>0.22699386503067484</x:v>
      </x:c>
      <x:c r="E118" s="221" t="n">
        <x:f>-'Reported Financials'!E24/'Reported Financials'!E23</x:f>
        <x:v>0.2709519934906428</x:v>
      </x:c>
      <x:c r="F118" s="221" t="n">
        <x:f>-'Reported Financials'!F24/'Reported Financials'!F23</x:f>
        <x:v>0.25190839694656486</x:v>
      </x:c>
      <x:c r="G118" s="202" t="str">
        <x:v>Reported continuing tax / continuing EBT</x:v>
      </x:c>
      <x:c r="H118" s="202" t="str">
        <x:v>Tax-allocation proxy</x:v>
      </x:c>
      <x:c r="I118" s="202" t="str"/>
      <x:c r="J118" s="202" t="str">
        <x:v>One effective tax rate is applied to recurring operating and financial items; exact tax allocation is not disclosed.</x:v>
      </x:c>
      <x:c r="K118" s="194"/>
      <x:c r="L118" s="194"/>
      <x:c r="M118" s="194"/>
    </x:row>
    <x:row r="119">
      <x:c r="A119" s="130"/>
      <x:c r="B119" s="194" t="str">
        <x:v>Core NOPAT</x:v>
      </x:c>
      <x:c r="C119" s="194" t="str">
        <x:v>E15</x:v>
      </x:c>
      <x:c r="D119" s="211" t="n">
        <x:f>D16*(1-D118)</x:f>
        <x:v>657.0552147239264</x:v>
      </x:c>
      <x:c r="E119" s="211" t="n">
        <x:f>E16*(1-E118)</x:f>
        <x:v>1026.499593165175</x:v>
      </x:c>
      <x:c r="F119" s="211" t="n">
        <x:f>F16*(1-F118)</x:f>
        <x:v>1244.0763358778627</x:v>
      </x:c>
      <x:c r="G119" s="199" t="str">
        <x:v>Core operating income × (1-effective tax rate)</x:v>
      </x:c>
      <x:c r="H119" s="199" t="str"/>
      <x:c r="I119" s="199" t="str"/>
      <x:c r="J119" s="199" t="str"/>
      <x:c r="K119" s="194"/>
      <x:c r="L119" s="194"/>
      <x:c r="M119" s="194"/>
    </x:row>
    <x:row r="120">
      <x:c r="A120" s="130"/>
      <x:c r="B120" s="203" t="str">
        <x:v>Core RNOA</x:v>
      </x:c>
      <x:c r="C120" s="203" t="str">
        <x:v>E16</x:v>
      </x:c>
      <x:c r="D120" s="213" t="n">
        <x:f>D119/D83</x:f>
        <x:v>0.15828841597781892</x:v>
      </x:c>
      <x:c r="E120" s="213" t="n">
        <x:f>E119/E83</x:f>
        <x:v>0.19912698218529096</x:v>
      </x:c>
      <x:c r="F120" s="213" t="n">
        <x:f>F119/F83</x:f>
        <x:v>0.28905119328017254</x:v>
      </x:c>
      <x:c r="G120" s="199" t="str">
        <x:v>NOPAT / NOIC</x:v>
      </x:c>
      <x:c r="H120" s="199" t="str"/>
      <x:c r="I120" s="199" t="str">
        <x:v>Session 6 Penman</x:v>
      </x:c>
      <x:c r="J120" s="199" t="str"/>
      <x:c r="K120" s="194"/>
      <x:c r="L120" s="194"/>
      <x:c r="M120" s="194"/>
    </x:row>
    <x:row r="121">
      <x:c r="A121" s="130"/>
      <x:c r="B121" s="200" t="str">
        <x:v>After-tax short-term borrowing-rate proxy</x:v>
      </x:c>
      <x:c r="C121" s="200" t="str">
        <x:v>E17</x:v>
      </x:c>
      <x:c r="D121" s="221" t="n">
        <x:f>(-'Reported Financials'!D22/D76)*(1-D118)</x:f>
        <x:v>0.04485294353455049</x:v>
      </x:c>
      <x:c r="E121" s="221" t="n">
        <x:f>(-'Reported Financials'!E22/E76)*(1-E118)</x:f>
        <x:v>0.04061967844769427</x:v>
      </x:c>
      <x:c r="F121" s="221" t="n">
        <x:f>(-'Reported Financials'!F22/F76)*(1-F118)</x:f>
        <x:v>0.06774287740374589</x:v>
      </x:c>
      <x:c r="G121" s="202" t="str">
        <x:v>Proxy remains review-only because short-term interest expense is not separately disclosed; the feedback does not supply a replacement market rate.</x:v>
      </x:c>
      <x:c r="H121" s="202" t="str">
        <x:v>Proxy - short-term interest split not disclosed</x:v>
      </x:c>
      <x:c r="I121" s="202" t="str">
        <x:v>Session 6 permits market/estimated short-term borrowing rate if split unavailable</x:v>
      </x:c>
      <x:c r="J121" s="202" t="str"/>
      <x:c r="K121" s="194"/>
      <x:c r="L121" s="194"/>
      <x:c r="M121" s="194"/>
    </x:row>
    <x:row r="122">
      <x:c r="A122" s="130"/>
      <x:c r="B122" s="194" t="str">
        <x:v>Implicit interest on operating liabilities</x:v>
      </x:c>
      <x:c r="C122" s="194" t="str">
        <x:v>E18</x:v>
      </x:c>
      <x:c r="D122" s="211" t="n">
        <x:f>(D69+'Reported Financials'!D61+'Reported Financials'!D67)*D121</x:f>
        <x:v>268.713984715492</x:v>
      </x:c>
      <x:c r="E122" s="211" t="n">
        <x:f>(E69+'Reported Financials'!E61+'Reported Financials'!E67)*E121</x:f>
        <x:v>302.86032250600846</x:v>
      </x:c>
      <x:c r="F122" s="211" t="n">
        <x:f>(F69+'Reported Financials'!F61+'Reported Financials'!F67)*F121</x:f>
        <x:v>621.0667000375423</x:v>
      </x:c>
      <x:c r="G122" s="199" t="str">
        <x:v>Operating liabilities × after-tax borrowing-rate proxy</x:v>
      </x:c>
      <x:c r="H122" s="199" t="str"/>
      <x:c r="I122" s="199" t="str"/>
      <x:c r="J122" s="199" t="str"/>
      <x:c r="K122" s="194"/>
      <x:c r="L122" s="194"/>
      <x:c r="M122" s="194"/>
    </x:row>
    <x:row r="123">
      <x:c r="A123" s="130"/>
      <x:c r="B123" s="194" t="str">
        <x:v>ROOA</x:v>
      </x:c>
      <x:c r="C123" s="194" t="str">
        <x:v>E19</x:v>
      </x:c>
      <x:c r="D123" s="214" t="n">
        <x:f>(D119+D122)/(D83+(D69+'Reported Financials'!D61+'Reported Financials'!D67))</x:f>
        <x:v>0.09128073352784642</x:v>
      </x:c>
      <x:c r="E123" s="214" t="n">
        <x:f>(E119+E122)/(E83+(E69+'Reported Financials'!E61+'Reported Financials'!E67))</x:f>
        <x:v>0.10541272822703858</x:v>
      </x:c>
      <x:c r="F123" s="214" t="n">
        <x:f>(F119+F122)/(F83+(F69+'Reported Financials'!F61+'Reported Financials'!F67))</x:f>
        <x:v>0.13844589043315061</x:v>
      </x:c>
      <x:c r="G123" s="199" t="str">
        <x:v>(NOPAT + implicit interest) / technical gross operating capital, with the financing-side identity used to remove the €1m report-rounding residual.</x:v>
      </x:c>
      <x:c r="H123" s="199" t="str"/>
      <x:c r="I123" s="199" t="str">
        <x:v>Session 6 Penman</x:v>
      </x:c>
      <x:c r="J123" s="199" t="str"/>
      <x:c r="K123" s="194"/>
      <x:c r="L123" s="194"/>
      <x:c r="M123" s="194"/>
    </x:row>
    <x:row r="124">
      <x:c r="A124" s="130"/>
      <x:c r="B124" s="194" t="str">
        <x:v>Operating-liability leverage</x:v>
      </x:c>
      <x:c r="C124" s="194" t="str">
        <x:v>E20</x:v>
      </x:c>
      <x:c r="D124" s="217" t="n">
        <x:f>(D69+'Reported Financials'!D61+'Reported Financials'!D67)/D83</x:f>
        <x:v>1.4432666827270537</x:v>
      </x:c>
      <x:c r="E124" s="217" t="n">
        <x:f>(E69+'Reported Financials'!E61+'Reported Financials'!E67)/E83</x:f>
        <x:v>1.4463627546071776</x:v>
      </x:c>
      <x:c r="F124" s="217" t="n">
        <x:f>(F69+'Reported Financials'!F61+'Reported Financials'!F67)/F83</x:f>
        <x:v>2.130111524163569</x:v>
      </x:c>
      <x:c r="G124" s="199" t="str">
        <x:v>Operating liabilities / NOIC</x:v>
      </x:c>
      <x:c r="H124" s="199" t="str"/>
      <x:c r="I124" s="199" t="str"/>
      <x:c r="J124" s="199" t="str"/>
      <x:c r="K124" s="194"/>
      <x:c r="L124" s="194"/>
      <x:c r="M124" s="194"/>
    </x:row>
    <x:row r="125">
      <x:c r="A125" s="130"/>
      <x:c r="B125" s="203" t="str">
        <x:v>Penman RNOA reconstruction</x:v>
      </x:c>
      <x:c r="C125" s="203" t="str">
        <x:v>E21</x:v>
      </x:c>
      <x:c r="D125" s="213" t="n">
        <x:f>D123+(D123-D121)*D124</x:f>
        <x:v>0.15828841597781895</x:v>
      </x:c>
      <x:c r="E125" s="213" t="n">
        <x:f>E123+(E123-E121)*E124</x:f>
        <x:v>0.19912698218529098</x:v>
      </x:c>
      <x:c r="F125" s="213" t="n">
        <x:f>F123+(F123-F121)*F124</x:f>
        <x:v>0.2890511932801726</x:v>
      </x:c>
      <x:c r="G125" s="199" t="str">
        <x:v>ROOA + (ROOA - implicit borrowing rate) × OL/NOIC</x:v>
      </x:c>
      <x:c r="H125" s="199" t="str"/>
      <x:c r="I125" s="199" t="str">
        <x:v>Session 6</x:v>
      </x:c>
      <x:c r="J125" s="199" t="str"/>
      <x:c r="K125" s="194"/>
      <x:c r="L125" s="194"/>
      <x:c r="M125" s="194"/>
    </x:row>
    <x:row r="126">
      <x:c r="A126" s="130"/>
      <x:c r="B126" s="203" t="str">
        <x:v>Penman RNOA check</x:v>
      </x:c>
      <x:c r="C126" s="203" t="str">
        <x:v>E22</x:v>
      </x:c>
      <x:c r="D126" s="222" t="n">
        <x:f>D120-D125</x:f>
        <x:v>-2.7755575615628914e-17</x:v>
      </x:c>
      <x:c r="E126" s="222" t="n">
        <x:f>E120-E125</x:f>
        <x:v>-2.7755575615628914e-17</x:v>
      </x:c>
      <x:c r="F126" s="222" t="n">
        <x:f>F120-F125</x:f>
        <x:v>-5.551115123125783e-17</x:v>
      </x:c>
      <x:c r="G126" s="199" t="str">
        <x:v>Direct RNOA - reconstructed RNOA; should be zero</x:v>
      </x:c>
      <x:c r="H126" s="199" t="str"/>
      <x:c r="I126" s="199" t="str"/>
      <x:c r="J126" s="199" t="str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3" t="str">
        <x:v>x</x:v>
      </x:c>
      <x:c r="B129" s="197" t="str">
        <x:v>Ratio Summary and Material-Change Screen</x:v>
      </x:c>
      <x:c r="C129" s="197"/>
      <x:c r="D129" s="197"/>
      <x:c r="E129" s="197"/>
      <x:c r="F129" s="197"/>
      <x:c r="G129" s="197"/>
      <x:c r="H129" s="197"/>
      <x:c r="I129" s="197"/>
      <x:c r="J129" s="197"/>
      <x:c r="K129" s="194"/>
      <x:c r="L129" s="194"/>
      <x:c r="M129" s="194"/>
    </x:row>
    <x:row r="130">
      <x:c r="A130" s="130"/>
      <x:c r="B130" s="194" t="str">
        <x:v>Sales growth</x:v>
      </x:c>
      <x:c r="C130" s="194" t="str">
        <x:v>S1</x:v>
      </x:c>
      <x:c r="D130" s="215" t="n">
        <x:f>0</x:f>
        <x:v>0</x:v>
      </x:c>
      <x:c r="E130" s="215" t="n">
        <x:f>'Reported Financials'!E11/'Reported Financials'!D11-1</x:f>
        <x:v>0.35883500557413606</x:v>
      </x:c>
      <x:c r="F130" s="215" t="n">
        <x:f>'Reported Financials'!F11/'Reported Financials'!E11-1</x:f>
        <x:v>0.01886985950158948</x:v>
      </x:c>
      <x:c r="G130" s="199" t="str">
        <x:v>YoY growth</x:v>
      </x:c>
      <x:c r="H130" s="199" t="str"/>
      <x:c r="I130" s="199" t="str"/>
      <x:c r="J130" s="199" t="str"/>
      <x:c r="K130" s="194"/>
      <x:c r="L130" s="194"/>
      <x:c r="M130" s="194"/>
    </x:row>
    <x:row r="131">
      <x:c r="A131" s="130"/>
      <x:c r="B131" s="194" t="str">
        <x:v>Core operating margin (ROS)</x:v>
      </x:c>
      <x:c r="C131" s="194" t="str">
        <x:v>S2</x:v>
      </x:c>
      <x:c r="D131" s="214" t="n">
        <x:f>D92</x:f>
        <x:v>0.11845039018952062</x:v>
      </x:c>
      <x:c r="E131" s="214" t="n">
        <x:f>E92</x:f>
        <x:v>0.1443954466208594</x:v>
      </x:c>
      <x:c r="F131" s="214" t="n">
        <x:f>F92</x:f>
        <x:v>0.16738802214393558</x:v>
      </x:c>
      <x:c r="G131" s="199" t="str">
        <x:v>From ROI section</x:v>
      </x:c>
      <x:c r="H131" s="199" t="str"/>
      <x:c r="I131" s="199" t="str"/>
      <x:c r="J131" s="199" t="str"/>
      <x:c r="K131" s="194"/>
      <x:c r="L131" s="194"/>
      <x:c r="M131" s="194"/>
    </x:row>
    <x:row r="132">
      <x:c r="A132" s="130"/>
      <x:c r="B132" s="194" t="str">
        <x:v>Core RONA</x:v>
      </x:c>
      <x:c r="C132" s="194" t="str">
        <x:v>S3</x:v>
      </x:c>
      <x:c r="D132" s="214" t="n">
        <x:f>D92</x:f>
        <x:v>0.11845039018952062</x:v>
      </x:c>
      <x:c r="E132" s="214" t="n">
        <x:f>E92</x:f>
        <x:v>0.1443954466208594</x:v>
      </x:c>
      <x:c r="F132" s="214" t="n">
        <x:f>F92</x:f>
        <x:v>0.16738802214393558</x:v>
      </x:c>
      <x:c r="G132" s="199" t="str">
        <x:v>From ROI section</x:v>
      </x:c>
      <x:c r="H132" s="199" t="str"/>
      <x:c r="I132" s="199" t="str"/>
      <x:c r="J132" s="199" t="str"/>
      <x:c r="K132" s="194"/>
      <x:c r="L132" s="194"/>
      <x:c r="M132" s="194"/>
    </x:row>
    <x:row r="133">
      <x:c r="A133" s="130"/>
      <x:c r="B133" s="194" t="str">
        <x:v>Total net ROI</x:v>
      </x:c>
      <x:c r="C133" s="194" t="str">
        <x:v>S4</x:v>
      </x:c>
      <x:c r="D133" s="214" t="n">
        <x:f>D89</x:f>
        <x:v>0.19580741764570375</x:v>
      </x:c>
      <x:c r="E133" s="214" t="n">
        <x:f>E89</x:f>
        <x:v>0.2607890350064827</x:v>
      </x:c>
      <x:c r="F133" s="214" t="n">
        <x:f>F89</x:f>
        <x:v>0.3545842217484009</x:v>
      </x:c>
      <x:c r="G133" s="199" t="str">
        <x:v>From ROI section</x:v>
      </x:c>
      <x:c r="H133" s="199" t="str"/>
      <x:c r="I133" s="199" t="str"/>
      <x:c r="J133" s="199" t="str"/>
      <x:c r="K133" s="194"/>
      <x:c r="L133" s="194"/>
      <x:c r="M133" s="194"/>
    </x:row>
    <x:row r="134">
      <x:c r="A134" s="130"/>
      <x:c r="B134" s="194" t="str">
        <x:v>ROE</x:v>
      </x:c>
      <x:c r="C134" s="194" t="str">
        <x:v>S5</x:v>
      </x:c>
      <x:c r="D134" s="214" t="n">
        <x:f>D91</x:f>
        <x:v>0.1734211067681547</x:v>
      </x:c>
      <x:c r="E134" s="214" t="n">
        <x:f>E91</x:f>
        <x:v>0.2288164088769334</x:v>
      </x:c>
      <x:c r="F134" s="214" t="n">
        <x:f>F91</x:f>
        <x:v>0.32392976918524363</x:v>
      </x:c>
      <x:c r="G134" s="199" t="str">
        <x:v>Comprehensive income / equity</x:v>
      </x:c>
      <x:c r="H134" s="199" t="str"/>
      <x:c r="I134" s="199" t="str"/>
      <x:c r="J134" s="199" t="str"/>
      <x:c r="K134" s="194"/>
      <x:c r="L134" s="194"/>
      <x:c r="M134" s="194"/>
    </x:row>
    <x:row r="135">
      <x:c r="A135" s="130"/>
      <x:c r="B135" s="194" t="str">
        <x:v>NOWC / sales</x:v>
      </x:c>
      <x:c r="C135" s="194" t="str">
        <x:v>S6</x:v>
      </x:c>
      <x:c r="D135" s="215" t="n">
        <x:f>D113</x:f>
        <x:v>0.16387592643425747</x:v>
      </x:c>
      <x:c r="E135" s="215" t="n">
        <x:f>E113</x:f>
        <x:v>0.22374020156774915</x:v>
      </x:c>
      <x:c r="F135" s="215" t="n">
        <x:f>F113</x:f>
        <x:v>0.14000712504453153</x:v>
      </x:c>
      <x:c r="G135" s="199" t="str">
        <x:v>NOWC / sales</x:v>
      </x:c>
      <x:c r="H135" s="199" t="str"/>
      <x:c r="I135" s="199" t="str"/>
      <x:c r="J135" s="199" t="str"/>
      <x:c r="K135" s="194"/>
      <x:c r="L135" s="194"/>
      <x:c r="M135" s="194"/>
    </x:row>
    <x:row r="136">
      <x:c r="A136" s="130"/>
      <x:c r="B136" s="194" t="str">
        <x:v>NFP / equity</x:v>
      </x:c>
      <x:c r="C136" s="194" t="str">
        <x:v>S7</x:v>
      </x:c>
      <x:c r="D136" s="215" t="n">
        <x:f>D70/D11</x:f>
        <x:v>0.04389632107023411</x:v>
      </x:c>
      <x:c r="E136" s="215" t="n">
        <x:f>E70/E11</x:f>
        <x:v>-0.010768126346015794</x:v>
      </x:c>
      <x:c r="F136" s="215" t="n">
        <x:f>F70/F11</x:f>
        <x:v>-0.07297433316557625</x:v>
      </x:c>
      <x:c r="G136" s="199" t="str">
        <x:v>Signed NFP / equity</x:v>
      </x:c>
      <x:c r="H136" s="199" t="str"/>
      <x:c r="I136" s="199" t="str"/>
      <x:c r="J136" s="199" t="str"/>
      <x:c r="K136" s="194"/>
      <x:c r="L136" s="194"/>
      <x:c r="M136" s="194"/>
    </x:row>
    <x:row r="137">
      <x:c r="A137" s="130"/>
      <x:c r="B137" s="194" t="str">
        <x:v>R&amp;D expense / sales</x:v>
      </x:c>
      <x:c r="C137" s="194" t="str">
        <x:v>S8</x:v>
      </x:c>
      <x:c r="D137" s="215" t="n">
        <x:f>D78/D81</x:f>
        <x:v>0.29179247872632447</x:v>
      </x:c>
      <x:c r="E137" s="215" t="n">
        <x:f>E78/E81</x:f>
        <x:v>0.277491601343785</x:v>
      </x:c>
      <x:c r="F137" s="215" t="n">
        <x:f>F78/F81</x:f>
        <x:v>-0.06572853580334877</x:v>
      </x:c>
      <x:c r="G137" s="199" t="str">
        <x:v>R&amp;D recognized as expense / sales</x:v>
      </x:c>
      <x:c r="H137" s="199" t="str"/>
      <x:c r="I137" s="199" t="str"/>
      <x:c r="J137" s="199" t="str"/>
      <x:c r="K137" s="194"/>
      <x:c r="L137" s="194"/>
      <x:c r="M137" s="194"/>
    </x:row>
    <x:row r="138">
      <x:c r="A138" s="130"/>
      <x:c r="B138" s="200" t="str">
        <x:v>Material-change observations</x:v>
      </x:c>
      <x:c r="C138" s="200" t="str">
        <x:v>S9</x:v>
      </x:c>
      <x:c r="D138" s="210" t="str">
        <x:v>2023 base</x:v>
      </x:c>
      <x:c r="E138" s="210" t="str">
        <x:v>2024: major sales/margin/RONA step-up</x:v>
      </x:c>
      <x:c r="F138" s="210" t="str">
        <x:v>2025: ROE decline; NOWC turns negative; NFP turns to net liquidity</x:v>
      </x:c>
      <x:c r="G138" s="202" t="str">
        <x:v>No fixed threshold. Flag when movement is clearly larger/different than prior YoY pattern.</x:v>
      </x:c>
      <x:c r="H138" s="202" t="str">
        <x:v>Agent judgement authorized by supervisor</x:v>
      </x:c>
      <x:c r="I138" s="202" t="str"/>
      <x:c r="J138" s="202" t="str">
        <x:v>2024→2025 is not like-for-like due to discontinued civilian business; flags are descriptive, not good/bad assessments.</x:v>
      </x:c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 t="str">
        <x:v>Self-check correction applied: PPA remains recurring, restructuring remains recurring, NFO includes all non-operating assets for ROE, and the company operating-result KPI is memo-only. Historical 2024→2025 scope limitation remains.</x:v>
      </x:c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3" t="str">
        <x:v>x</x:v>
      </x:c>
      <x:c r="B141" s="197" t="str">
        <x:v>Methodology Review / Audit Trail</x:v>
      </x:c>
      <x:c r="C141" s="197"/>
      <x:c r="D141" s="197"/>
      <x:c r="E141" s="197"/>
      <x:c r="F141" s="197" t="str">
        <x:v>Rebuild recurring core/non-core directly from reported EBIT and note-level unusual items; management operating result memo-only.</x:v>
      </x:c>
      <x:c r="G141" s="197" t="str">
        <x:v>Completed — instructor-feedback corrections applied</x:v>
      </x:c>
      <x:c r="H141" s="197"/>
      <x:c r="I141" s="197"/>
      <x:c r="J141" s="197"/>
      <x:c r="K141" s="194"/>
      <x:c r="L141" s="194"/>
      <x:c r="M141" s="194"/>
    </x:row>
    <x:row r="142">
      <x:c r="A142" s="130"/>
      <x:c r="B142" s="196" t="str">
        <x:v>Step</x:v>
      </x:c>
      <x:c r="C142" s="196" t="str">
        <x:v>Output reference</x:v>
      </x:c>
      <x:c r="D142" s="196" t="str">
        <x:v>Source inputs</x:v>
      </x:c>
      <x:c r="E142" s="196" t="str">
        <x:v>Rule / method</x:v>
      </x:c>
      <x:c r="F142" s="196" t="str">
        <x:v>Calculation / treatment</x:v>
      </x:c>
      <x:c r="G142" s="196" t="str">
        <x:v>Result / status</x:v>
      </x:c>
      <x:c r="H142" s="196" t="str">
        <x:v>Supervisor decision / issue</x:v>
      </x:c>
      <x:c r="I142" s="196" t="str"/>
      <x:c r="J142" s="196" t="str"/>
      <x:c r="K142" s="194"/>
      <x:c r="L142" s="194"/>
      <x:c r="M142" s="194"/>
    </x:row>
    <x:row r="143">
      <x:c r="A143" s="130"/>
      <x:c r="B143" s="194" t="str">
        <x:v>1</x:v>
      </x:c>
      <x:c r="C143" s="194" t="str">
        <x:v>R1-R17</x:v>
      </x:c>
      <x:c r="D143" s="194" t="str">
        <x:v>AR2024 p.188; AR2025 p.199; Notes 8/22; management special/PPA tables</x:v>
      </x:c>
      <x:c r="E143" s="194" t="str">
        <x:v>Session 2 reformulated IS</x:v>
      </x:c>
      <x:c r="F143" s="194" t="str">
        <x:v>Operating vs non-operating; no operating cash (100% of cash financial); recurring restructuring in operating liabilities; NFP and NFO distinguished.</x:v>
      </x:c>
      <x:c r="G143" s="194" t="str">
        <x:v>Completed with tax-position review flag</x:v>
      </x:c>
      <x:c r="H143" s="194" t="str">
        <x:v>Historical-basis supervisor decision applied</x:v>
      </x:c>
      <x:c r="I143" s="194"/>
      <x:c r="J143" s="194"/>
      <x:c r="K143" s="194"/>
      <x:c r="L143" s="194"/>
      <x:c r="M143" s="194"/>
    </x:row>
    <x:row r="144">
      <x:c r="A144" s="130"/>
      <x:c r="B144" s="194" t="str">
        <x:v>2</x:v>
      </x:c>
      <x:c r="C144" s="194" t="str">
        <x:v>C1-C22</x:v>
      </x:c>
      <x:c r="D144" s="194" t="str">
        <x:v>Notes 12-15; R&amp;D disclosures</x:v>
      </x:c>
      <x:c r="E144" s="194" t="str">
        <x:v>Session 3 three cost lenses</x:v>
      </x:c>
      <x:c r="F144" s="194" t="str">
        <x:v>By-function left n.d. where unsupported; other two lenses calculated</x:v>
      </x:c>
      <x:c r="G144" s="194" t="str">
        <x:v>Completed with one incomplete lens</x:v>
      </x:c>
      <x:c r="H144" s="194" t="str">
        <x:v>Strict-source supervisor decision; fixed/variable classification approved</x:v>
      </x:c>
      <x:c r="I144" s="194"/>
      <x:c r="J144" s="194"/>
      <x:c r="K144" s="194"/>
      <x:c r="L144" s="194"/>
      <x:c r="M144" s="194"/>
    </x:row>
    <x:row r="145">
      <x:c r="A145" s="130"/>
      <x:c r="B145" s="200" t="str">
        <x:v>3</x:v>
      </x:c>
      <x:c r="C145" s="200" t="str">
        <x:v>B1-B18</x:v>
      </x:c>
      <x:c r="D145" s="200" t="str">
        <x:v>AR face BS; Notes 24, 28, 30</x:v>
      </x:c>
      <x:c r="E145" s="200" t="str">
        <x:v>Session 4 managerial BS</x:v>
      </x:c>
      <x:c r="F145" s="200" t="str">
        <x:v>DuPont plus MM/Penman rebuilt on NFO and technical NOIC; PPA remains recurring.</x:v>
      </x:c>
      <x:c r="G145" s="200" t="str">
        <x:v>Completed with borrowing-rate proxy review flag</x:v>
      </x:c>
      <x:c r="H145" s="200" t="str">
        <x:v>Tax position and structural-provision classification remain review items</x:v>
      </x:c>
      <x:c r="I145" s="200"/>
      <x:c r="J145" s="200"/>
      <x:c r="K145" s="194"/>
      <x:c r="L145" s="194"/>
      <x:c r="M145" s="194"/>
    </x:row>
    <x:row r="146">
      <x:c r="A146" s="130"/>
      <x:c r="B146" s="194" t="str">
        <x:v>4</x:v>
      </x:c>
      <x:c r="C146" s="194" t="str">
        <x:v>P1-P9</x:v>
      </x:c>
      <x:c r="D146" s="194" t="str">
        <x:v>Reformulated IS + managerial BS</x:v>
      </x:c>
      <x:c r="E146" s="194" t="str">
        <x:v>Session 5 ROI</x:v>
      </x:c>
      <x:c r="F146" s="194" t="str">
        <x:v>Gross/net ROI and RONA driver decomposition</x:v>
      </x:c>
      <x:c r="G146" s="194" t="str">
        <x:v>Completed</x:v>
      </x:c>
      <x:c r="H146" s="194" t="str">
        <x:v>Historical scope limitation disclosed</x:v>
      </x:c>
      <x:c r="I146" s="194"/>
      <x:c r="J146" s="194"/>
      <x:c r="K146" s="194"/>
      <x:c r="L146" s="194"/>
      <x:c r="M146" s="194"/>
    </x:row>
    <x:row r="147">
      <x:c r="A147" s="130"/>
      <x:c r="B147" s="200" t="str">
        <x:v>5</x:v>
      </x:c>
      <x:c r="C147" s="200" t="str">
        <x:v>E1-E22</x:v>
      </x:c>
      <x:c r="D147" s="200" t="str">
        <x:v>CI, equity, NFP, adjusted IC</x:v>
      </x:c>
      <x:c r="E147" s="200" t="str">
        <x:v>Session 6 DuPont/MM/Penman</x:v>
      </x:c>
      <x:c r="F147" s="200" t="str">
        <x:v>ROE decompositions; Penman borrowing rate estimated from disclosed interest/debt</x:v>
      </x:c>
      <x:c r="G147" s="200" t="str">
        <x:v>Completed with proxy</x:v>
      </x:c>
      <x:c r="H147" s="200" t="str">
        <x:v>Short-term borrowing rate not separately disclosed</x:v>
      </x:c>
      <x:c r="I147" s="200"/>
      <x:c r="J147" s="200"/>
      <x:c r="K147" s="194"/>
      <x:c r="L147" s="194"/>
      <x:c r="M147" s="194"/>
    </x:row>
    <x:row r="148">
      <x:c r="A148" s="130"/>
      <x:c r="B148" s="194" t="str">
        <x:v>6</x:v>
      </x:c>
      <x:c r="C148" s="194" t="str">
        <x:v>S1-S9</x:v>
      </x:c>
      <x:c r="D148" s="194" t="str">
        <x:v>Calculated ratios</x:v>
      </x:c>
      <x:c r="E148" s="194" t="str">
        <x:v>Supervisor-authorized material-change judgement</x:v>
      </x:c>
      <x:c r="F148" s="194" t="str">
        <x:v>Descriptive comparison only; no external benchmark</x:v>
      </x:c>
      <x:c r="G148" s="194" t="str">
        <x:v>Completed</x:v>
      </x:c>
      <x:c r="H148" s="194" t="str">
        <x:v>2025 comparability limitation disclosed</x:v>
      </x:c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3" t="str">
        <x:v>x</x:v>
      </x:c>
      <x:c r="B150" s="197" t="str">
        <x:v>Checks</x:v>
      </x:c>
      <x:c r="C150" s="197"/>
      <x:c r="D150" s="197"/>
      <x:c r="E150" s="197"/>
      <x:c r="F150" s="197"/>
      <x:c r="G150" s="197"/>
      <x:c r="H150" s="197"/>
      <x:c r="I150" s="197"/>
      <x:c r="J150" s="197"/>
      <x:c r="K150" s="194"/>
      <x:c r="L150" s="194"/>
      <x:c r="M150" s="194"/>
    </x:row>
    <x:row r="151">
      <x:c r="A151" s="130"/>
      <x:c r="B151" s="194" t="str">
        <x:v>MM ROE equals direct ROE</x:v>
      </x:c>
      <x:c r="C151" s="194"/>
      <x:c r="D151" s="223" t="n">
        <x:f>MAX(ABS(D112-D113),ABS(E112-E113),ABS(F112-F113))</x:f>
        <x:v>2.7755575615628914e-17</x:v>
      </x:c>
      <x:c r="E151" s="194" t="str">
        <x:v>Expected 0</x:v>
      </x:c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 t="str">
        <x:v>Penman RNOA reconstruction</x:v>
      </x:c>
      <x:c r="C152" s="194"/>
      <x:c r="D152" s="223" t="n">
        <x:f>MAX(ABS(D120-D125),ABS(E120-E125),ABS(F120-F125))</x:f>
        <x:v>5.551115123125783e-17</x:v>
      </x:c>
      <x:c r="E152" s="194" t="str">
        <x:v>Expected 0</x:v>
      </x:c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 t="str">
        <x:v>RONA decomposition check</x:v>
      </x:c>
      <x:c r="C153" s="194"/>
      <x:c r="D153" s="223" t="n">
        <x:f>MAX(ABS(D89-D95),ABS(E89-E95),ABS(F89-F95))</x:f>
        <x:v>5.551115123125783e-17</x:v>
      </x:c>
      <x:c r="E153" s="194" t="str">
        <x:v>Expected 0</x:v>
      </x:c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 t="str">
        <x:v>MM ROE equals direct ROE</x:v>
      </x:c>
      <x:c r="C154" s="194"/>
      <x:c r="D154" s="223" t="n">
        <x:f>MAX(ABS(D112-D113),ABS(E112-E113),ABS(F112-F113))</x:f>
        <x:v>2.7755575615628914e-17</x:v>
      </x:c>
      <x:c r="E154" s="194" t="str">
        <x:v>Expected ~0</x:v>
      </x:c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 t="str">
        <x:v>Penman RNOA reconstruction</x:v>
      </x:c>
      <x:c r="C155" s="194"/>
      <x:c r="D155" s="223" t="n">
        <x:f>MAX(ABS(D126),ABS(E126),ABS(F126))</x:f>
        <x:v>5.551115123125783e-17</x:v>
      </x:c>
      <x:c r="E155" s="194" t="str">
        <x:v>Expected 0</x:v>
      </x:c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  <x:mergeCell ref="B31:J31"/>
    <x:mergeCell ref="B42:J42"/>
    <x:mergeCell ref="J96:J98"/>
    <x:mergeCell ref="J114:J1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5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6" hidden="0" customWidth="1"/>
  </x:cols>
  <x:sheetData>
    <x:row r="1">
      <x:c r="A1" s="130"/>
      <x:c r="B1" s="194"/>
      <x:c r="C1" s="194"/>
      <x:c r="D1" s="194"/>
      <x:c r="E1" s="194"/>
      <x:c r="F1" s="194"/>
      <x:c r="G1" s="194"/>
      <x:c r="H1" s="194"/>
      <x:c r="I1" s="194"/>
      <x:c r="J1" s="159"/>
      <x:c r="K1" s="194"/>
      <x:c r="L1" s="194"/>
      <x:c r="M1" s="194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0"/>
      <x:c r="B6" s="196" t="str">
        <x:v>(€ million)</x:v>
      </x:c>
      <x:c r="C6" s="196"/>
      <x:c r="D6" s="196" t="str">
        <x:v>2023A</x:v>
      </x:c>
      <x:c r="E6" s="196" t="str">
        <x:v>2024A</x:v>
      </x:c>
      <x:c r="F6" s="196" t="str">
        <x:v>2025A</x:v>
      </x:c>
      <x:c r="G6" s="196"/>
      <x:c r="H6" s="196"/>
      <x:c r="I6" s="196"/>
      <x:c r="J6" s="196" t="str">
        <x:v>Comment</x:v>
      </x:c>
      <x:c r="K6" s="194"/>
      <x:c r="L6" s="194"/>
      <x:c r="M6" s="194"/>
    </x:row>
    <x:row r="7">
      <x:c r="A7" s="130"/>
      <x:c r="B7" s="194"/>
      <x:c r="C7" s="194"/>
      <x:c r="D7" s="194"/>
      <x:c r="E7" s="194"/>
      <x:c r="F7" s="194"/>
      <x:c r="G7" s="194"/>
      <x:c r="H7" s="194"/>
      <x:c r="I7" s="194"/>
      <x:c r="J7" s="194"/>
      <x:c r="K7" s="194"/>
      <x:c r="L7" s="194"/>
      <x:c r="M7" s="194"/>
    </x:row>
    <x:row r="8">
      <x:c r="A8" s="130"/>
      <x:c r="B8" s="194"/>
      <x:c r="C8" s="194"/>
      <x:c r="D8" s="194"/>
      <x:c r="E8" s="194"/>
      <x:c r="F8" s="194"/>
      <x:c r="G8" s="194"/>
      <x:c r="H8" s="194"/>
      <x:c r="I8" s="194"/>
      <x:c r="J8" s="194"/>
      <x:c r="K8" s="194"/>
      <x:c r="L8" s="194"/>
      <x:c r="M8" s="194"/>
    </x:row>
    <x:row r="9">
      <x:c r="A9" s="130"/>
      <x:c r="B9" s="194"/>
      <x:c r="C9" s="194"/>
      <x:c r="D9" s="194"/>
      <x:c r="E9" s="194"/>
      <x:c r="F9" s="194"/>
      <x:c r="G9" s="194"/>
      <x:c r="H9" s="194"/>
      <x:c r="I9" s="194"/>
      <x:c r="J9" s="194"/>
      <x:c r="K9" s="194"/>
      <x:c r="L9" s="194"/>
      <x:c r="M9" s="194"/>
    </x:row>
    <x:row r="10">
      <x:c r="A10" s="133" t="str">
        <x:v>x</x:v>
      </x:c>
      <x:c r="B10" s="197" t="str">
        <x:v>Income Statement</x:v>
      </x:c>
      <x:c r="C10" s="197"/>
      <x:c r="D10" s="197"/>
      <x:c r="E10" s="197"/>
      <x:c r="F10" s="197"/>
      <x:c r="G10" s="197"/>
      <x:c r="H10" s="197"/>
      <x:c r="I10" s="197"/>
      <x:c r="J10" s="197"/>
      <x:c r="K10" s="194"/>
      <x:c r="L10" s="194"/>
      <x:c r="M10" s="194"/>
    </x:row>
    <x:row r="11">
      <x:c r="A11" s="130"/>
      <x:c r="B11" s="194" t="str">
        <x:v>Sales</x:v>
      </x:c>
      <x:c r="C11" s="194" t="str">
        <x:v>sales</x:v>
      </x:c>
      <x:c r="D11" s="198" t="n">
        <x:f>'Input financials'!D9</x:f>
        <x:v>7176</x:v>
      </x:c>
      <x:c r="E11" s="198" t="n">
        <x:f>'Input financials'!E9</x:f>
        <x:v>9751</x:v>
      </x:c>
      <x:c r="F11" s="198" t="n">
        <x:f>'Input financials'!F9</x:f>
        <x:v>9935</x:v>
      </x:c>
      <x:c r="G11" s="194"/>
      <x:c r="H11" s="194"/>
      <x:c r="I11" s="194"/>
      <x:c r="J11" s="194"/>
      <x:c r="K11" s="194"/>
      <x:c r="L11" s="194"/>
      <x:c r="M11" s="194"/>
    </x:row>
    <x:row r="12">
      <x:c r="A12" s="130"/>
      <x:c r="B12" s="194" t="str">
        <x:v>Changes in inventories and work performed/capitalized</x:v>
      </x:c>
      <x:c r="C12" s="194" t="str">
        <x:v>inv_ownwork</x:v>
      </x:c>
      <x:c r="D12" s="198" t="n">
        <x:f>'Input financials'!D10</x:f>
        <x:v>696</x:v>
      </x:c>
      <x:c r="E12" s="198" t="n">
        <x:f>'Input financials'!E10</x:f>
        <x:v>167</x:v>
      </x:c>
      <x:c r="F12" s="198" t="n">
        <x:f>'Input financials'!F10</x:f>
        <x:v>521</x:v>
      </x:c>
      <x:c r="G12" s="194"/>
      <x:c r="H12" s="194"/>
      <x:c r="I12" s="194"/>
      <x:c r="J12" s="194"/>
      <x:c r="K12" s="194"/>
      <x:c r="L12" s="194"/>
      <x:c r="M12" s="194"/>
    </x:row>
    <x:row r="13">
      <x:c r="A13" s="130"/>
      <x:c r="B13" s="194" t="str">
        <x:v>Other operating income</x:v>
      </x:c>
      <x:c r="C13" s="194" t="str">
        <x:v>other_op_income</x:v>
      </x:c>
      <x:c r="D13" s="198" t="n">
        <x:f>'Input financials'!D11</x:f>
        <x:v>153</x:v>
      </x:c>
      <x:c r="E13" s="198" t="n">
        <x:f>'Input financials'!E11</x:f>
        <x:v>228</x:v>
      </x:c>
      <x:c r="F13" s="198" t="n">
        <x:f>'Input financials'!F11</x:f>
        <x:v>273</x:v>
      </x:c>
      <x:c r="G13" s="194"/>
      <x:c r="H13" s="194"/>
      <x:c r="I13" s="194"/>
      <x:c r="J13" s="194"/>
      <x:c r="K13" s="194"/>
      <x:c r="L13" s="194"/>
      <x:c r="M13" s="194"/>
    </x:row>
    <x:row r="14">
      <x:c r="A14" s="130"/>
      <x:c r="B14" s="194" t="str">
        <x:v>Cost of materials</x:v>
      </x:c>
      <x:c r="C14" s="194" t="str">
        <x:v>cost_materials</x:v>
      </x:c>
      <x:c r="D14" s="198" t="n">
        <x:f>'Input financials'!D12</x:f>
        <x:v>-3935</x:v>
      </x:c>
      <x:c r="E14" s="198" t="n">
        <x:f>'Input financials'!E12</x:f>
        <x:v>-4859</x:v>
      </x:c>
      <x:c r="F14" s="198" t="n">
        <x:f>'Input financials'!F12</x:f>
        <x:v>-5252</x:v>
      </x:c>
      <x:c r="G14" s="194"/>
      <x:c r="H14" s="194"/>
      <x:c r="I14" s="194"/>
      <x:c r="J14" s="194"/>
      <x:c r="K14" s="194"/>
      <x:c r="L14" s="194"/>
      <x:c r="M14" s="194"/>
    </x:row>
    <x:row r="15">
      <x:c r="A15" s="130"/>
      <x:c r="B15" s="194" t="str">
        <x:v>Personnel costs</x:v>
      </x:c>
      <x:c r="C15" s="194" t="str">
        <x:v>personnel</x:v>
      </x:c>
      <x:c r="D15" s="198" t="n">
        <x:f>'Input financials'!D13</x:f>
        <x:v>-2047</x:v>
      </x:c>
      <x:c r="E15" s="198" t="n">
        <x:f>'Input financials'!E13</x:f>
        <x:v>-2373</x:v>
      </x:c>
      <x:c r="F15" s="198" t="n">
        <x:f>'Input financials'!F13</x:f>
        <x:v>-2314</x:v>
      </x:c>
      <x:c r="G15" s="194"/>
      <x:c r="H15" s="194"/>
      <x:c r="I15" s="194"/>
      <x:c r="J15" s="194"/>
      <x:c r="K15" s="194"/>
      <x:c r="L15" s="194"/>
      <x:c r="M15" s="194"/>
    </x:row>
    <x:row r="16">
      <x:c r="A16" s="130"/>
      <x:c r="B16" s="194" t="str">
        <x:v>Amortization, depreciation and impairment</x:v>
      </x:c>
      <x:c r="C16" s="194" t="str">
        <x:v>da_imp</x:v>
      </x:c>
      <x:c r="D16" s="198" t="n">
        <x:f>'Input financials'!D14</x:f>
        <x:v>-308</x:v>
      </x:c>
      <x:c r="E16" s="198" t="n">
        <x:f>'Input financials'!E14</x:f>
        <x:v>-403</x:v>
      </x:c>
      <x:c r="F16" s="198" t="n">
        <x:f>'Input financials'!F14</x:f>
        <x:v>-406</x:v>
      </x:c>
      <x:c r="G16" s="194"/>
      <x:c r="H16" s="194"/>
      <x:c r="I16" s="194"/>
      <x:c r="J16" s="194"/>
      <x:c r="K16" s="194"/>
      <x:c r="L16" s="194"/>
      <x:c r="M16" s="194"/>
    </x:row>
    <x:row r="17">
      <x:c r="A17" s="130"/>
      <x:c r="B17" s="194" t="str">
        <x:v>Other operating expenses</x:v>
      </x:c>
      <x:c r="C17" s="194" t="str">
        <x:v>other_opex</x:v>
      </x:c>
      <x:c r="D17" s="198" t="n">
        <x:f>'Input financials'!D15</x:f>
        <x:v>-889</x:v>
      </x:c>
      <x:c r="E17" s="198" t="n">
        <x:f>'Input financials'!E15</x:f>
        <x:v>-1120</x:v>
      </x:c>
      <x:c r="F17" s="198" t="n">
        <x:f>'Input financials'!F15</x:f>
        <x:v>-1112</x:v>
      </x:c>
      <x:c r="G17" s="194"/>
      <x:c r="H17" s="194"/>
      <x:c r="I17" s="194"/>
      <x:c r="J17" s="194"/>
      <x:c r="K17" s="194"/>
      <x:c r="L17" s="194"/>
      <x:c r="M17" s="194"/>
    </x:row>
    <x:row r="18">
      <x:c r="A18" s="130"/>
      <x:c r="B18" s="194" t="str">
        <x:v>Result from investments accounted for using equity method</x:v>
      </x:c>
      <x:c r="C18" s="194" t="str">
        <x:v>eq_result</x:v>
      </x:c>
      <x:c r="D18" s="198" t="n">
        <x:f>'Input financials'!D16</x:f>
        <x:v>57</x:v>
      </x:c>
      <x:c r="E18" s="198" t="n">
        <x:f>'Input financials'!E16</x:f>
        <x:v>-37</x:v>
      </x:c>
      <x:c r="F18" s="198" t="n">
        <x:f>'Input financials'!F16</x:f>
        <x:v>47</x:v>
      </x:c>
      <x:c r="G18" s="194"/>
      <x:c r="H18" s="194"/>
      <x:c r="I18" s="194"/>
      <x:c r="J18" s="194"/>
      <x:c r="K18" s="194"/>
      <x:c r="L18" s="194"/>
      <x:c r="M18" s="194"/>
    </x:row>
    <x:row r="19">
      <x:c r="A19" s="130"/>
      <x:c r="B19" s="194" t="str">
        <x:v>Other financial result</x:v>
      </x:c>
      <x:c r="C19" s="194" t="str">
        <x:v>other_fin_result</x:v>
      </x:c>
      <x:c r="D19" s="198" t="n">
        <x:f>'Input financials'!D17</x:f>
        <x:v>-6</x:v>
      </x:c>
      <x:c r="E19" s="198" t="n">
        <x:f>'Input financials'!E17</x:f>
        <x:v>-10</x:v>
      </x:c>
      <x:c r="F19" s="198" t="n">
        <x:f>'Input financials'!F17</x:f>
        <x:v>-7</x:v>
      </x:c>
      <x:c r="G19" s="194"/>
      <x:c r="H19" s="194"/>
      <x:c r="I19" s="194"/>
      <x:c r="J19" s="194"/>
      <x:c r="K19" s="194"/>
      <x:c r="L19" s="194"/>
      <x:c r="M19" s="194"/>
    </x:row>
    <x:row r="20">
      <x:c r="A20" s="130"/>
      <x:c r="B20" s="203" t="str">
        <x:v>EBIT</x:v>
      </x:c>
      <x:c r="C20" s="203" t="str">
        <x:v>ebit</x:v>
      </x:c>
      <x:c r="D20" s="207" t="n">
        <x:f>'Input financials'!D18</x:f>
        <x:v>897</x:v>
      </x:c>
      <x:c r="E20" s="207" t="n">
        <x:f>'Input financials'!E18</x:f>
        <x:v>1345</x:v>
      </x:c>
      <x:c r="F20" s="207" t="n">
        <x:f>'Input financials'!F18</x:f>
        <x:v>1684</x:v>
      </x:c>
      <x:c r="G20" s="194"/>
      <x:c r="H20" s="194"/>
      <x:c r="I20" s="194"/>
      <x:c r="J20" s="194"/>
      <x:c r="K20" s="194"/>
      <x:c r="L20" s="194"/>
      <x:c r="M20" s="194"/>
    </x:row>
    <x:row r="21">
      <x:c r="A21" s="130"/>
      <x:c r="B21" s="194" t="str">
        <x:v>Interest income</x:v>
      </x:c>
      <x:c r="C21" s="194" t="str">
        <x:v>interest_income</x:v>
      </x:c>
      <x:c r="D21" s="198" t="n">
        <x:f>'Input financials'!D19</x:f>
        <x:v>29</x:v>
      </x:c>
      <x:c r="E21" s="198" t="n">
        <x:f>'Input financials'!E19</x:f>
        <x:v>19</x:v>
      </x:c>
      <x:c r="F21" s="198" t="n">
        <x:f>'Input financials'!F19</x:f>
        <x:v>4</x:v>
      </x:c>
      <x:c r="G21" s="194"/>
      <x:c r="H21" s="194"/>
      <x:c r="I21" s="194"/>
      <x:c r="J21" s="194"/>
      <x:c r="K21" s="194"/>
      <x:c r="L21" s="194"/>
      <x:c r="M21" s="194"/>
    </x:row>
    <x:row r="22">
      <x:c r="A22" s="130"/>
      <x:c r="B22" s="194" t="str">
        <x:v>Interest expense</x:v>
      </x:c>
      <x:c r="C22" s="194" t="str">
        <x:v>interest_expense</x:v>
      </x:c>
      <x:c r="D22" s="198" t="n">
        <x:f>'Input financials'!D20</x:f>
        <x:v>-111</x:v>
      </x:c>
      <x:c r="E22" s="198" t="n">
        <x:f>'Input financials'!E20</x:f>
        <x:v>-135</x:v>
      </x:c>
      <x:c r="F22" s="198" t="n">
        <x:f>'Input financials'!F20</x:f>
        <x:v>-116</x:v>
      </x:c>
      <x:c r="G22" s="194"/>
      <x:c r="H22" s="194"/>
      <x:c r="I22" s="194"/>
      <x:c r="J22" s="194"/>
      <x:c r="K22" s="194"/>
      <x:c r="L22" s="194"/>
      <x:c r="M22" s="194"/>
    </x:row>
    <x:row r="23">
      <x:c r="A23" s="130"/>
      <x:c r="B23" s="203" t="str">
        <x:v>Earnings before taxes (continuing operations)</x:v>
      </x:c>
      <x:c r="C23" s="203" t="str">
        <x:v>ebt</x:v>
      </x:c>
      <x:c r="D23" s="207" t="n">
        <x:f>'Input financials'!D21</x:f>
        <x:v>815</x:v>
      </x:c>
      <x:c r="E23" s="207" t="n">
        <x:f>'Input financials'!E21</x:f>
        <x:v>1229</x:v>
      </x:c>
      <x:c r="F23" s="207" t="n">
        <x:f>'Input financials'!F21</x:f>
        <x:v>1572</x:v>
      </x:c>
      <x:c r="G23" s="194"/>
      <x:c r="H23" s="194"/>
      <x:c r="I23" s="194"/>
      <x:c r="J23" s="194"/>
      <x:c r="K23" s="194"/>
      <x:c r="L23" s="194"/>
      <x:c r="M23" s="194"/>
    </x:row>
    <x:row r="24">
      <x:c r="A24" s="130"/>
      <x:c r="B24" s="194" t="str">
        <x:v>Income taxes (continuing operations)</x:v>
      </x:c>
      <x:c r="C24" s="194" t="str">
        <x:v>income_tax</x:v>
      </x:c>
      <x:c r="D24" s="198" t="n">
        <x:f>'Input financials'!D22</x:f>
        <x:v>-185</x:v>
      </x:c>
      <x:c r="E24" s="198" t="n">
        <x:f>'Input financials'!E22</x:f>
        <x:v>-333</x:v>
      </x:c>
      <x:c r="F24" s="198" t="n">
        <x:f>'Input financials'!F22</x:f>
        <x:v>-396</x:v>
      </x:c>
      <x:c r="G24" s="194"/>
      <x:c r="H24" s="194"/>
      <x:c r="I24" s="194"/>
      <x:c r="J24" s="194"/>
      <x:c r="K24" s="194"/>
      <x:c r="L24" s="194"/>
      <x:c r="M24" s="194"/>
    </x:row>
    <x:row r="25">
      <x:c r="A25" s="130"/>
      <x:c r="B25" s="203" t="str">
        <x:v>Earnings from continuing operations</x:v>
      </x:c>
      <x:c r="C25" s="203" t="str">
        <x:v>cont_income</x:v>
      </x:c>
      <x:c r="D25" s="207" t="n">
        <x:f>'Input financials'!D23</x:f>
        <x:v>630</x:v>
      </x:c>
      <x:c r="E25" s="207" t="n">
        <x:f>'Input financials'!E23</x:f>
        <x:v>896</x:v>
      </x:c>
      <x:c r="F25" s="207" t="n">
        <x:f>'Input financials'!F23</x:f>
        <x:v>1176</x:v>
      </x:c>
      <x:c r="G25" s="194"/>
      <x:c r="H25" s="194"/>
      <x:c r="I25" s="194"/>
      <x:c r="J25" s="194"/>
      <x:c r="K25" s="194"/>
      <x:c r="L25" s="194"/>
      <x:c r="M25" s="194"/>
    </x:row>
    <x:row r="26">
      <x:c r="A26" s="130"/>
      <x:c r="B26" s="194" t="str">
        <x:v>Earnings from discontinued operations</x:v>
      </x:c>
      <x:c r="C26" s="194" t="str">
        <x:v>disc_after_tax</x:v>
      </x:c>
      <x:c r="D26" s="198" t="n">
        <x:f>'Input financials'!D24</x:f>
        <x:v>-44</x:v>
      </x:c>
      <x:c r="E26" s="198" t="n">
        <x:f>'Input financials'!E24</x:f>
        <x:v>-87</x:v>
      </x:c>
      <x:c r="F26" s="198" t="n">
        <x:f>'Input financials'!F24</x:f>
        <x:v>-341</x:v>
      </x:c>
      <x:c r="G26" s="194"/>
      <x:c r="H26" s="194"/>
      <x:c r="I26" s="194"/>
      <x:c r="J26" s="194"/>
      <x:c r="K26" s="194"/>
      <x:c r="L26" s="194"/>
      <x:c r="M26" s="194"/>
    </x:row>
    <x:row r="27">
      <x:c r="A27" s="130"/>
      <x:c r="B27" s="203" t="str">
        <x:v>Earnings after taxes</x:v>
      </x:c>
      <x:c r="C27" s="203" t="str">
        <x:v>net_income</x:v>
      </x:c>
      <x:c r="D27" s="207" t="n">
        <x:f>'Input financials'!D25</x:f>
        <x:v>586</x:v>
      </x:c>
      <x:c r="E27" s="207" t="n">
        <x:f>'Input financials'!E25</x:f>
        <x:v>808</x:v>
      </x:c>
      <x:c r="F27" s="207" t="n">
        <x:f>'Input financials'!F25</x:f>
        <x:v>835</x:v>
      </x:c>
      <x:c r="G27" s="194"/>
      <x:c r="H27" s="194"/>
      <x:c r="I27" s="194"/>
      <x:c r="J27" s="194"/>
      <x:c r="K27" s="194"/>
      <x:c r="L27" s="194"/>
      <x:c r="M27" s="194"/>
    </x:row>
    <x:row r="28">
      <x:c r="A28" s="130"/>
      <x:c r="B28" s="194"/>
      <x:c r="C28" s="194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4"/>
    </x:row>
    <x:row r="29">
      <x:c r="A29" s="133" t="str">
        <x:v>x</x:v>
      </x:c>
      <x:c r="B29" s="197" t="str">
        <x:v>Statement of Comprehensive Income</x:v>
      </x:c>
      <x:c r="C29" s="197"/>
      <x:c r="D29" s="197"/>
      <x:c r="E29" s="197"/>
      <x:c r="F29" s="197"/>
      <x:c r="G29" s="197"/>
      <x:c r="H29" s="197"/>
      <x:c r="I29" s="197"/>
      <x:c r="J29" s="197"/>
      <x:c r="K29" s="194"/>
      <x:c r="L29" s="194"/>
      <x:c r="M29" s="194"/>
    </x:row>
    <x:row r="30">
      <x:c r="A30" s="130"/>
      <x:c r="B30" s="194" t="str">
        <x:v>Earnings after taxes</x:v>
      </x:c>
      <x:c r="C30" s="194" t="str">
        <x:v>net_income</x:v>
      </x:c>
      <x:c r="D30" s="198" t="n">
        <x:f>'Input financials'!D25</x:f>
        <x:v>586</x:v>
      </x:c>
      <x:c r="E30" s="198" t="n">
        <x:f>'Input financials'!E25</x:f>
        <x:v>808</x:v>
      </x:c>
      <x:c r="F30" s="198" t="n">
        <x:f>'Input financials'!F25</x:f>
        <x:v>835</x:v>
      </x:c>
      <x:c r="G30" s="194"/>
      <x:c r="H30" s="194"/>
      <x:c r="I30" s="194"/>
      <x:c r="J30" s="194"/>
      <x:c r="K30" s="194"/>
      <x:c r="L30" s="194"/>
      <x:c r="M30" s="194"/>
    </x:row>
    <x:row r="31">
      <x:c r="A31" s="130"/>
      <x:c r="B31" s="194" t="str">
        <x:v>OCI: remeasurement of net defined benefit liability</x:v>
      </x:c>
      <x:c r="C31" s="194" t="str">
        <x:v>oci_pension</x:v>
      </x:c>
      <x:c r="D31" s="198" t="n">
        <x:f>'Input financials'!D106</x:f>
        <x:v>30</x:v>
      </x:c>
      <x:c r="E31" s="198" t="n">
        <x:f>'Input financials'!E106</x:f>
        <x:v>165</x:v>
      </x:c>
      <x:c r="F31" s="198" t="n">
        <x:f>'Input financials'!F106</x:f>
        <x:v>52</x:v>
      </x:c>
      <x:c r="G31" s="194"/>
      <x:c r="H31" s="194"/>
      <x:c r="I31" s="194"/>
      <x:c r="J31" s="194"/>
      <x:c r="K31" s="194"/>
      <x:c r="L31" s="194"/>
      <x:c r="M31" s="194"/>
    </x:row>
    <x:row r="32">
      <x:c r="A32" s="130"/>
      <x:c r="B32" s="194" t="str">
        <x:v>OCI: equity-method items not reclassified</x:v>
      </x:c>
      <x:c r="C32" s="194" t="str">
        <x:v>oci_eq_nonreclass</x:v>
      </x:c>
      <x:c r="D32" s="198" t="n">
        <x:f>'Input financials'!D107</x:f>
        <x:v>0</x:v>
      </x:c>
      <x:c r="E32" s="198" t="n">
        <x:f>'Input financials'!E107</x:f>
        <x:v>-2</x:v>
      </x:c>
      <x:c r="F32" s="198" t="n">
        <x:f>'Input financials'!F107</x:f>
        <x:v>0</x:v>
      </x:c>
      <x:c r="G32" s="194"/>
      <x:c r="H32" s="194"/>
      <x:c r="I32" s="194"/>
      <x:c r="J32" s="194"/>
      <x:c r="K32" s="194"/>
      <x:c r="L32" s="194"/>
      <x:c r="M32" s="194"/>
    </x:row>
    <x:row r="33">
      <x:c r="A33" s="130"/>
      <x:c r="B33" s="194" t="str">
        <x:v>OCI: cash flow hedges</x:v>
      </x:c>
      <x:c r="C33" s="194" t="str">
        <x:v>oci_hedge</x:v>
      </x:c>
      <x:c r="D33" s="198" t="n">
        <x:f>'Input financials'!D108</x:f>
        <x:v>-19</x:v>
      </x:c>
      <x:c r="E33" s="198" t="n">
        <x:f>'Input financials'!E108</x:f>
        <x:v>11</x:v>
      </x:c>
      <x:c r="F33" s="198" t="n">
        <x:f>'Input financials'!F108</x:f>
        <x:v>31</x:v>
      </x:c>
      <x:c r="G33" s="194"/>
      <x:c r="H33" s="194"/>
      <x:c r="I33" s="194"/>
      <x:c r="J33" s="194"/>
      <x:c r="K33" s="194"/>
      <x:c r="L33" s="194"/>
      <x:c r="M33" s="194"/>
    </x:row>
    <x:row r="34">
      <x:c r="A34" s="130"/>
      <x:c r="B34" s="194" t="str">
        <x:v>OCI: currency translation</x:v>
      </x:c>
      <x:c r="C34" s="194" t="str">
        <x:v>oci_fx</x:v>
      </x:c>
      <x:c r="D34" s="198" t="n">
        <x:f>'Input financials'!D109</x:f>
        <x:v>7</x:v>
      </x:c>
      <x:c r="E34" s="198" t="n">
        <x:f>'Input financials'!E109</x:f>
        <x:v>12</x:v>
      </x:c>
      <x:c r="F34" s="198" t="n">
        <x:f>'Input financials'!F109</x:f>
        <x:v>-138</x:v>
      </x:c>
      <x:c r="G34" s="194"/>
      <x:c r="H34" s="194"/>
      <x:c r="I34" s="194"/>
      <x:c r="J34" s="194"/>
      <x:c r="K34" s="194"/>
      <x:c r="L34" s="194"/>
      <x:c r="M34" s="194"/>
    </x:row>
    <x:row r="35">
      <x:c r="A35" s="130"/>
      <x:c r="B35" s="194" t="str">
        <x:v>OCI: equity-method items reclassified</x:v>
      </x:c>
      <x:c r="C35" s="194" t="str">
        <x:v>oci_eq_reclass</x:v>
      </x:c>
      <x:c r="D35" s="198" t="n">
        <x:f>'Input financials'!D110</x:f>
        <x:v>-8</x:v>
      </x:c>
      <x:c r="E35" s="198" t="n">
        <x:f>'Input financials'!E110</x:f>
        <x:v>4</x:v>
      </x:c>
      <x:c r="F35" s="198" t="n">
        <x:f>'Input financials'!F110</x:f>
        <x:v>6</x:v>
      </x:c>
      <x:c r="G35" s="194"/>
      <x:c r="H35" s="194"/>
      <x:c r="I35" s="194"/>
      <x:c r="J35" s="194"/>
      <x:c r="K35" s="194"/>
      <x:c r="L35" s="194"/>
      <x:c r="M35" s="194"/>
    </x:row>
    <x:row r="36">
      <x:c r="A36" s="130"/>
      <x:c r="B36" s="203" t="str">
        <x:v>Other comprehensive income after taxes</x:v>
      </x:c>
      <x:c r="C36" s="203" t="str">
        <x:v>oci_total</x:v>
      </x:c>
      <x:c r="D36" s="207" t="n">
        <x:f>'Input financials'!D26</x:f>
        <x:v>11</x:v>
      </x:c>
      <x:c r="E36" s="207" t="n">
        <x:f>'Input financials'!E26</x:f>
        <x:v>191</x:v>
      </x:c>
      <x:c r="F36" s="207" t="n">
        <x:f>'Input financials'!F26</x:f>
        <x:v>-49</x:v>
      </x:c>
      <x:c r="G36" s="194"/>
      <x:c r="H36" s="194"/>
      <x:c r="I36" s="194"/>
      <x:c r="J36" s="194"/>
      <x:c r="K36" s="194"/>
      <x:c r="L36" s="194"/>
      <x:c r="M36" s="194"/>
    </x:row>
    <x:row r="37">
      <x:c r="A37" s="130"/>
      <x:c r="B37" s="203" t="str">
        <x:v>Total comprehensive income</x:v>
      </x:c>
      <x:c r="C37" s="203" t="str">
        <x:v>ci_total</x:v>
      </x:c>
      <x:c r="D37" s="207" t="n">
        <x:f>'Input financials'!D27</x:f>
        <x:v>597</x:v>
      </x:c>
      <x:c r="E37" s="207" t="n">
        <x:f>'Input financials'!E27</x:f>
        <x:v>999</x:v>
      </x:c>
      <x:c r="F37" s="207" t="n">
        <x:f>'Input financials'!F27</x:f>
        <x:v>786</x:v>
      </x:c>
      <x:c r="G37" s="194"/>
      <x:c r="H37" s="194"/>
      <x:c r="I37" s="194"/>
      <x:c r="J37" s="194"/>
      <x:c r="K37" s="194"/>
      <x:c r="L37" s="194"/>
      <x:c r="M37" s="194"/>
    </x:row>
    <x:row r="38">
      <x:c r="A38" s="130"/>
      <x:c r="B38" s="194"/>
      <x:c r="C38" s="194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4"/>
    </x:row>
    <x:row r="39">
      <x:c r="A39" s="133" t="str">
        <x:v>x</x:v>
      </x:c>
      <x:c r="B39" s="197" t="str">
        <x:v>Statement of Financial Position</x:v>
      </x:c>
      <x:c r="C39" s="197"/>
      <x:c r="D39" s="197"/>
      <x:c r="E39" s="197"/>
      <x:c r="F39" s="197"/>
      <x:c r="G39" s="197"/>
      <x:c r="H39" s="197"/>
      <x:c r="I39" s="197"/>
      <x:c r="J39" s="197"/>
      <x:c r="K39" s="194"/>
      <x:c r="L39" s="194"/>
      <x:c r="M39" s="194"/>
    </x:row>
    <x:row r="40">
      <x:c r="A40" s="130"/>
      <x:c r="B40" s="194" t="str">
        <x:v>Goodwill</x:v>
      </x:c>
      <x:c r="C40" s="194" t="str">
        <x:v>goodwill</x:v>
      </x:c>
      <x:c r="D40" s="198" t="n">
        <x:f>'Input financials'!D29</x:f>
        <x:v>1125</x:v>
      </x:c>
      <x:c r="E40" s="198" t="n">
        <x:f>'Input financials'!E29</x:f>
        <x:v>1426</x:v>
      </x:c>
      <x:c r="F40" s="198" t="n">
        <x:f>'Input financials'!F29</x:f>
        <x:v>1354</x:v>
      </x:c>
      <x:c r="G40" s="194"/>
      <x:c r="H40" s="194"/>
      <x:c r="I40" s="194"/>
      <x:c r="J40" s="194"/>
      <x:c r="K40" s="194"/>
      <x:c r="L40" s="194"/>
      <x:c r="M40" s="194"/>
    </x:row>
    <x:row r="41">
      <x:c r="A41" s="130"/>
      <x:c r="B41" s="194" t="str">
        <x:v>Other intangible assets</x:v>
      </x:c>
      <x:c r="C41" s="194" t="str">
        <x:v>intangibles</x:v>
      </x:c>
      <x:c r="D41" s="198" t="n">
        <x:f>'Input financials'!D30</x:f>
        <x:v>952</x:v>
      </x:c>
      <x:c r="E41" s="198" t="n">
        <x:f>'Input financials'!E30</x:f>
        <x:v>1376</x:v>
      </x:c>
      <x:c r="F41" s="198" t="n">
        <x:f>'Input financials'!F30</x:f>
        <x:v>1244</x:v>
      </x:c>
      <x:c r="G41" s="194"/>
      <x:c r="H41" s="194"/>
      <x:c r="I41" s="194"/>
      <x:c r="J41" s="194"/>
      <x:c r="K41" s="194"/>
      <x:c r="L41" s="194"/>
      <x:c r="M41" s="194"/>
    </x:row>
    <x:row r="42">
      <x:c r="A42" s="130"/>
      <x:c r="B42" s="194" t="str">
        <x:v>Right-of-use assets</x:v>
      </x:c>
      <x:c r="C42" s="194" t="str">
        <x:v>rou</x:v>
      </x:c>
      <x:c r="D42" s="198" t="n">
        <x:f>'Input financials'!D31</x:f>
        <x:v>271</x:v>
      </x:c>
      <x:c r="E42" s="198" t="n">
        <x:f>'Input financials'!E31</x:f>
        <x:v>334</x:v>
      </x:c>
      <x:c r="F42" s="198" t="n">
        <x:f>'Input financials'!F31</x:f>
        <x:v>338</x:v>
      </x:c>
      <x:c r="G42" s="194"/>
      <x:c r="H42" s="194"/>
      <x:c r="I42" s="194"/>
      <x:c r="J42" s="194"/>
      <x:c r="K42" s="194"/>
      <x:c r="L42" s="194"/>
      <x:c r="M42" s="194"/>
    </x:row>
    <x:row r="43">
      <x:c r="A43" s="130"/>
      <x:c r="B43" s="194" t="str">
        <x:v>Property, plant and equipment</x:v>
      </x:c>
      <x:c r="C43" s="194" t="str">
        <x:v>ppe</x:v>
      </x:c>
      <x:c r="D43" s="198" t="n">
        <x:f>'Input financials'!D32</x:f>
        <x:v>1370</x:v>
      </x:c>
      <x:c r="E43" s="198" t="n">
        <x:f>'Input financials'!E32</x:f>
        <x:v>1853</x:v>
      </x:c>
      <x:c r="F43" s="198" t="n">
        <x:f>'Input financials'!F32</x:f>
        <x:v>1962</x:v>
      </x:c>
      <x:c r="G43" s="194"/>
      <x:c r="H43" s="194"/>
      <x:c r="I43" s="194"/>
      <x:c r="J43" s="194"/>
      <x:c r="K43" s="194"/>
      <x:c r="L43" s="194"/>
      <x:c r="M43" s="194"/>
    </x:row>
    <x:row r="44">
      <x:c r="A44" s="130"/>
      <x:c r="B44" s="194" t="str">
        <x:v>Investment property</x:v>
      </x:c>
      <x:c r="C44" s="194" t="str">
        <x:v>inv_property</x:v>
      </x:c>
      <x:c r="D44" s="198" t="n">
        <x:f>'Input financials'!D33</x:f>
        <x:v>22</x:v>
      </x:c>
      <x:c r="E44" s="198" t="n">
        <x:f>'Input financials'!E33</x:f>
        <x:v>20</x:v>
      </x:c>
      <x:c r="F44" s="198" t="n">
        <x:f>'Input financials'!F33</x:f>
        <x:v>2</x:v>
      </x:c>
      <x:c r="G44" s="194"/>
      <x:c r="H44" s="194"/>
      <x:c r="I44" s="194"/>
      <x:c r="J44" s="194"/>
      <x:c r="K44" s="194"/>
      <x:c r="L44" s="194"/>
      <x:c r="M44" s="194"/>
    </x:row>
    <x:row r="45">
      <x:c r="A45" s="130"/>
      <x:c r="B45" s="194" t="str">
        <x:v>Investments accounted for using equity method</x:v>
      </x:c>
      <x:c r="C45" s="194" t="str">
        <x:v>eq_inv</x:v>
      </x:c>
      <x:c r="D45" s="198" t="n">
        <x:f>'Input financials'!D34</x:f>
        <x:v>373</x:v>
      </x:c>
      <x:c r="E45" s="198" t="n">
        <x:f>'Input financials'!E34</x:f>
        <x:v>346</x:v>
      </x:c>
      <x:c r="F45" s="198" t="n">
        <x:f>'Input financials'!F34</x:f>
        <x:v>213</x:v>
      </x:c>
      <x:c r="G45" s="194"/>
      <x:c r="H45" s="194"/>
      <x:c r="I45" s="194"/>
      <x:c r="J45" s="194"/>
      <x:c r="K45" s="194"/>
      <x:c r="L45" s="194"/>
      <x:c r="M45" s="194"/>
    </x:row>
    <x:row r="46">
      <x:c r="A46" s="130"/>
      <x:c r="B46" s="194" t="str">
        <x:v>Other non-current assets</x:v>
      </x:c>
      <x:c r="C46" s="194" t="str">
        <x:v>other_nca</x:v>
      </x:c>
      <x:c r="D46" s="198" t="n">
        <x:f>'Input financials'!D35</x:f>
        <x:v>339</x:v>
      </x:c>
      <x:c r="E46" s="198" t="n">
        <x:f>'Input financials'!E35</x:f>
        <x:v>585</x:v>
      </x:c>
      <x:c r="F46" s="198" t="n">
        <x:f>'Input financials'!F35</x:f>
        <x:v>592</x:v>
      </x:c>
      <x:c r="G46" s="194"/>
      <x:c r="H46" s="194"/>
      <x:c r="I46" s="194"/>
      <x:c r="J46" s="194"/>
      <x:c r="K46" s="194"/>
      <x:c r="L46" s="194"/>
      <x:c r="M46" s="194"/>
    </x:row>
    <x:row r="47">
      <x:c r="A47" s="130"/>
      <x:c r="B47" s="194" t="str">
        <x:v>Deferred tax assets</x:v>
      </x:c>
      <x:c r="C47" s="194" t="str">
        <x:v>dta</x:v>
      </x:c>
      <x:c r="D47" s="198" t="n">
        <x:f>'Input financials'!D36</x:f>
        <x:v>164</x:v>
      </x:c>
      <x:c r="E47" s="198" t="n">
        <x:f>'Input financials'!E36</x:f>
        <x:v>172</x:v>
      </x:c>
      <x:c r="F47" s="198" t="n">
        <x:f>'Input financials'!F36</x:f>
        <x:v>165</x:v>
      </x:c>
      <x:c r="G47" s="194"/>
      <x:c r="H47" s="194"/>
      <x:c r="I47" s="194"/>
      <x:c r="J47" s="194"/>
      <x:c r="K47" s="194"/>
      <x:c r="L47" s="194"/>
      <x:c r="M47" s="194"/>
    </x:row>
    <x:row r="48">
      <x:c r="A48" s="130"/>
      <x:c r="B48" s="194" t="str">
        <x:v>Inventories</x:v>
      </x:c>
      <x:c r="C48" s="194" t="str">
        <x:v>inventory</x:v>
      </x:c>
      <x:c r="D48" s="198" t="n">
        <x:f>'Input financials'!D37</x:f>
        <x:v>3244</x:v>
      </x:c>
      <x:c r="E48" s="198" t="n">
        <x:f>'Input financials'!E37</x:f>
        <x:v>3989</x:v>
      </x:c>
      <x:c r="F48" s="198" t="n">
        <x:f>'Input financials'!F37</x:f>
        <x:v>4721</x:v>
      </x:c>
      <x:c r="G48" s="194"/>
      <x:c r="H48" s="194"/>
      <x:c r="I48" s="194"/>
      <x:c r="J48" s="194"/>
      <x:c r="K48" s="194"/>
      <x:c r="L48" s="194"/>
      <x:c r="M48" s="194"/>
    </x:row>
    <x:row r="49">
      <x:c r="A49" s="130"/>
      <x:c r="B49" s="194" t="str">
        <x:v>Contract assets</x:v>
      </x:c>
      <x:c r="C49" s="194" t="str">
        <x:v>contract_assets</x:v>
      </x:c>
      <x:c r="D49" s="198" t="n">
        <x:f>'Input financials'!D38</x:f>
        <x:v>516</x:v>
      </x:c>
      <x:c r="E49" s="198" t="n">
        <x:f>'Input financials'!E38</x:f>
        <x:v>692</x:v>
      </x:c>
      <x:c r="F49" s="198" t="n">
        <x:f>'Input financials'!F38</x:f>
        <x:v>957</x:v>
      </x:c>
      <x:c r="G49" s="194"/>
      <x:c r="H49" s="194"/>
      <x:c r="I49" s="194"/>
      <x:c r="J49" s="194"/>
      <x:c r="K49" s="194"/>
      <x:c r="L49" s="194"/>
      <x:c r="M49" s="194"/>
    </x:row>
    <x:row r="50">
      <x:c r="A50" s="130"/>
      <x:c r="B50" s="194" t="str">
        <x:v>Trade receivables</x:v>
      </x:c>
      <x:c r="C50" s="194" t="str">
        <x:v>trade_rec</x:v>
      </x:c>
      <x:c r="D50" s="198" t="n">
        <x:f>'Input financials'!D39</x:f>
        <x:v>2021</x:v>
      </x:c>
      <x:c r="E50" s="198" t="n">
        <x:f>'Input financials'!E39</x:f>
        <x:v>1959</x:v>
      </x:c>
      <x:c r="F50" s="198" t="n">
        <x:f>'Input financials'!F39</x:f>
        <x:v>1907</x:v>
      </x:c>
      <x:c r="G50" s="194"/>
      <x:c r="H50" s="194"/>
      <x:c r="I50" s="194"/>
      <x:c r="J50" s="194"/>
      <x:c r="K50" s="194"/>
      <x:c r="L50" s="194"/>
      <x:c r="M50" s="194"/>
    </x:row>
    <x:row r="51">
      <x:c r="A51" s="130"/>
      <x:c r="B51" s="194" t="str">
        <x:v>Other current assets</x:v>
      </x:c>
      <x:c r="C51" s="194" t="str">
        <x:v>other_ca</x:v>
      </x:c>
      <x:c r="D51" s="198" t="n">
        <x:f>'Input financials'!D40</x:f>
        <x:v>251</x:v>
      </x:c>
      <x:c r="E51" s="198" t="n">
        <x:f>'Input financials'!E40</x:f>
        <x:v>350</x:v>
      </x:c>
      <x:c r="F51" s="198" t="n">
        <x:f>'Input financials'!F40</x:f>
        <x:v>384</x:v>
      </x:c>
      <x:c r="G51" s="194"/>
      <x:c r="H51" s="194"/>
      <x:c r="I51" s="194"/>
      <x:c r="J51" s="194"/>
      <x:c r="K51" s="194"/>
      <x:c r="L51" s="194"/>
      <x:c r="M51" s="194"/>
    </x:row>
    <x:row r="52">
      <x:c r="A52" s="130"/>
      <x:c r="B52" s="194" t="str">
        <x:v>Income tax receivables</x:v>
      </x:c>
      <x:c r="C52" s="194" t="str">
        <x:v>tax_rec</x:v>
      </x:c>
      <x:c r="D52" s="198" t="n">
        <x:f>'Input financials'!D41</x:f>
        <x:v>13</x:v>
      </x:c>
      <x:c r="E52" s="198" t="n">
        <x:f>'Input financials'!E41</x:f>
        <x:v>57</x:v>
      </x:c>
      <x:c r="F52" s="198" t="n">
        <x:f>'Input financials'!F41</x:f>
        <x:v>11</x:v>
      </x:c>
      <x:c r="G52" s="194"/>
      <x:c r="H52" s="194"/>
      <x:c r="I52" s="194"/>
      <x:c r="J52" s="194"/>
      <x:c r="K52" s="194"/>
      <x:c r="L52" s="194"/>
      <x:c r="M52" s="194"/>
    </x:row>
    <x:row r="53">
      <x:c r="A53" s="130"/>
      <x:c r="B53" s="194" t="str">
        <x:v>Cash and cash equivalents</x:v>
      </x:c>
      <x:c r="C53" s="194" t="str">
        <x:v>cash</x:v>
      </x:c>
      <x:c r="D53" s="198" t="n">
        <x:f>'Input financials'!D42</x:f>
        <x:v>850</x:v>
      </x:c>
      <x:c r="E53" s="198" t="n">
        <x:f>'Input financials'!E42</x:f>
        <x:v>1184</x:v>
      </x:c>
      <x:c r="F53" s="198" t="n">
        <x:f>'Input financials'!F42</x:f>
        <x:v>1650</x:v>
      </x:c>
      <x:c r="G53" s="194"/>
      <x:c r="H53" s="194"/>
      <x:c r="I53" s="194"/>
      <x:c r="J53" s="194"/>
      <x:c r="K53" s="194"/>
      <x:c r="L53" s="194"/>
      <x:c r="M53" s="194"/>
    </x:row>
    <x:row r="54">
      <x:c r="A54" s="130"/>
      <x:c r="B54" s="194" t="str">
        <x:v>Assets held for sale</x:v>
      </x:c>
      <x:c r="C54" s="194" t="str">
        <x:v>hfs_assets</x:v>
      </x:c>
      <x:c r="D54" s="198" t="n">
        <x:f>'Input financials'!D43</x:f>
        <x:v>196</x:v>
      </x:c>
      <x:c r="E54" s="198" t="n">
        <x:f>'Input financials'!E43</x:f>
        <x:v>0</x:v>
      </x:c>
      <x:c r="F54" s="198" t="n">
        <x:f>'Input financials'!F43</x:f>
        <x:v>1270</x:v>
      </x:c>
      <x:c r="G54" s="194"/>
      <x:c r="H54" s="194"/>
      <x:c r="I54" s="194"/>
      <x:c r="J54" s="194"/>
      <x:c r="K54" s="194"/>
      <x:c r="L54" s="194"/>
      <x:c r="M54" s="194"/>
    </x:row>
    <x:row r="55">
      <x:c r="A55" s="130"/>
      <x:c r="B55" s="203" t="str">
        <x:v>Total assets</x:v>
      </x:c>
      <x:c r="C55" s="203" t="str">
        <x:v>total_assets</x:v>
      </x:c>
      <x:c r="D55" s="207" t="n">
        <x:f>'Input financials'!D44</x:f>
        <x:v>11707</x:v>
      </x:c>
      <x:c r="E55" s="207" t="n">
        <x:f>'Input financials'!E44</x:f>
        <x:v>14344</x:v>
      </x:c>
      <x:c r="F55" s="207" t="n">
        <x:f>'Input financials'!F44</x:f>
        <x:v>16772</x:v>
      </x:c>
      <x:c r="G55" s="194"/>
      <x:c r="H55" s="194"/>
      <x:c r="I55" s="194"/>
      <x:c r="J55" s="194"/>
      <x:c r="K55" s="194"/>
      <x:c r="L55" s="194"/>
      <x:c r="M55" s="194"/>
    </x:row>
    <x:row r="56">
      <x:c r="A56" s="130"/>
      <x:c r="B56" s="203" t="str">
        <x:v>Equity</x:v>
      </x:c>
      <x:c r="C56" s="203" t="str">
        <x:v>equity</x:v>
      </x:c>
      <x:c r="D56" s="207" t="n">
        <x:f>'Input financials'!D45</x:f>
        <x:v>3643</x:v>
      </x:c>
      <x:c r="E56" s="207" t="n">
        <x:f>'Input financials'!E45</x:f>
        <x:v>4465</x:v>
      </x:c>
      <x:c r="F56" s="207" t="n">
        <x:f>'Input financials'!F45</x:f>
        <x:v>5614</x:v>
      </x:c>
      <x:c r="G56" s="194"/>
      <x:c r="H56" s="194"/>
      <x:c r="I56" s="194"/>
      <x:c r="J56" s="194"/>
      <x:c r="K56" s="194"/>
      <x:c r="L56" s="194"/>
      <x:c r="M56" s="194"/>
    </x:row>
    <x:row r="57">
      <x:c r="A57" s="130"/>
      <x:c r="B57" s="194" t="str">
        <x:v>Provisions for pensions and similar obligations</x:v>
      </x:c>
      <x:c r="C57" s="194" t="str">
        <x:v>pension_prov</x:v>
      </x:c>
      <x:c r="D57" s="198" t="n">
        <x:f>'Input financials'!D46</x:f>
        <x:v>562</x:v>
      </x:c>
      <x:c r="E57" s="198" t="n">
        <x:f>'Input financials'!E46</x:f>
        <x:v>527</x:v>
      </x:c>
      <x:c r="F57" s="198" t="n">
        <x:f>'Input financials'!F46</x:f>
        <x:v>278</x:v>
      </x:c>
      <x:c r="G57" s="194"/>
      <x:c r="H57" s="194"/>
      <x:c r="I57" s="194"/>
      <x:c r="J57" s="194"/>
      <x:c r="K57" s="194"/>
      <x:c r="L57" s="194"/>
      <x:c r="M57" s="194"/>
    </x:row>
    <x:row r="58">
      <x:c r="A58" s="130"/>
      <x:c r="B58" s="194" t="str">
        <x:v>Other non-current provisions</x:v>
      </x:c>
      <x:c r="C58" s="194" t="str">
        <x:v>other_ncp</x:v>
      </x:c>
      <x:c r="D58" s="198" t="n">
        <x:f>'Input financials'!D47</x:f>
        <x:v>230</x:v>
      </x:c>
      <x:c r="E58" s="198" t="n">
        <x:f>'Input financials'!E47</x:f>
        <x:v>285</x:v>
      </x:c>
      <x:c r="F58" s="198" t="n">
        <x:f>'Input financials'!F47</x:f>
        <x:v>280</x:v>
      </x:c>
      <x:c r="G58" s="194"/>
      <x:c r="H58" s="194"/>
      <x:c r="I58" s="194"/>
      <x:c r="J58" s="194"/>
      <x:c r="K58" s="194"/>
      <x:c r="L58" s="194"/>
      <x:c r="M58" s="194"/>
    </x:row>
    <x:row r="59">
      <x:c r="A59" s="130"/>
      <x:c r="B59" s="194" t="str">
        <x:v>Non-current financial debts</x:v>
      </x:c>
      <x:c r="C59" s="194" t="str">
        <x:v>fin_debt_nc</x:v>
      </x:c>
      <x:c r="D59" s="198" t="n">
        <x:f>'Input financials'!D48</x:f>
        <x:v>1503</x:v>
      </x:c>
      <x:c r="E59" s="198" t="n">
        <x:f>'Input financials'!E48</x:f>
        <x:v>1871</x:v>
      </x:c>
      <x:c r="F59" s="198" t="n">
        <x:f>'Input financials'!F48</x:f>
        <x:v>1155</x:v>
      </x:c>
      <x:c r="G59" s="194"/>
      <x:c r="H59" s="194"/>
      <x:c r="I59" s="194"/>
      <x:c r="J59" s="194"/>
      <x:c r="K59" s="194"/>
      <x:c r="L59" s="194"/>
      <x:c r="M59" s="194"/>
    </x:row>
    <x:row r="60">
      <x:c r="A60" s="130"/>
      <x:c r="B60" s="194" t="str">
        <x:v>Other non-current liabilities</x:v>
      </x:c>
      <x:c r="C60" s="194" t="str">
        <x:v>other_ncl</x:v>
      </x:c>
      <x:c r="D60" s="198" t="n">
        <x:f>'Input financials'!D49</x:f>
        <x:v>51</x:v>
      </x:c>
      <x:c r="E60" s="198" t="n">
        <x:f>'Input financials'!E49</x:f>
        <x:v>58</x:v>
      </x:c>
      <x:c r="F60" s="198" t="n">
        <x:f>'Input financials'!F49</x:f>
        <x:v>10</x:v>
      </x:c>
      <x:c r="G60" s="194"/>
      <x:c r="H60" s="194"/>
      <x:c r="I60" s="194"/>
      <x:c r="J60" s="194"/>
      <x:c r="K60" s="194"/>
      <x:c r="L60" s="194"/>
      <x:c r="M60" s="194"/>
    </x:row>
    <x:row r="61">
      <x:c r="A61" s="130"/>
      <x:c r="B61" s="194" t="str">
        <x:v>Deferred tax liabilities</x:v>
      </x:c>
      <x:c r="C61" s="194" t="str">
        <x:v>dtl</x:v>
      </x:c>
      <x:c r="D61" s="198" t="n">
        <x:f>'Input financials'!D50</x:f>
        <x:v>260</x:v>
      </x:c>
      <x:c r="E61" s="198" t="n">
        <x:f>'Input financials'!E50</x:f>
        <x:v>356</x:v>
      </x:c>
      <x:c r="F61" s="198" t="n">
        <x:f>'Input financials'!F50</x:f>
        <x:v>363</x:v>
      </x:c>
      <x:c r="G61" s="194"/>
      <x:c r="H61" s="194"/>
      <x:c r="I61" s="194"/>
      <x:c r="J61" s="194"/>
      <x:c r="K61" s="194"/>
      <x:c r="L61" s="194"/>
      <x:c r="M61" s="194"/>
    </x:row>
    <x:row r="62">
      <x:c r="A62" s="130"/>
      <x:c r="B62" s="194" t="str">
        <x:v>Other current provisions</x:v>
      </x:c>
      <x:c r="C62" s="194" t="str">
        <x:v>other_cp</x:v>
      </x:c>
      <x:c r="D62" s="198" t="n">
        <x:f>'Input financials'!D51</x:f>
        <x:v>690</x:v>
      </x:c>
      <x:c r="E62" s="198" t="n">
        <x:f>'Input financials'!E51</x:f>
        <x:v>807</x:v>
      </x:c>
      <x:c r="F62" s="198" t="n">
        <x:f>'Input financials'!F51</x:f>
        <x:v>891</x:v>
      </x:c>
      <x:c r="G62" s="194"/>
      <x:c r="H62" s="194"/>
      <x:c r="I62" s="194"/>
      <x:c r="J62" s="194"/>
      <x:c r="K62" s="194"/>
      <x:c r="L62" s="194"/>
      <x:c r="M62" s="194"/>
    </x:row>
    <x:row r="63">
      <x:c r="A63" s="130"/>
      <x:c r="B63" s="194" t="str">
        <x:v>Current financial debts</x:v>
      </x:c>
      <x:c r="C63" s="194" t="str">
        <x:v>fin_debt_c</x:v>
      </x:c>
      <x:c r="D63" s="198" t="n">
        <x:f>'Input financials'!D52</x:f>
        <x:v>410</x:v>
      </x:c>
      <x:c r="E63" s="198" t="n">
        <x:f>'Input financials'!E52</x:f>
        <x:v>552</x:v>
      </x:c>
      <x:c r="F63" s="198" t="n">
        <x:f>'Input financials'!F52</x:f>
        <x:v>126</x:v>
      </x:c>
      <x:c r="G63" s="194"/>
      <x:c r="H63" s="194"/>
      <x:c r="I63" s="194"/>
      <x:c r="J63" s="194"/>
      <x:c r="K63" s="194"/>
      <x:c r="L63" s="194"/>
      <x:c r="M63" s="194"/>
    </x:row>
    <x:row r="64">
      <x:c r="A64" s="130"/>
      <x:c r="B64" s="194" t="str">
        <x:v>Contract liabilities</x:v>
      </x:c>
      <x:c r="C64" s="194" t="str">
        <x:v>contract_liab</x:v>
      </x:c>
      <x:c r="D64" s="198" t="n">
        <x:f>'Input financials'!D53</x:f>
        <x:v>2594</x:v>
      </x:c>
      <x:c r="E64" s="198" t="n">
        <x:f>'Input financials'!E53</x:f>
        <x:v>3866</x:v>
      </x:c>
      <x:c r="F64" s="198" t="n">
        <x:f>'Input financials'!F53</x:f>
        <x:v>5642</x:v>
      </x:c>
      <x:c r="G64" s="194"/>
      <x:c r="H64" s="194"/>
      <x:c r="I64" s="194"/>
      <x:c r="J64" s="194"/>
      <x:c r="K64" s="194"/>
      <x:c r="L64" s="194"/>
      <x:c r="M64" s="194"/>
    </x:row>
    <x:row r="65">
      <x:c r="A65" s="130"/>
      <x:c r="B65" s="194" t="str">
        <x:v>Trade liabilities</x:v>
      </x:c>
      <x:c r="C65" s="194" t="str">
        <x:v>trade_liab</x:v>
      </x:c>
      <x:c r="D65" s="198" t="n">
        <x:f>'Input financials'!D54</x:f>
        <x:v>1222</x:v>
      </x:c>
      <x:c r="E65" s="198" t="n">
        <x:f>'Input financials'!E54</x:f>
        <x:v>1151</x:v>
      </x:c>
      <x:c r="F65" s="198" t="n">
        <x:f>'Input financials'!F54</x:f>
        <x:v>1186</x:v>
      </x:c>
      <x:c r="G65" s="194"/>
      <x:c r="H65" s="194"/>
      <x:c r="I65" s="194"/>
      <x:c r="J65" s="194"/>
      <x:c r="K65" s="194"/>
      <x:c r="L65" s="194"/>
      <x:c r="M65" s="194"/>
    </x:row>
    <x:row r="66">
      <x:c r="A66" s="130"/>
      <x:c r="B66" s="194" t="str">
        <x:v>Other current liabilities</x:v>
      </x:c>
      <x:c r="C66" s="194" t="str">
        <x:v>other_cl</x:v>
      </x:c>
      <x:c r="D66" s="198" t="n">
        <x:f>'Input financials'!D55</x:f>
        <x:v>274</x:v>
      </x:c>
      <x:c r="E66" s="198" t="n">
        <x:f>'Input financials'!E55</x:f>
        <x:v>288</x:v>
      </x:c>
      <x:c r="F66" s="198" t="n">
        <x:f>'Input financials'!F55</x:f>
        <x:v>318</x:v>
      </x:c>
      <x:c r="G66" s="194"/>
      <x:c r="H66" s="194"/>
      <x:c r="I66" s="194"/>
      <x:c r="J66" s="194"/>
      <x:c r="K66" s="194"/>
      <x:c r="L66" s="194"/>
      <x:c r="M66" s="194"/>
    </x:row>
    <x:row r="67">
      <x:c r="A67" s="130"/>
      <x:c r="B67" s="194" t="str">
        <x:v>Income tax liabilities</x:v>
      </x:c>
      <x:c r="C67" s="194" t="str">
        <x:v>tax_liab</x:v>
      </x:c>
      <x:c r="D67" s="198" t="n">
        <x:f>'Input financials'!D56</x:f>
        <x:v>108</x:v>
      </x:c>
      <x:c r="E67" s="198" t="n">
        <x:f>'Input financials'!E56</x:f>
        <x:v>118</x:v>
      </x:c>
      <x:c r="F67" s="198" t="n">
        <x:f>'Input financials'!F56</x:f>
        <x:v>200</x:v>
      </x:c>
      <x:c r="G67" s="194"/>
      <x:c r="H67" s="194"/>
      <x:c r="I67" s="194"/>
      <x:c r="J67" s="194"/>
      <x:c r="K67" s="194"/>
      <x:c r="L67" s="194"/>
      <x:c r="M67" s="194"/>
    </x:row>
    <x:row r="68">
      <x:c r="A68" s="130"/>
      <x:c r="B68" s="194" t="str">
        <x:v>Liabilities associated with assets held for sale</x:v>
      </x:c>
      <x:c r="C68" s="194" t="str">
        <x:v>hfs_liab</x:v>
      </x:c>
      <x:c r="D68" s="198" t="n">
        <x:f>'Input financials'!D57</x:f>
        <x:v>161</x:v>
      </x:c>
      <x:c r="E68" s="198" t="n">
        <x:f>'Input financials'!E57</x:f>
        <x:v>0</x:v>
      </x:c>
      <x:c r="F68" s="198" t="n">
        <x:f>'Input financials'!F57</x:f>
        <x:v>708</x:v>
      </x:c>
      <x:c r="G68" s="194"/>
      <x:c r="H68" s="194"/>
      <x:c r="I68" s="194"/>
      <x:c r="J68" s="194"/>
      <x:c r="K68" s="194"/>
      <x:c r="L68" s="194"/>
      <x:c r="M68" s="194"/>
    </x:row>
    <x:row r="69">
      <x:c r="A69" s="130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</x:row>
    <x:row r="70">
      <x:c r="A70" s="133" t="str">
        <x:v>x</x:v>
      </x:c>
      <x:c r="B70" s="197" t="str">
        <x:v>Additional information from notes</x:v>
      </x:c>
      <x:c r="C70" s="197"/>
      <x:c r="D70" s="197"/>
      <x:c r="E70" s="197"/>
      <x:c r="F70" s="197"/>
      <x:c r="G70" s="197"/>
      <x:c r="H70" s="197"/>
      <x:c r="I70" s="197"/>
      <x:c r="J70" s="197"/>
      <x:c r="K70" s="194"/>
      <x:c r="L70" s="194"/>
      <x:c r="M70" s="194"/>
    </x:row>
    <x:row r="71">
      <x:c r="A71" s="130"/>
      <x:c r="B71" s="194" t="str">
        <x:v>Other assets - financial assets (total)</x:v>
      </x:c>
      <x:c r="C71" s="194" t="str">
        <x:v>fin_assets_total</x:v>
      </x:c>
      <x:c r="D71" s="198" t="n">
        <x:f>'Input financials'!D59</x:f>
        <x:v>147</x:v>
      </x:c>
      <x:c r="E71" s="198" t="n">
        <x:f>'Input financials'!E59</x:f>
        <x:v>203</x:v>
      </x:c>
      <x:c r="F71" s="198" t="n">
        <x:f>'Input financials'!F59</x:f>
        <x:v>166</x:v>
      </x:c>
      <x:c r="G71" s="194"/>
      <x:c r="H71" s="194"/>
      <x:c r="I71" s="194"/>
      <x:c r="J71" s="194"/>
      <x:c r="K71" s="194"/>
      <x:c r="L71" s="194"/>
      <x:c r="M71" s="194"/>
    </x:row>
    <x:row r="72">
      <x:c r="A72" s="130"/>
      <x:c r="B72" s="194" t="str">
        <x:v>Other assets - non-financial assets (current)</x:v>
      </x:c>
      <x:c r="C72" s="194" t="str">
        <x:v>nonfin_assets_current</x:v>
      </x:c>
      <x:c r="D72" s="198" t="n">
        <x:f>'Input financials'!D62</x:f>
        <x:v>157</x:v>
      </x:c>
      <x:c r="E72" s="198" t="n">
        <x:f>'Input financials'!E62</x:f>
        <x:v>237</x:v>
      </x:c>
      <x:c r="F72" s="198" t="n">
        <x:f>'Input financials'!F62</x:f>
        <x:v>295</x:v>
      </x:c>
      <x:c r="G72" s="194"/>
      <x:c r="H72" s="194"/>
      <x:c r="I72" s="194"/>
      <x:c r="J72" s="194"/>
      <x:c r="K72" s="194"/>
      <x:c r="L72" s="194"/>
      <x:c r="M72" s="194"/>
    </x:row>
    <x:row r="73">
      <x:c r="A73" s="130"/>
      <x:c r="B73" s="194" t="str">
        <x:v>Other assets - non-financial assets (non-current)</x:v>
      </x:c>
      <x:c r="C73" s="194" t="str">
        <x:v>nonfin_assets_noncurrent</x:v>
      </x:c>
      <x:c r="D73" s="198" t="n">
        <x:f>'Input financials'!D63</x:f>
        <x:v>286</x:v>
      </x:c>
      <x:c r="E73" s="198" t="n">
        <x:f>'Input financials'!E63</x:f>
        <x:v>495</x:v>
      </x:c>
      <x:c r="F73" s="198" t="n">
        <x:f>'Input financials'!F63</x:f>
        <x:v>515</x:v>
      </x:c>
      <x:c r="G73" s="194"/>
      <x:c r="H73" s="194"/>
      <x:c r="I73" s="194"/>
      <x:c r="J73" s="194"/>
      <x:c r="K73" s="194"/>
      <x:c r="L73" s="194"/>
      <x:c r="M73" s="194"/>
    </x:row>
    <x:row r="74">
      <x:c r="A74" s="130"/>
      <x:c r="B74" s="194" t="str">
        <x:v>Other liabilities - financial liabilities</x:v>
      </x:c>
      <x:c r="C74" s="194" t="str">
        <x:v>other_fin_liab</x:v>
      </x:c>
      <x:c r="D74" s="198" t="n">
        <x:f>'Input financials'!D64</x:f>
        <x:v>122</x:v>
      </x:c>
      <x:c r="E74" s="198" t="n">
        <x:f>'Input financials'!E64</x:f>
        <x:v>99</x:v>
      </x:c>
      <x:c r="F74" s="198" t="n">
        <x:f>'Input financials'!F64</x:f>
        <x:v>43</x:v>
      </x:c>
      <x:c r="G74" s="194"/>
      <x:c r="H74" s="194"/>
      <x:c r="I74" s="194"/>
      <x:c r="J74" s="194"/>
      <x:c r="K74" s="194"/>
      <x:c r="L74" s="194"/>
      <x:c r="M74" s="194"/>
    </x:row>
    <x:row r="75">
      <x:c r="A75" s="130"/>
      <x:c r="B75" s="194" t="str">
        <x:v>Other liabilities - non-financial liabilities</x:v>
      </x:c>
      <x:c r="C75" s="194" t="str">
        <x:v>other_nonfin_liab</x:v>
      </x:c>
      <x:c r="D75" s="198" t="n">
        <x:f>'Input financials'!D65</x:f>
        <x:v>203</x:v>
      </x:c>
      <x:c r="E75" s="198" t="n">
        <x:f>'Input financials'!E65</x:f>
        <x:v>246</x:v>
      </x:c>
      <x:c r="F75" s="198" t="n">
        <x:f>'Input financials'!F65</x:f>
        <x:v>285</x:v>
      </x:c>
      <x:c r="G75" s="194"/>
      <x:c r="H75" s="194"/>
      <x:c r="I75" s="194"/>
      <x:c r="J75" s="194"/>
      <x:c r="K75" s="194"/>
      <x:c r="L75" s="194"/>
      <x:c r="M75" s="194"/>
    </x:row>
    <x:row r="76">
      <x:c r="A76" s="130"/>
      <x:c r="B76" s="200" t="str">
        <x:v>Provisions for structural measures</x:v>
      </x:c>
      <x:c r="C76" s="200" t="str">
        <x:v>structural_prov</x:v>
      </x:c>
      <x:c r="D76" s="201" t="n">
        <x:f>'Input financials'!D66</x:f>
        <x:v>46</x:v>
      </x:c>
      <x:c r="E76" s="201" t="n">
        <x:f>'Input financials'!E66</x:f>
        <x:v>52</x:v>
      </x:c>
      <x:c r="F76" s="201" t="n">
        <x:f>'Input financials'!F66</x:f>
        <x:v>25</x:v>
      </x:c>
      <x:c r="G76" s="200"/>
      <x:c r="H76" s="200"/>
      <x:c r="I76" s="200"/>
      <x:c r="J76" s="200"/>
      <x:c r="K76" s="194"/>
      <x:c r="L76" s="194"/>
      <x:c r="M76" s="194"/>
    </x:row>
    <x:row r="77">
      <x:c r="A77" s="130"/>
      <x:c r="B77" s="194" t="str">
        <x:v>Raw materials, supplies and merchandise purchased</x:v>
      </x:c>
      <x:c r="C77" s="194" t="str">
        <x:v>raw_materials</x:v>
      </x:c>
      <x:c r="D77" s="198" t="n">
        <x:f>'Input financials'!D68</x:f>
        <x:v>-2883</x:v>
      </x:c>
      <x:c r="E77" s="198" t="n">
        <x:f>'Input financials'!E68</x:f>
        <x:v>-3568</x:v>
      </x:c>
      <x:c r="F77" s="198" t="n">
        <x:f>'Input financials'!F68</x:f>
        <x:v>-3784</x:v>
      </x:c>
      <x:c r="G77" s="194"/>
      <x:c r="H77" s="194"/>
      <x:c r="I77" s="194"/>
      <x:c r="J77" s="194"/>
      <x:c r="K77" s="194"/>
      <x:c r="L77" s="194"/>
      <x:c r="M77" s="194"/>
    </x:row>
    <x:row r="78">
      <x:c r="A78" s="130"/>
      <x:c r="B78" s="194" t="str">
        <x:v>Services purchased</x:v>
      </x:c>
      <x:c r="C78" s="194" t="str">
        <x:v>services_purchased</x:v>
      </x:c>
      <x:c r="D78" s="198" t="n">
        <x:f>'Input financials'!D69</x:f>
        <x:v>-1053</x:v>
      </x:c>
      <x:c r="E78" s="198" t="n">
        <x:f>'Input financials'!E69</x:f>
        <x:v>-1291</x:v>
      </x:c>
      <x:c r="F78" s="198" t="n">
        <x:f>'Input financials'!F69</x:f>
        <x:v>-1469</x:v>
      </x:c>
      <x:c r="G78" s="194"/>
      <x:c r="H78" s="194"/>
      <x:c r="I78" s="194"/>
      <x:c r="J78" s="194"/>
      <x:c r="K78" s="194"/>
      <x:c r="L78" s="194"/>
      <x:c r="M78" s="194"/>
    </x:row>
    <x:row r="79">
      <x:c r="A79" s="130"/>
      <x:c r="B79" s="194" t="str">
        <x:v>Wages and salaries</x:v>
      </x:c>
      <x:c r="C79" s="194" t="str">
        <x:v>wages</x:v>
      </x:c>
      <x:c r="D79" s="198" t="n">
        <x:f>'Input financials'!D70</x:f>
        <x:v>-1711</x:v>
      </x:c>
      <x:c r="E79" s="198" t="n">
        <x:f>'Input financials'!E70</x:f>
        <x:v>-1954</x:v>
      </x:c>
      <x:c r="F79" s="198" t="n">
        <x:f>'Input financials'!F70</x:f>
        <x:v>-1907</x:v>
      </x:c>
      <x:c r="G79" s="194"/>
      <x:c r="H79" s="194"/>
      <x:c r="I79" s="194"/>
      <x:c r="J79" s="194"/>
      <x:c r="K79" s="194"/>
      <x:c r="L79" s="194"/>
      <x:c r="M79" s="194"/>
    </x:row>
    <x:row r="80">
      <x:c r="A80" s="130"/>
      <x:c r="B80" s="194" t="str">
        <x:v>Social security and related employee benefits</x:v>
      </x:c>
      <x:c r="C80" s="194" t="str">
        <x:v>social</x:v>
      </x:c>
      <x:c r="D80" s="198" t="n">
        <x:f>'Input financials'!D71</x:f>
        <x:v>-205</x:v>
      </x:c>
      <x:c r="E80" s="198" t="n">
        <x:f>'Input financials'!E71</x:f>
        <x:v>-254</x:v>
      </x:c>
      <x:c r="F80" s="198" t="n">
        <x:f>'Input financials'!F71</x:f>
        <x:v>-264</x:v>
      </x:c>
      <x:c r="G80" s="194"/>
      <x:c r="H80" s="194"/>
      <x:c r="I80" s="194"/>
      <x:c r="J80" s="194"/>
      <x:c r="K80" s="194"/>
      <x:c r="L80" s="194"/>
      <x:c r="M80" s="194"/>
    </x:row>
    <x:row r="81">
      <x:c r="A81" s="130"/>
      <x:c r="B81" s="194" t="str">
        <x:v>Pension expenses</x:v>
      </x:c>
      <x:c r="C81" s="194" t="str">
        <x:v>pension_exp</x:v>
      </x:c>
      <x:c r="D81" s="198" t="n">
        <x:f>'Input financials'!D72</x:f>
        <x:v>-115</x:v>
      </x:c>
      <x:c r="E81" s="198" t="n">
        <x:f>'Input financials'!E72</x:f>
        <x:v>-137</x:v>
      </x:c>
      <x:c r="F81" s="198" t="n">
        <x:f>'Input financials'!F72</x:f>
        <x:v>-128</x:v>
      </x:c>
      <x:c r="G81" s="194"/>
      <x:c r="H81" s="194"/>
      <x:c r="I81" s="194"/>
      <x:c r="J81" s="194"/>
      <x:c r="K81" s="194"/>
      <x:c r="L81" s="194"/>
      <x:c r="M81" s="194"/>
    </x:row>
    <x:row r="82">
      <x:c r="A82" s="130"/>
      <x:c r="B82" s="194" t="str">
        <x:v>Redundancy / termination / partial retirement</x:v>
      </x:c>
      <x:c r="C82" s="194" t="str">
        <x:v>redundancy</x:v>
      </x:c>
      <x:c r="D82" s="198" t="n">
        <x:f>'Input financials'!D73</x:f>
        <x:v>-16</x:v>
      </x:c>
      <x:c r="E82" s="198" t="n">
        <x:f>'Input financials'!E73</x:f>
        <x:v>-27</x:v>
      </x:c>
      <x:c r="F82" s="198" t="n">
        <x:f>'Input financials'!F73</x:f>
        <x:v>-16</x:v>
      </x:c>
      <x:c r="G82" s="194"/>
      <x:c r="H82" s="194"/>
      <x:c r="I82" s="194"/>
      <x:c r="J82" s="194"/>
      <x:c r="K82" s="194"/>
      <x:c r="L82" s="194"/>
      <x:c r="M82" s="194"/>
    </x:row>
    <x:row r="83">
      <x:c r="A83" s="130"/>
      <x:c r="B83" s="194" t="str">
        <x:v>D&amp;A - other intangible assets</x:v>
      </x:c>
      <x:c r="C83" s="194" t="str">
        <x:v>da_intang</x:v>
      </x:c>
      <x:c r="D83" s="198" t="n">
        <x:f>'Input financials'!D74</x:f>
        <x:v>-87</x:v>
      </x:c>
      <x:c r="E83" s="198" t="n">
        <x:f>'Input financials'!E74</x:f>
        <x:v>-149</x:v>
      </x:c>
      <x:c r="F83" s="198" t="n">
        <x:f>'Input financials'!F74</x:f>
        <x:v>-185</x:v>
      </x:c>
      <x:c r="G83" s="194"/>
      <x:c r="H83" s="194"/>
      <x:c r="I83" s="194"/>
      <x:c r="J83" s="194"/>
      <x:c r="K83" s="194"/>
      <x:c r="L83" s="194"/>
      <x:c r="M83" s="194"/>
    </x:row>
    <x:row r="84">
      <x:c r="A84" s="130"/>
      <x:c r="B84" s="194" t="str">
        <x:v>D&amp;A - right-of-use assets</x:v>
      </x:c>
      <x:c r="C84" s="194" t="str">
        <x:v>da_rou</x:v>
      </x:c>
      <x:c r="D84" s="198" t="n">
        <x:f>'Input financials'!D75</x:f>
        <x:v>-47</x:v>
      </x:c>
      <x:c r="E84" s="198" t="n">
        <x:f>'Input financials'!E75</x:f>
        <x:v>-52</x:v>
      </x:c>
      <x:c r="F84" s="198" t="n">
        <x:f>'Input financials'!F75</x:f>
        <x:v>-51</x:v>
      </x:c>
      <x:c r="G84" s="194"/>
      <x:c r="H84" s="194"/>
      <x:c r="I84" s="194"/>
      <x:c r="J84" s="194"/>
      <x:c r="K84" s="194"/>
      <x:c r="L84" s="194"/>
      <x:c r="M84" s="194"/>
    </x:row>
    <x:row r="85">
      <x:c r="A85" s="130"/>
      <x:c r="B85" s="194" t="str">
        <x:v>D&amp;A - PPE and investment property</x:v>
      </x:c>
      <x:c r="C85" s="194" t="str">
        <x:v>da_ppe</x:v>
      </x:c>
      <x:c r="D85" s="198" t="n">
        <x:f>'Input financials'!D76</x:f>
        <x:v>-174</x:v>
      </x:c>
      <x:c r="E85" s="198" t="n">
        <x:f>'Input financials'!E76</x:f>
        <x:v>-202</x:v>
      </x:c>
      <x:c r="F85" s="198" t="n">
        <x:f>'Input financials'!F76</x:f>
        <x:v>-169</x:v>
      </x:c>
      <x:c r="G85" s="194"/>
      <x:c r="H85" s="194"/>
      <x:c r="I85" s="194"/>
      <x:c r="J85" s="194"/>
      <x:c r="K85" s="194"/>
      <x:c r="L85" s="194"/>
      <x:c r="M85" s="194"/>
    </x:row>
    <x:row r="86">
      <x:c r="A86" s="130"/>
      <x:c r="B86" s="194" t="str">
        <x:v>Impairment losses</x:v>
      </x:c>
      <x:c r="C86" s="194" t="str">
        <x:v>impairment</x:v>
      </x:c>
      <x:c r="D86" s="198" t="n">
        <x:f>'Input financials'!D77</x:f>
        <x:v>-6</x:v>
      </x:c>
      <x:c r="E86" s="198" t="n">
        <x:f>'Input financials'!E77</x:f>
        <x:v>-18</x:v>
      </x:c>
      <x:c r="F86" s="198" t="n">
        <x:f>'Input financials'!F77</x:f>
        <x:v>-17</x:v>
      </x:c>
      <x:c r="G86" s="194"/>
      <x:c r="H86" s="194"/>
      <x:c r="I86" s="194"/>
      <x:c r="J86" s="194"/>
      <x:c r="K86" s="194"/>
      <x:c r="L86" s="194"/>
      <x:c r="M86" s="194"/>
    </x:row>
    <x:row r="87">
      <x:c r="A87" s="130"/>
      <x:c r="B87" s="194" t="str">
        <x:v>PPA-related amortization/depreciation</x:v>
      </x:c>
      <x:c r="C87" s="194" t="str">
        <x:v>ppa_da</x:v>
      </x:c>
      <x:c r="D87" s="198" t="n">
        <x:f>'Input financials'!D78</x:f>
        <x:v>-47</x:v>
      </x:c>
      <x:c r="E87" s="198" t="n">
        <x:f>'Input financials'!E78</x:f>
        <x:v>-102</x:v>
      </x:c>
      <x:c r="F87" s="198" t="n">
        <x:f>'Input financials'!F78</x:f>
        <x:v>-139</x:v>
      </x:c>
      <x:c r="G87" s="194"/>
      <x:c r="H87" s="194"/>
      <x:c r="I87" s="194"/>
      <x:c r="J87" s="194"/>
      <x:c r="K87" s="194"/>
      <x:c r="L87" s="194"/>
      <x:c r="M87" s="194"/>
    </x:row>
    <x:row r="88">
      <x:c r="A88" s="130"/>
      <x:c r="B88" s="194" t="str">
        <x:v>Operating costs and maintenance</x:v>
      </x:c>
      <x:c r="C88" s="194" t="str">
        <x:v>opex_maint</x:v>
      </x:c>
      <x:c r="D88" s="198" t="n">
        <x:f>'Input financials'!D79</x:f>
        <x:v>-175</x:v>
      </x:c>
      <x:c r="E88" s="198" t="n">
        <x:f>'Input financials'!E79</x:f>
        <x:v>-223</x:v>
      </x:c>
      <x:c r="F88" s="198" t="n">
        <x:f>'Input financials'!F79</x:f>
        <x:v>-252</x:v>
      </x:c>
      <x:c r="G88" s="194"/>
      <x:c r="H88" s="194"/>
      <x:c r="I88" s="194"/>
      <x:c r="J88" s="194"/>
      <x:c r="K88" s="194"/>
      <x:c r="L88" s="194"/>
      <x:c r="M88" s="194"/>
    </x:row>
    <x:row r="89">
      <x:c r="A89" s="130"/>
      <x:c r="B89" s="194" t="str">
        <x:v>IT costs</x:v>
      </x:c>
      <x:c r="C89" s="194" t="str">
        <x:v>opex_it</x:v>
      </x:c>
      <x:c r="D89" s="198" t="n">
        <x:f>'Input financials'!D80</x:f>
        <x:v>-159</x:v>
      </x:c>
      <x:c r="E89" s="198" t="n">
        <x:f>'Input financials'!E80</x:f>
        <x:v>-184</x:v>
      </x:c>
      <x:c r="F89" s="198" t="n">
        <x:f>'Input financials'!F80</x:f>
        <x:v>-159</x:v>
      </x:c>
      <x:c r="G89" s="194"/>
      <x:c r="H89" s="194"/>
      <x:c r="I89" s="194"/>
      <x:c r="J89" s="194"/>
      <x:c r="K89" s="194"/>
      <x:c r="L89" s="194"/>
      <x:c r="M89" s="194"/>
    </x:row>
    <x:row r="90">
      <x:c r="A90" s="130"/>
      <x:c r="B90" s="194" t="str">
        <x:v>Distribution and advertising costs</x:v>
      </x:c>
      <x:c r="C90" s="194" t="str">
        <x:v>opex_dist</x:v>
      </x:c>
      <x:c r="D90" s="198" t="n">
        <x:f>'Input financials'!D81</x:f>
        <x:v>-117</x:v>
      </x:c>
      <x:c r="E90" s="198" t="n">
        <x:f>'Input financials'!E81</x:f>
        <x:v>-143</x:v>
      </x:c>
      <x:c r="F90" s="198" t="n">
        <x:f>'Input financials'!F81</x:f>
        <x:v>-133</x:v>
      </x:c>
      <x:c r="G90" s="194"/>
      <x:c r="H90" s="194"/>
      <x:c r="I90" s="194"/>
      <x:c r="J90" s="194"/>
      <x:c r="K90" s="194"/>
      <x:c r="L90" s="194"/>
      <x:c r="M90" s="194"/>
    </x:row>
    <x:row r="91">
      <x:c r="A91" s="130"/>
      <x:c r="B91" s="194" t="str">
        <x:v>Incidental personnel costs</x:v>
      </x:c>
      <x:c r="C91" s="194" t="str">
        <x:v>opex_inc_pers</x:v>
      </x:c>
      <x:c r="D91" s="198" t="n">
        <x:f>'Input financials'!D82</x:f>
        <x:v>-74</x:v>
      </x:c>
      <x:c r="E91" s="198" t="n">
        <x:f>'Input financials'!E82</x:f>
        <x:v>-89</x:v>
      </x:c>
      <x:c r="F91" s="198" t="n">
        <x:f>'Input financials'!F82</x:f>
        <x:v>-97</x:v>
      </x:c>
      <x:c r="G91" s="194"/>
      <x:c r="H91" s="194"/>
      <x:c r="I91" s="194"/>
      <x:c r="J91" s="194"/>
      <x:c r="K91" s="194"/>
      <x:c r="L91" s="194"/>
      <x:c r="M91" s="194"/>
    </x:row>
    <x:row r="92">
      <x:c r="A92" s="130"/>
      <x:c r="B92" s="194" t="str">
        <x:v>General administrative expenses</x:v>
      </x:c>
      <x:c r="C92" s="194" t="str">
        <x:v>opex_ga</x:v>
      </x:c>
      <x:c r="D92" s="198" t="n">
        <x:f>'Input financials'!D83</x:f>
        <x:v>-54</x:v>
      </x:c>
      <x:c r="E92" s="198" t="n">
        <x:f>'Input financials'!E83</x:f>
        <x:v>-70</x:v>
      </x:c>
      <x:c r="F92" s="198" t="n">
        <x:f>'Input financials'!F83</x:f>
        <x:v>-93</x:v>
      </x:c>
      <x:c r="G92" s="194"/>
      <x:c r="H92" s="194"/>
      <x:c r="I92" s="194"/>
      <x:c r="J92" s="194"/>
      <x:c r="K92" s="194"/>
      <x:c r="L92" s="194"/>
      <x:c r="M92" s="194"/>
    </x:row>
    <x:row r="93">
      <x:c r="A93" s="130"/>
      <x:c r="B93" s="194" t="str">
        <x:v>Travel expenses</x:v>
      </x:c>
      <x:c r="C93" s="194" t="str">
        <x:v>opex_travel</x:v>
      </x:c>
      <x:c r="D93" s="198" t="n">
        <x:f>'Input financials'!D84</x:f>
        <x:v>-58</x:v>
      </x:c>
      <x:c r="E93" s="198" t="n">
        <x:f>'Input financials'!E84</x:f>
        <x:v>-64</x:v>
      </x:c>
      <x:c r="F93" s="198" t="n">
        <x:f>'Input financials'!F84</x:f>
        <x:v>-65</x:v>
      </x:c>
      <x:c r="G93" s="194"/>
      <x:c r="H93" s="194"/>
      <x:c r="I93" s="194"/>
      <x:c r="J93" s="194"/>
      <x:c r="K93" s="194"/>
      <x:c r="L93" s="194"/>
      <x:c r="M93" s="194"/>
    </x:row>
    <x:row r="94">
      <x:c r="A94" s="130"/>
      <x:c r="B94" s="194" t="str">
        <x:v>Insurances</x:v>
      </x:c>
      <x:c r="C94" s="194" t="str">
        <x:v>opex_ins</x:v>
      </x:c>
      <x:c r="D94" s="198" t="n">
        <x:f>'Input financials'!D85</x:f>
        <x:v>-43</x:v>
      </x:c>
      <x:c r="E94" s="198" t="n">
        <x:f>'Input financials'!E85</x:f>
        <x:v>-50</x:v>
      </x:c>
      <x:c r="F94" s="198" t="n">
        <x:f>'Input financials'!F85</x:f>
        <x:v>-52</x:v>
      </x:c>
      <x:c r="G94" s="194"/>
      <x:c r="H94" s="194"/>
      <x:c r="I94" s="194"/>
      <x:c r="J94" s="194"/>
      <x:c r="K94" s="194"/>
      <x:c r="L94" s="194"/>
      <x:c r="M94" s="194"/>
    </x:row>
    <x:row r="95">
      <x:c r="A95" s="130"/>
      <x:c r="B95" s="194" t="str">
        <x:v>Changes/additions to other provisions</x:v>
      </x:c>
      <x:c r="C95" s="194" t="str">
        <x:v>opex_prov</x:v>
      </x:c>
      <x:c r="D95" s="198" t="n">
        <x:f>'Input financials'!D86</x:f>
        <x:v>-4</x:v>
      </x:c>
      <x:c r="E95" s="198" t="n">
        <x:f>'Input financials'!E86</x:f>
        <x:v>-20</x:v>
      </x:c>
      <x:c r="F95" s="198" t="n">
        <x:f>'Input financials'!F86</x:f>
        <x:v>-47</x:v>
      </x:c>
      <x:c r="G95" s="194"/>
      <x:c r="H95" s="194"/>
      <x:c r="I95" s="194"/>
      <x:c r="J95" s="194"/>
      <x:c r="K95" s="194"/>
      <x:c r="L95" s="194"/>
      <x:c r="M95" s="194"/>
    </x:row>
    <x:row r="96">
      <x:c r="A96" s="130"/>
      <x:c r="B96" s="194" t="str">
        <x:v>Audit, legal and consultancy fees</x:v>
      </x:c>
      <x:c r="C96" s="194" t="str">
        <x:v>opex_audit</x:v>
      </x:c>
      <x:c r="D96" s="198" t="n">
        <x:f>'Input financials'!D87</x:f>
        <x:v>-50</x:v>
      </x:c>
      <x:c r="E96" s="198" t="n">
        <x:f>'Input financials'!E87</x:f>
        <x:v>-56</x:v>
      </x:c>
      <x:c r="F96" s="198" t="n">
        <x:f>'Input financials'!F87</x:f>
        <x:v>-41</x:v>
      </x:c>
      <x:c r="G96" s="194"/>
      <x:c r="H96" s="194"/>
      <x:c r="I96" s="194"/>
      <x:c r="J96" s="194"/>
      <x:c r="K96" s="194"/>
      <x:c r="L96" s="194"/>
      <x:c r="M96" s="194"/>
    </x:row>
    <x:row r="97">
      <x:c r="A97" s="130"/>
      <x:c r="B97" s="194" t="str">
        <x:v>Rents, leases and ancillary costs</x:v>
      </x:c>
      <x:c r="C97" s="194" t="str">
        <x:v>opex_rent</x:v>
      </x:c>
      <x:c r="D97" s="198" t="n">
        <x:f>'Input financials'!D88</x:f>
        <x:v>-31</x:v>
      </x:c>
      <x:c r="E97" s="198" t="n">
        <x:f>'Input financials'!E88</x:f>
        <x:v>-30</x:v>
      </x:c>
      <x:c r="F97" s="198" t="n">
        <x:f>'Input financials'!F88</x:f>
        <x:v>-29</x:v>
      </x:c>
      <x:c r="G97" s="194"/>
      <x:c r="H97" s="194"/>
      <x:c r="I97" s="194"/>
      <x:c r="J97" s="194"/>
      <x:c r="K97" s="194"/>
      <x:c r="L97" s="194"/>
      <x:c r="M97" s="194"/>
    </x:row>
    <x:row r="98">
      <x:c r="A98" s="130"/>
      <x:c r="B98" s="194" t="str">
        <x:v>Warranties</x:v>
      </x:c>
      <x:c r="C98" s="194" t="str">
        <x:v>opex_warranty</x:v>
      </x:c>
      <x:c r="D98" s="198" t="n">
        <x:f>'Input financials'!D89</x:f>
        <x:v>-13</x:v>
      </x:c>
      <x:c r="E98" s="198" t="n">
        <x:f>'Input financials'!E89</x:f>
        <x:v>-27</x:v>
      </x:c>
      <x:c r="F98" s="198" t="n">
        <x:f>'Input financials'!F89</x:f>
        <x:v>-20</x:v>
      </x:c>
      <x:c r="G98" s="194"/>
      <x:c r="H98" s="194"/>
      <x:c r="I98" s="194"/>
      <x:c r="J98" s="194"/>
      <x:c r="K98" s="194"/>
      <x:c r="L98" s="194"/>
      <x:c r="M98" s="194"/>
    </x:row>
    <x:row r="99">
      <x:c r="A99" s="130"/>
      <x:c r="B99" s="194" t="str">
        <x:v>Patent and licensing fees</x:v>
      </x:c>
      <x:c r="C99" s="194" t="str">
        <x:v>opex_patent</x:v>
      </x:c>
      <x:c r="D99" s="198" t="n">
        <x:f>'Input financials'!D90</x:f>
        <x:v>-11</x:v>
      </x:c>
      <x:c r="E99" s="198" t="n">
        <x:f>'Input financials'!E90</x:f>
        <x:v>-15</x:v>
      </x:c>
      <x:c r="F99" s="198" t="n">
        <x:f>'Input financials'!F90</x:f>
        <x:v>-10</x:v>
      </x:c>
      <x:c r="G99" s="194"/>
      <x:c r="H99" s="194"/>
      <x:c r="I99" s="194"/>
      <x:c r="J99" s="194"/>
      <x:c r="K99" s="194"/>
      <x:c r="L99" s="194"/>
      <x:c r="M99" s="194"/>
    </x:row>
    <x:row r="100">
      <x:c r="A100" s="130"/>
      <x:c r="B100" s="194" t="str">
        <x:v>Disposal of non-current assets (excl. financial assets)</x:v>
      </x:c>
      <x:c r="C100" s="194" t="str">
        <x:v>opex_disposal</x:v>
      </x:c>
      <x:c r="D100" s="198" t="n">
        <x:f>'Input financials'!D91</x:f>
        <x:v>-8</x:v>
      </x:c>
      <x:c r="E100" s="198" t="n">
        <x:f>'Input financials'!E91</x:f>
        <x:v>-23</x:v>
      </x:c>
      <x:c r="F100" s="198" t="n">
        <x:f>'Input financials'!F91</x:f>
        <x:v>-9</x:v>
      </x:c>
      <x:c r="G100" s="194"/>
      <x:c r="H100" s="194"/>
      <x:c r="I100" s="194"/>
      <x:c r="J100" s="194"/>
      <x:c r="K100" s="194"/>
      <x:c r="L100" s="194"/>
      <x:c r="M100" s="194"/>
    </x:row>
    <x:row r="101">
      <x:c r="A101" s="130"/>
      <x:c r="B101" s="194" t="str">
        <x:v>Other taxes</x:v>
      </x:c>
      <x:c r="C101" s="194" t="str">
        <x:v>opex_taxes</x:v>
      </x:c>
      <x:c r="D101" s="198" t="n">
        <x:f>'Input financials'!D92</x:f>
        <x:v>-10</x:v>
      </x:c>
      <x:c r="E101" s="198" t="n">
        <x:f>'Input financials'!E92</x:f>
        <x:v>-11</x:v>
      </x:c>
      <x:c r="F101" s="198" t="n">
        <x:f>'Input financials'!F92</x:f>
        <x:v>-9</x:v>
      </x:c>
      <x:c r="G101" s="194"/>
      <x:c r="H101" s="194"/>
      <x:c r="I101" s="194"/>
      <x:c r="J101" s="194"/>
      <x:c r="K101" s="194"/>
      <x:c r="L101" s="194"/>
      <x:c r="M101" s="194"/>
    </x:row>
    <x:row r="102">
      <x:c r="A102" s="130"/>
      <x:c r="B102" s="194" t="str">
        <x:v>Write-downs of receivables</x:v>
      </x:c>
      <x:c r="C102" s="194" t="str">
        <x:v>opex_writeoff</x:v>
      </x:c>
      <x:c r="D102" s="198" t="n">
        <x:f>'Input financials'!D93</x:f>
        <x:v>-7</x:v>
      </x:c>
      <x:c r="E102" s="198" t="n">
        <x:f>'Input financials'!E93</x:f>
        <x:v>-4</x:v>
      </x:c>
      <x:c r="F102" s="198" t="n">
        <x:f>'Input financials'!F93</x:f>
        <x:v>-33</x:v>
      </x:c>
      <x:c r="G102" s="194"/>
      <x:c r="H102" s="194"/>
      <x:c r="I102" s="194"/>
      <x:c r="J102" s="194"/>
      <x:c r="K102" s="194"/>
      <x:c r="L102" s="194"/>
      <x:c r="M102" s="194"/>
    </x:row>
    <x:row r="103">
      <x:c r="A103" s="130"/>
      <x:c r="B103" s="194" t="str">
        <x:v>Miscellaneous operating expenses</x:v>
      </x:c>
      <x:c r="C103" s="194" t="str">
        <x:v>opex_misc</x:v>
      </x:c>
      <x:c r="D103" s="198" t="n">
        <x:f>'Input financials'!D94</x:f>
        <x:v>-75</x:v>
      </x:c>
      <x:c r="E103" s="198" t="n">
        <x:f>'Input financials'!E94</x:f>
        <x:v>-112</x:v>
      </x:c>
      <x:c r="F103" s="198" t="n">
        <x:f>'Input financials'!F94</x:f>
        <x:v>-62</x:v>
      </x:c>
      <x:c r="G103" s="194"/>
      <x:c r="H103" s="194"/>
      <x:c r="I103" s="194"/>
      <x:c r="J103" s="194"/>
      <x:c r="K103" s="194"/>
      <x:c r="L103" s="194"/>
      <x:c r="M103" s="194"/>
    </x:row>
    <x:row r="104">
      <x:c r="A104" s="130"/>
      <x:c r="B104" s="194" t="str">
        <x:v>Company operating result (EBIT before special items and PPA)</x:v>
      </x:c>
      <x:c r="C104" s="194" t="str">
        <x:v>operating_result</x:v>
      </x:c>
      <x:c r="D104" s="198" t="n">
        <x:f>'Input financials'!D96</x:f>
        <x:v>918</x:v>
      </x:c>
      <x:c r="E104" s="198" t="n">
        <x:f>'Input financials'!E96</x:f>
        <x:v>1478</x:v>
      </x:c>
      <x:c r="F104" s="198" t="n">
        <x:f>'Input financials'!F96</x:f>
        <x:v>1841</x:v>
      </x:c>
      <x:c r="G104" s="194"/>
      <x:c r="H104" s="194"/>
      <x:c r="I104" s="194"/>
      <x:c r="J104" s="194"/>
      <x:c r="K104" s="194"/>
      <x:c r="L104" s="194"/>
      <x:c r="M104" s="194"/>
    </x:row>
    <x:row r="105">
      <x:c r="A105" s="130"/>
      <x:c r="B105" s="200" t="str">
        <x:v>PPA effects included in EBIT</x:v>
      </x:c>
      <x:c r="C105" s="200" t="str">
        <x:v>ppa_total</x:v>
      </x:c>
      <x:c r="D105" s="201" t="n">
        <x:f>'Input financials'!D97</x:f>
        <x:v>-70</x:v>
      </x:c>
      <x:c r="E105" s="201" t="n">
        <x:f>'Input financials'!E97</x:f>
        <x:v>-125</x:v>
      </x:c>
      <x:c r="F105" s="201" t="n">
        <x:f>'Input financials'!F97</x:f>
        <x:v>-167</x:v>
      </x:c>
      <x:c r="G105" s="200"/>
      <x:c r="H105" s="200"/>
      <x:c r="I105" s="200"/>
      <x:c r="J105" s="200"/>
      <x:c r="K105" s="194"/>
      <x:c r="L105" s="194"/>
      <x:c r="M105" s="194"/>
    </x:row>
    <x:row r="106">
      <x:c r="A106" s="130"/>
      <x:c r="B106" s="194" t="str">
        <x:v>Management special items included in EBIT</x:v>
      </x:c>
      <x:c r="C106" s="194" t="str">
        <x:v>mgmt_special</x:v>
      </x:c>
      <x:c r="D106" s="198" t="n">
        <x:f>'Input financials'!D98</x:f>
        <x:v>49</x:v>
      </x:c>
      <x:c r="E106" s="198" t="n">
        <x:f>'Input financials'!E98</x:f>
        <x:v>-9</x:v>
      </x:c>
      <x:c r="F106" s="198" t="n">
        <x:f>'Input financials'!F98</x:f>
        <x:v>9</x:v>
      </x:c>
      <x:c r="G106" s="194"/>
      <x:c r="H106" s="194"/>
      <x:c r="I106" s="194"/>
      <x:c r="J106" s="194"/>
      <x:c r="K106" s="194"/>
      <x:c r="L106" s="194"/>
      <x:c r="M106" s="194"/>
    </x:row>
    <x:row r="107">
      <x:c r="A107" s="130"/>
      <x:c r="B107" s="200" t="str">
        <x:v>Unusual gain included in equity-method result</x:v>
      </x:c>
      <x:c r="C107" s="200" t="str">
        <x:v>eq_unusual_gain</x:v>
      </x:c>
      <x:c r="D107" s="201" t="n">
        <x:f>'Input financials'!D99</x:f>
        <x:v>53</x:v>
      </x:c>
      <x:c r="E107" s="201" t="n">
        <x:f>'Input financials'!E99</x:f>
        <x:v>0</x:v>
      </x:c>
      <x:c r="F107" s="201" t="n">
        <x:f>'Input financials'!F99</x:f>
        <x:v>46</x:v>
      </x:c>
      <x:c r="G107" s="200"/>
      <x:c r="H107" s="200"/>
      <x:c r="I107" s="200"/>
      <x:c r="J107" s="200"/>
      <x:c r="K107" s="194"/>
      <x:c r="L107" s="194"/>
      <x:c r="M107" s="194"/>
    </x:row>
    <x:row r="108">
      <x:c r="A108" s="130"/>
      <x:c r="B108" s="194" t="str">
        <x:v>PPA effect embedded in equity-method result</x:v>
      </x:c>
      <x:c r="C108" s="194" t="str">
        <x:v>eq_ppa</x:v>
      </x:c>
      <x:c r="D108" s="198" t="n">
        <x:f>'Input financials'!D100</x:f>
        <x:v>-21</x:v>
      </x:c>
      <x:c r="E108" s="198" t="n">
        <x:f>'Input financials'!E100</x:f>
        <x:v>-15</x:v>
      </x:c>
      <x:c r="F108" s="198" t="n">
        <x:f>'Input financials'!F100</x:f>
        <x:v>-13</x:v>
      </x:c>
      <x:c r="G108" s="194"/>
      <x:c r="H108" s="194"/>
      <x:c r="I108" s="194"/>
      <x:c r="J108" s="194"/>
      <x:c r="K108" s="194"/>
      <x:c r="L108" s="194"/>
      <x:c r="M108" s="194"/>
    </x:row>
    <x:row r="109">
      <x:c r="A109" s="130"/>
      <x:c r="B109" s="200" t="str">
        <x:v>Special gain embedded in other financial result</x:v>
      </x:c>
      <x:c r="C109" s="200" t="str">
        <x:v>other_fin_special</x:v>
      </x:c>
      <x:c r="D109" s="201" t="n">
        <x:v>5</x:v>
      </x:c>
      <x:c r="E109" s="201" t="n">
        <x:v>0</x:v>
      </x:c>
      <x:c r="F109" s="201" t="n">
        <x:v>15</x:v>
      </x:c>
      <x:c r="G109" s="200"/>
      <x:c r="H109" s="200"/>
      <x:c r="I109" s="200"/>
      <x:c r="J109" s="200" t="str">
        <x:v>2023: Shriram fair-value remeasurement gain; 2025: blackned step-acquisition remeasurement gain. Both are embedded in other financial result.</x:v>
      </x:c>
      <x:c r="K109" s="194"/>
      <x:c r="L109" s="194"/>
      <x:c r="M109" s="194"/>
    </x:row>
    <x:row r="110">
      <x:c r="A110" s="130"/>
      <x:c r="B110" s="194" t="str">
        <x:v>Discontinued operations - earnings before tax</x:v>
      </x:c>
      <x:c r="C110" s="194" t="str">
        <x:v>disc_ebt</x:v>
      </x:c>
      <x:c r="D110" s="198" t="n">
        <x:f>'Input financials'!D102</x:f>
        <x:v>-59</x:v>
      </x:c>
      <x:c r="E110" s="198" t="n">
        <x:f>'Input financials'!E102</x:f>
        <x:v>-78</x:v>
      </x:c>
      <x:c r="F110" s="198" t="n">
        <x:f>'Input financials'!F102</x:f>
        <x:v>-315</x:v>
      </x:c>
      <x:c r="G110" s="194"/>
      <x:c r="H110" s="194"/>
      <x:c r="I110" s="194"/>
      <x:c r="J110" s="194"/>
      <x:c r="K110" s="194"/>
      <x:c r="L110" s="194"/>
      <x:c r="M110" s="194"/>
    </x:row>
    <x:row r="111">
      <x:c r="A111" s="130"/>
      <x:c r="B111" s="194" t="str">
        <x:v>Discontinued operations - tax effect</x:v>
      </x:c>
      <x:c r="C111" s="194" t="str">
        <x:v>disc_tax</x:v>
      </x:c>
      <x:c r="D111" s="198" t="n">
        <x:f>'Input financials'!D103</x:f>
        <x:v>15</x:v>
      </x:c>
      <x:c r="E111" s="198" t="n">
        <x:f>'Input financials'!E103</x:f>
        <x:v>-9</x:v>
      </x:c>
      <x:c r="F111" s="198" t="n">
        <x:f>'Input financials'!F103</x:f>
        <x:v>-27</x:v>
      </x:c>
      <x:c r="G111" s="194"/>
      <x:c r="H111" s="194"/>
      <x:c r="I111" s="194"/>
      <x:c r="J111" s="194"/>
      <x:c r="K111" s="194"/>
      <x:c r="L111" s="194"/>
      <x:c r="M111" s="194"/>
    </x:row>
    <x:row r="112">
      <x:c r="A112" s="130"/>
      <x:c r="B112" s="194" t="str">
        <x:v>R&amp;D recognized as expense</x:v>
      </x:c>
      <x:c r="C112" s="194" t="str">
        <x:v>rd_expensed</x:v>
      </x:c>
      <x:c r="D112" s="198" t="n">
        <x:f>'Input financials'!D104</x:f>
        <x:v>-217</x:v>
      </x:c>
      <x:c r="E112" s="198" t="n">
        <x:f>'Input financials'!E104</x:f>
        <x:v>-235</x:v>
      </x:c>
      <x:c r="F112" s="198" t="n">
        <x:f>'Input financials'!F104</x:f>
        <x:v>-105</x:v>
      </x:c>
      <x:c r="G112" s="194"/>
      <x:c r="H112" s="194"/>
      <x:c r="I112" s="194"/>
      <x:c r="J112" s="194"/>
      <x:c r="K112" s="194"/>
      <x:c r="L112" s="194"/>
      <x:c r="M112" s="194"/>
    </x:row>
    <x:row r="113">
      <x:c r="A113" s="130"/>
      <x:c r="B113" s="194"/>
      <x:c r="C113" s="194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4"/>
    </x:row>
    <x:row r="114">
      <x:c r="A114" s="133" t="str">
        <x:v>x</x:v>
      </x:c>
      <x:c r="B114" s="197" t="str">
        <x:v>Scope warning</x:v>
      </x:c>
      <x:c r="C114" s="197"/>
      <x:c r="D114" s="197"/>
      <x:c r="E114" s="197"/>
      <x:c r="F114" s="197"/>
      <x:c r="G114" s="197"/>
      <x:c r="H114" s="197"/>
      <x:c r="I114" s="197"/>
      <x:c r="J114" s="197"/>
      <x:c r="K114" s="194"/>
      <x:c r="L114" s="194"/>
      <x:c r="M114" s="194"/>
    </x:row>
    <x:row r="115">
      <x:c r="A115" s="130"/>
      <x:c r="B115" s="208" t="str">
        <x:v>2025 discontinued the civilian business. Per supervisor instruction, this workbook keeps each year on its historical reported basis rather than restating 2023-2024. Therefore 2024→2025 trend measures are intentionally not like-for-like.</x:v>
      </x:c>
      <x:c r="C115" s="208"/>
      <x:c r="D115" s="208"/>
      <x:c r="E115" s="208"/>
      <x:c r="F115" s="208"/>
      <x:c r="G115" s="208"/>
      <x:c r="H115" s="208"/>
      <x:c r="I115" s="208"/>
      <x:c r="J115" s="208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 t="str">
        <x:v>x</x:v>
      </x:c>
      <x:c r="B117" s="194" t="str">
        <x:v>Self-check inputs from instructor feedback / annual-report notes</x:v>
      </x:c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</x:row>
    <x:row r="118">
      <x:c r="A118" s="130"/>
      <x:c r="B118" s="194" t="str">
        <x:v>Reversal of non-financial assets / impairment reversals treated as unusual</x:v>
      </x:c>
      <x:c r="C118" s="194" t="str">
        <x:v>audit_rev_assets</x:v>
      </x:c>
      <x:c r="D118" s="194" t="n">
        <x:v>2</x:v>
      </x:c>
      <x:c r="E118" s="194" t="n">
        <x:v>7</x:v>
      </x:c>
      <x:c r="F118" s="194" t="n">
        <x:v>0</x:v>
      </x:c>
      <x:c r="G118" s="194"/>
      <x:c r="H118" s="194"/>
      <x:c r="I118" s="194"/>
      <x:c r="J118" s="194" t="str">
        <x:v>AR2024 note 11; AR2025 note 11</x:v>
      </x:c>
      <x:c r="K118" s="194"/>
      <x:c r="L118" s="194"/>
      <x:c r="M118" s="194"/>
    </x:row>
    <x:row r="119">
      <x:c r="A119" s="130"/>
      <x:c r="B119" s="194" t="str">
        <x:v>Impairment losses treated as unusual</x:v>
      </x:c>
      <x:c r="C119" s="194" t="str">
        <x:v>audit_impairment</x:v>
      </x:c>
      <x:c r="D119" s="194" t="n">
        <x:v>-6</x:v>
      </x:c>
      <x:c r="E119" s="194" t="n">
        <x:v>-18</x:v>
      </x:c>
      <x:c r="F119" s="194" t="n">
        <x:v>-17</x:v>
      </x:c>
      <x:c r="G119" s="194"/>
      <x:c r="H119" s="194"/>
      <x:c r="I119" s="194"/>
      <x:c r="J119" s="194" t="str">
        <x:v>AR2024 note 14; AR2025 note 14</x:v>
      </x:c>
      <x:c r="K119" s="194"/>
      <x:c r="L119" s="194"/>
      <x:c r="M119" s="194"/>
    </x:row>
    <x:row r="120">
      <x:c r="A120" s="130"/>
      <x:c r="B120" s="194" t="str">
        <x:v>Acquisition transaction costs treated as unusual</x:v>
      </x:c>
      <x:c r="C120" s="194" t="str">
        <x:v>audit_acq_costs</x:v>
      </x:c>
      <x:c r="D120" s="194" t="n">
        <x:v>0</x:v>
      </x:c>
      <x:c r="E120" s="194" t="n">
        <x:v>-6</x:v>
      </x:c>
      <x:c r="F120" s="194" t="n">
        <x:v>0</x:v>
      </x:c>
      <x:c r="G120" s="194"/>
      <x:c r="H120" s="194"/>
      <x:c r="I120" s="194"/>
      <x:c r="J120" s="194" t="str">
        <x:v>2024 Loc Performance transaction costs; management special-items reconciliation</x:v>
      </x:c>
      <x:c r="K120" s="194"/>
      <x:c r="L120" s="194"/>
      <x:c r="M120" s="194"/>
    </x:row>
    <x:row r="121">
      <x:c r="A121" s="130"/>
      <x:c r="B121" s="194" t="str">
        <x:v>Restructuring special item — memo only, kept recurring</x:v>
      </x:c>
      <x:c r="C121" s="194" t="str">
        <x:v>audit_restructuring</x:v>
      </x:c>
      <x:c r="D121" s="194" t="n">
        <x:v>-1</x:v>
      </x:c>
      <x:c r="E121" s="194" t="n">
        <x:v>-7</x:v>
      </x:c>
      <x:c r="F121" s="194" t="n">
        <x:v>-7</x:v>
      </x:c>
      <x:c r="G121" s="194"/>
      <x:c r="H121" s="194"/>
      <x:c r="I121" s="194"/>
      <x:c r="J121" s="194" t="str">
        <x:v>Instructor feedback: recurring restructuring charge should not be treated as unusual</x:v>
      </x:c>
      <x:c r="K121" s="194"/>
      <x:c r="L121" s="194"/>
      <x:c r="M121" s="194"/>
    </x:row>
    <x:row r="122">
      <x:c r="A122" s="130"/>
      <x:c r="B122" s="194" t="str">
        <x:v>Rounding / undisclosed operating bridge used only to reconcile face EBIT</x:v>
      </x:c>
      <x:c r="C122" s="194" t="str">
        <x:v>audit_rounding</x:v>
      </x:c>
      <x:c r="D122" s="194" t="n">
        <x:v>0</x:v>
      </x:c>
      <x:c r="E122" s="194" t="n">
        <x:v>1</x:v>
      </x:c>
      <x:c r="F122" s="194" t="n">
        <x:v>-2</x:v>
      </x:c>
      <x:c r="G122" s="194"/>
      <x:c r="H122" s="194"/>
      <x:c r="I122" s="194"/>
      <x:c r="J122" s="194" t="str">
        <x:v>Face-statement rounding versus note-component totals</x:v>
      </x:c>
      <x:c r="K122" s="194"/>
      <x:c r="L122" s="194"/>
      <x:c r="M122" s="194"/>
    </x:row>
    <x:row r="123">
      <x:c r="A123" s="130"/>
      <x:c r="B123" s="194" t="str">
        <x:v>Continuing-operations CAPEX (memo; not used in Module 1 ratios)</x:v>
      </x:c>
      <x:c r="C123" s="194" t="str">
        <x:v>audit_capex</x:v>
      </x:c>
      <x:c r="D123" s="194"/>
      <x:c r="E123" s="194" t="n">
        <x:v>651</x:v>
      </x:c>
      <x:c r="F123" s="194" t="n">
        <x:v>876</x:v>
      </x:c>
      <x:c r="G123" s="194"/>
      <x:c r="H123" s="194"/>
      <x:c r="I123" s="194"/>
      <x:c r="J123" s="194" t="str">
        <x:v>AR2025 management report: continuing-operations investment 876 / 651</x:v>
      </x:c>
      <x:c r="K123" s="194"/>
      <x:c r="L123" s="194"/>
      <x:c r="M123" s="194"/>
    </x:row>
    <x:row r="124">
      <x:c r="A124" s="130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</x:row>
    <x:row r="125">
      <x:c r="A125" s="130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</x:row>
    <x:row r="126">
      <x:c r="A126" s="130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0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</x:row>
    <x:row r="130">
      <x:c r="A130" s="130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</x:row>
    <x:row r="131">
      <x:c r="A131" s="130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</x:row>
    <x:row r="132">
      <x:c r="A132" s="130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</x:row>
    <x:row r="133">
      <x:c r="A133" s="130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</x:row>
    <x:row r="134">
      <x:c r="A134" s="130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</x:row>
    <x:row r="135">
      <x:c r="A135" s="130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</x:row>
    <x:row r="136">
      <x:c r="A136" s="130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</x:row>
    <x:row r="137">
      <x:c r="A137" s="130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</x:row>
    <x:row r="138">
      <x:c r="A138" s="130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0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</x:row>
    <x:row r="142">
      <x:c r="A142" s="130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</x:row>
    <x:row r="143">
      <x:c r="A143" s="130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</x:row>
    <x:row r="144">
      <x:c r="A144" s="130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</x:row>
    <x:row r="145">
      <x:c r="A145" s="130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</x:row>
    <x:row r="146">
      <x:c r="A146" s="130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</x:row>
    <x:row r="147">
      <x:c r="A147" s="130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</x:row>
    <x:row r="148">
      <x:c r="A148" s="130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0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</x:row>
    <x:row r="151">
      <x:c r="A151" s="130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  <x:mergeCell ref="B115:J1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4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37" hidden="0" customWidth="1"/>
    <x:col min="8" max="8" width="37" hidden="0" customWidth="1"/>
    <x:col min="9" max="9" width="37" hidden="0" customWidth="1"/>
    <x:col min="10" max="10" width="48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130"/>
      <x:c r="B1" s="194"/>
      <x:c r="C1" s="194"/>
      <x:c r="D1" s="194"/>
      <x:c r="E1" s="194"/>
      <x:c r="F1" s="194"/>
      <x:c r="G1" s="159"/>
      <x:c r="H1" s="159"/>
      <x:c r="I1" s="159"/>
      <x:c r="J1" s="159"/>
      <x:c r="K1" s="159"/>
      <x:c r="L1" s="159"/>
      <x:c r="M1" s="159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0"/>
      <x:c r="B6" s="196" t="str">
        <x:v>(€ million unless stated)</x:v>
      </x:c>
      <x:c r="C6" s="196"/>
      <x:c r="D6" s="196" t="str">
        <x:v>2023A</x:v>
      </x:c>
      <x:c r="E6" s="196" t="str">
        <x:v>2024A</x:v>
      </x:c>
      <x:c r="F6" s="196" t="str">
        <x:v>2025A</x:v>
      </x:c>
      <x:c r="G6" s="196" t="str">
        <x:v>Source 2023</x:v>
      </x:c>
      <x:c r="H6" s="196" t="str">
        <x:v>Source 2024</x:v>
      </x:c>
      <x:c r="I6" s="196" t="str">
        <x:v>Source 2025</x:v>
      </x:c>
      <x:c r="J6" s="196" t="str">
        <x:v>Notes / classification</x:v>
      </x:c>
      <x:c r="K6" s="196" t="str">
        <x:v>Category</x:v>
      </x:c>
      <x:c r="L6" s="196" t="str">
        <x:v>Status</x:v>
      </x:c>
      <x:c r="M6" s="196" t="str">
        <x:v>Number ↔ source</x:v>
      </x:c>
    </x:row>
    <x:row r="7">
      <x:c r="A7" s="130"/>
      <x:c r="B7" s="194"/>
      <x:c r="C7" s="194"/>
      <x:c r="D7" s="194"/>
      <x:c r="E7" s="194"/>
      <x:c r="F7" s="194"/>
      <x:c r="G7" s="194"/>
      <x:c r="H7" s="194"/>
      <x:c r="I7" s="194"/>
      <x:c r="J7" s="194"/>
      <x:c r="K7" s="194"/>
      <x:c r="L7" s="194"/>
      <x:c r="M7" s="194"/>
    </x:row>
    <x:row r="8">
      <x:c r="A8" s="133" t="str">
        <x:v>x</x:v>
      </x:c>
      <x:c r="B8" s="197" t="str">
        <x:v>Reported</x:v>
      </x:c>
      <x:c r="C8" s="197"/>
      <x:c r="D8" s="197"/>
      <x:c r="E8" s="197"/>
      <x:c r="F8" s="197"/>
      <x:c r="G8" s="197"/>
      <x:c r="H8" s="197"/>
      <x:c r="I8" s="197"/>
      <x:c r="J8" s="197"/>
      <x:c r="K8" s="197"/>
      <x:c r="L8" s="197"/>
      <x:c r="M8" s="197"/>
    </x:row>
    <x:row r="9">
      <x:c r="A9" s="130"/>
      <x:c r="B9" s="194" t="str">
        <x:v>Sales</x:v>
      </x:c>
      <x:c r="C9" s="194" t="str">
        <x:v>sales</x:v>
      </x:c>
      <x:c r="D9" s="258" t="n">
        <x:v>7176</x:v>
      </x:c>
      <x:c r="E9" s="258" t="n">
        <x:v>9751</x:v>
      </x:c>
      <x:c r="F9" s="258" t="n">
        <x:v>9935</x:v>
      </x:c>
      <x:c r="G9" s="199" t="str">
        <x:v>Rheinmetall Annual Report 2024, p.188</x:v>
      </x:c>
      <x:c r="H9" s="199" t="str">
        <x:v>Rheinmetall Annual Report 2024, p.188</x:v>
      </x:c>
      <x:c r="I9" s="199" t="str">
        <x:v>Rheinmetall Annual Report 2025, p.199</x:v>
      </x:c>
      <x:c r="J9" s="199" t="str">
        <x:v>2025 is continuing operations under IFRS 5; 2023-24 are historical figures from AR2024.</x:v>
      </x:c>
      <x:c r="K9" s="194" t="str">
        <x:v>Reported</x:v>
      </x:c>
      <x:c r="L9" s="194" t="str">
        <x:v>Sourced</x:v>
      </x:c>
      <x:c r="M9" s="194" t="str">
        <x:v>OK</x:v>
      </x:c>
    </x:row>
    <x:row r="10">
      <x:c r="A10" s="130"/>
      <x:c r="B10" s="194" t="str">
        <x:v>Changes in inventories and work performed/capitalized</x:v>
      </x:c>
      <x:c r="C10" s="194" t="str">
        <x:v>inv_ownwork</x:v>
      </x:c>
      <x:c r="D10" s="258" t="n">
        <x:v>696</x:v>
      </x:c>
      <x:c r="E10" s="258" t="n">
        <x:v>167</x:v>
      </x:c>
      <x:c r="F10" s="258" t="n">
        <x:v>521</x:v>
      </x:c>
      <x:c r="G10" s="199" t="str">
        <x:v>Rheinmetall Annual Report 2024, p.188</x:v>
      </x:c>
      <x:c r="H10" s="199" t="str">
        <x:v>Rheinmetall Annual Report 2024, p.188</x:v>
      </x:c>
      <x:c r="I10" s="199" t="str">
        <x:v>Rheinmetall Annual Report 2025, p.199</x:v>
      </x:c>
      <x:c r="J10" s="199" t="str"/>
      <x:c r="K10" s="194" t="str">
        <x:v>Reported</x:v>
      </x:c>
      <x:c r="L10" s="194" t="str">
        <x:v>Sourced</x:v>
      </x:c>
      <x:c r="M10" s="194" t="str">
        <x:v>OK</x:v>
      </x:c>
    </x:row>
    <x:row r="11">
      <x:c r="A11" s="130"/>
      <x:c r="B11" s="194" t="str">
        <x:v>Other operating income</x:v>
      </x:c>
      <x:c r="C11" s="194" t="str">
        <x:v>other_op_income</x:v>
      </x:c>
      <x:c r="D11" s="258" t="n">
        <x:v>153</x:v>
      </x:c>
      <x:c r="E11" s="258" t="n">
        <x:v>228</x:v>
      </x:c>
      <x:c r="F11" s="258" t="n">
        <x:v>273</x:v>
      </x:c>
      <x:c r="G11" s="199" t="str">
        <x:v>Rheinmetall Annual Report 2024, p.188</x:v>
      </x:c>
      <x:c r="H11" s="199" t="str">
        <x:v>Rheinmetall Annual Report 2024, p.188</x:v>
      </x:c>
      <x:c r="I11" s="199" t="str">
        <x:v>Rheinmetall Annual Report 2025, p.199</x:v>
      </x:c>
      <x:c r="J11" s="199" t="str"/>
      <x:c r="K11" s="194" t="str">
        <x:v>Reported</x:v>
      </x:c>
      <x:c r="L11" s="194" t="str">
        <x:v>Sourced</x:v>
      </x:c>
      <x:c r="M11" s="194" t="str">
        <x:v>OK</x:v>
      </x:c>
    </x:row>
    <x:row r="12">
      <x:c r="A12" s="130"/>
      <x:c r="B12" s="194" t="str">
        <x:v>Cost of materials</x:v>
      </x:c>
      <x:c r="C12" s="194" t="str">
        <x:v>cost_materials</x:v>
      </x:c>
      <x:c r="D12" s="258" t="n">
        <x:v>-3935</x:v>
      </x:c>
      <x:c r="E12" s="258" t="n">
        <x:v>-4859</x:v>
      </x:c>
      <x:c r="F12" s="258" t="n">
        <x:v>-5252</x:v>
      </x:c>
      <x:c r="G12" s="199" t="str">
        <x:v>Rheinmetall Annual Report 2024, p.188</x:v>
      </x:c>
      <x:c r="H12" s="199" t="str">
        <x:v>Rheinmetall Annual Report 2024, p.188</x:v>
      </x:c>
      <x:c r="I12" s="199" t="str">
        <x:v>Rheinmetall Annual Report 2025, p.199</x:v>
      </x:c>
      <x:c r="J12" s="199" t="str"/>
      <x:c r="K12" s="194" t="str">
        <x:v>Reported</x:v>
      </x:c>
      <x:c r="L12" s="194" t="str">
        <x:v>Sourced</x:v>
      </x:c>
      <x:c r="M12" s="194" t="str">
        <x:v>OK</x:v>
      </x:c>
    </x:row>
    <x:row r="13">
      <x:c r="A13" s="130"/>
      <x:c r="B13" s="194" t="str">
        <x:v>Personnel costs</x:v>
      </x:c>
      <x:c r="C13" s="194" t="str">
        <x:v>personnel</x:v>
      </x:c>
      <x:c r="D13" s="258" t="n">
        <x:v>-2047</x:v>
      </x:c>
      <x:c r="E13" s="258" t="n">
        <x:v>-2373</x:v>
      </x:c>
      <x:c r="F13" s="258" t="n">
        <x:v>-2314</x:v>
      </x:c>
      <x:c r="G13" s="199" t="str">
        <x:v>Rheinmetall Annual Report 2024, p.188</x:v>
      </x:c>
      <x:c r="H13" s="199" t="str">
        <x:v>Rheinmetall Annual Report 2024, p.188</x:v>
      </x:c>
      <x:c r="I13" s="199" t="str">
        <x:v>Rheinmetall Annual Report 2025, p.199</x:v>
      </x:c>
      <x:c r="J13" s="199" t="str"/>
      <x:c r="K13" s="194" t="str">
        <x:v>Reported</x:v>
      </x:c>
      <x:c r="L13" s="194" t="str">
        <x:v>Sourced</x:v>
      </x:c>
      <x:c r="M13" s="194" t="str">
        <x:v>OK</x:v>
      </x:c>
    </x:row>
    <x:row r="14">
      <x:c r="A14" s="130"/>
      <x:c r="B14" s="194" t="str">
        <x:v>Amortization, depreciation and impairment</x:v>
      </x:c>
      <x:c r="C14" s="194" t="str">
        <x:v>da_imp</x:v>
      </x:c>
      <x:c r="D14" s="258" t="n">
        <x:v>-308</x:v>
      </x:c>
      <x:c r="E14" s="258" t="n">
        <x:v>-403</x:v>
      </x:c>
      <x:c r="F14" s="258" t="n">
        <x:v>-406</x:v>
      </x:c>
      <x:c r="G14" s="199" t="str">
        <x:v>Rheinmetall Annual Report 2024, p.188</x:v>
      </x:c>
      <x:c r="H14" s="199" t="str">
        <x:v>Rheinmetall Annual Report 2024, p.188</x:v>
      </x:c>
      <x:c r="I14" s="199" t="str">
        <x:v>Rheinmetall Annual Report 2025, p.199</x:v>
      </x:c>
      <x:c r="J14" s="199" t="str"/>
      <x:c r="K14" s="194" t="str">
        <x:v>Reported</x:v>
      </x:c>
      <x:c r="L14" s="194" t="str">
        <x:v>Sourced</x:v>
      </x:c>
      <x:c r="M14" s="194" t="str">
        <x:v>OK</x:v>
      </x:c>
    </x:row>
    <x:row r="15">
      <x:c r="A15" s="130"/>
      <x:c r="B15" s="194" t="str">
        <x:v>Other operating expenses</x:v>
      </x:c>
      <x:c r="C15" s="194" t="str">
        <x:v>other_opex</x:v>
      </x:c>
      <x:c r="D15" s="258" t="n">
        <x:v>-889</x:v>
      </x:c>
      <x:c r="E15" s="258" t="n">
        <x:v>-1120</x:v>
      </x:c>
      <x:c r="F15" s="258" t="n">
        <x:v>-1112</x:v>
      </x:c>
      <x:c r="G15" s="199" t="str">
        <x:v>Rheinmetall Annual Report 2024, p.188</x:v>
      </x:c>
      <x:c r="H15" s="199" t="str">
        <x:v>Rheinmetall Annual Report 2024, p.188</x:v>
      </x:c>
      <x:c r="I15" s="199" t="str">
        <x:v>Rheinmetall Annual Report 2025, p.199</x:v>
      </x:c>
      <x:c r="J15" s="199" t="str"/>
      <x:c r="K15" s="194" t="str">
        <x:v>Reported</x:v>
      </x:c>
      <x:c r="L15" s="194" t="str">
        <x:v>Sourced</x:v>
      </x:c>
      <x:c r="M15" s="194" t="str">
        <x:v>OK</x:v>
      </x:c>
    </x:row>
    <x:row r="16">
      <x:c r="A16" s="130"/>
      <x:c r="B16" s="194" t="str">
        <x:v>Result from investments accounted for using equity method</x:v>
      </x:c>
      <x:c r="C16" s="194" t="str">
        <x:v>eq_result</x:v>
      </x:c>
      <x:c r="D16" s="258" t="n">
        <x:v>57</x:v>
      </x:c>
      <x:c r="E16" s="258" t="n">
        <x:v>-37</x:v>
      </x:c>
      <x:c r="F16" s="258" t="n">
        <x:v>47</x:v>
      </x:c>
      <x:c r="G16" s="199" t="str">
        <x:v>Rheinmetall Annual Report 2024, p.188 / Note 22 p.216</x:v>
      </x:c>
      <x:c r="H16" s="199" t="str">
        <x:v>Rheinmetall Annual Report 2024, p.188 / Note 22 p.216</x:v>
      </x:c>
      <x:c r="I16" s="199" t="str">
        <x:v>Rheinmetall Annual Report 2025, p.199 / Note 22 p.229</x:v>
      </x:c>
      <x:c r="J16" s="199" t="str"/>
      <x:c r="K16" s="194" t="str">
        <x:v>Reported</x:v>
      </x:c>
      <x:c r="L16" s="194" t="str">
        <x:v>Sourced</x:v>
      </x:c>
      <x:c r="M16" s="194" t="str">
        <x:v>OK</x:v>
      </x:c>
    </x:row>
    <x:row r="17">
      <x:c r="A17" s="130"/>
      <x:c r="B17" s="194" t="str">
        <x:v>Other financial result</x:v>
      </x:c>
      <x:c r="C17" s="194" t="str">
        <x:v>other_fin_result</x:v>
      </x:c>
      <x:c r="D17" s="258" t="n">
        <x:v>-6</x:v>
      </x:c>
      <x:c r="E17" s="258" t="n">
        <x:v>-10</x:v>
      </x:c>
      <x:c r="F17" s="258" t="n">
        <x:v>-7</x:v>
      </x:c>
      <x:c r="G17" s="199" t="str">
        <x:v>Rheinmetall Annual Report 2024, p.188</x:v>
      </x:c>
      <x:c r="H17" s="199" t="str">
        <x:v>Rheinmetall Annual Report 2024, p.188</x:v>
      </x:c>
      <x:c r="I17" s="199" t="str">
        <x:v>Rheinmetall Annual Report 2025, p.199</x:v>
      </x:c>
      <x:c r="J17" s="199" t="str"/>
      <x:c r="K17" s="194" t="str">
        <x:v>Reported</x:v>
      </x:c>
      <x:c r="L17" s="194" t="str">
        <x:v>Sourced</x:v>
      </x:c>
      <x:c r="M17" s="194" t="str">
        <x:v>OK</x:v>
      </x:c>
    </x:row>
    <x:row r="18">
      <x:c r="A18" s="130"/>
      <x:c r="B18" s="194" t="str">
        <x:v>EBIT</x:v>
      </x:c>
      <x:c r="C18" s="194" t="str">
        <x:v>ebit</x:v>
      </x:c>
      <x:c r="D18" s="258" t="n">
        <x:v>897</x:v>
      </x:c>
      <x:c r="E18" s="258" t="n">
        <x:v>1345</x:v>
      </x:c>
      <x:c r="F18" s="258" t="n">
        <x:v>1684</x:v>
      </x:c>
      <x:c r="G18" s="199" t="str">
        <x:v>Rheinmetall Annual Report 2024, p.188</x:v>
      </x:c>
      <x:c r="H18" s="199" t="str">
        <x:v>Rheinmetall Annual Report 2024, p.188</x:v>
      </x:c>
      <x:c r="I18" s="199" t="str">
        <x:v>Rheinmetall Annual Report 2025, p.199</x:v>
      </x:c>
      <x:c r="J18" s="199" t="str"/>
      <x:c r="K18" s="194" t="str">
        <x:v>Reported</x:v>
      </x:c>
      <x:c r="L18" s="194" t="str">
        <x:v>Sourced</x:v>
      </x:c>
      <x:c r="M18" s="194" t="str">
        <x:v>OK</x:v>
      </x:c>
    </x:row>
    <x:row r="19">
      <x:c r="A19" s="130"/>
      <x:c r="B19" s="194" t="str">
        <x:v>Interest income</x:v>
      </x:c>
      <x:c r="C19" s="194" t="str">
        <x:v>interest_income</x:v>
      </x:c>
      <x:c r="D19" s="258" t="n">
        <x:v>29</x:v>
      </x:c>
      <x:c r="E19" s="258" t="n">
        <x:v>19</x:v>
      </x:c>
      <x:c r="F19" s="258" t="n">
        <x:v>4</x:v>
      </x:c>
      <x:c r="G19" s="199" t="str">
        <x:v>Rheinmetall Annual Report 2024, p.188</x:v>
      </x:c>
      <x:c r="H19" s="199" t="str">
        <x:v>Rheinmetall Annual Report 2024, p.188</x:v>
      </x:c>
      <x:c r="I19" s="199" t="str">
        <x:v>Rheinmetall Annual Report 2025, p.199</x:v>
      </x:c>
      <x:c r="J19" s="199" t="str"/>
      <x:c r="K19" s="194" t="str">
        <x:v>Reported</x:v>
      </x:c>
      <x:c r="L19" s="194" t="str">
        <x:v>Sourced</x:v>
      </x:c>
      <x:c r="M19" s="194" t="str">
        <x:v>OK</x:v>
      </x:c>
    </x:row>
    <x:row r="20">
      <x:c r="A20" s="130"/>
      <x:c r="B20" s="194" t="str">
        <x:v>Interest expense</x:v>
      </x:c>
      <x:c r="C20" s="194" t="str">
        <x:v>interest_expense</x:v>
      </x:c>
      <x:c r="D20" s="258" t="n">
        <x:v>-111</x:v>
      </x:c>
      <x:c r="E20" s="258" t="n">
        <x:v>-135</x:v>
      </x:c>
      <x:c r="F20" s="258" t="n">
        <x:v>-116</x:v>
      </x:c>
      <x:c r="G20" s="199" t="str">
        <x:v>Rheinmetall Annual Report 2024, p.188</x:v>
      </x:c>
      <x:c r="H20" s="199" t="str">
        <x:v>Rheinmetall Annual Report 2024, p.188</x:v>
      </x:c>
      <x:c r="I20" s="199" t="str">
        <x:v>Rheinmetall Annual Report 2025, p.199</x:v>
      </x:c>
      <x:c r="J20" s="199" t="str"/>
      <x:c r="K20" s="194" t="str">
        <x:v>Reported</x:v>
      </x:c>
      <x:c r="L20" s="194" t="str">
        <x:v>Sourced</x:v>
      </x:c>
      <x:c r="M20" s="194" t="str">
        <x:v>OK</x:v>
      </x:c>
    </x:row>
    <x:row r="21">
      <x:c r="A21" s="130"/>
      <x:c r="B21" s="194" t="str">
        <x:v>Earnings before taxes (continuing operations)</x:v>
      </x:c>
      <x:c r="C21" s="194" t="str">
        <x:v>ebt</x:v>
      </x:c>
      <x:c r="D21" s="258" t="n">
        <x:v>815</x:v>
      </x:c>
      <x:c r="E21" s="258" t="n">
        <x:v>1229</x:v>
      </x:c>
      <x:c r="F21" s="258" t="n">
        <x:v>1572</x:v>
      </x:c>
      <x:c r="G21" s="199" t="str">
        <x:v>Rheinmetall Annual Report 2024, p.188</x:v>
      </x:c>
      <x:c r="H21" s="199" t="str">
        <x:v>Rheinmetall Annual Report 2024, p.188</x:v>
      </x:c>
      <x:c r="I21" s="199" t="str">
        <x:v>Rheinmetall Annual Report 2025, p.199</x:v>
      </x:c>
      <x:c r="J21" s="199" t="str"/>
      <x:c r="K21" s="194" t="str">
        <x:v>Reported</x:v>
      </x:c>
      <x:c r="L21" s="194" t="str">
        <x:v>Sourced</x:v>
      </x:c>
      <x:c r="M21" s="194" t="str">
        <x:v>OK</x:v>
      </x:c>
    </x:row>
    <x:row r="22">
      <x:c r="A22" s="130"/>
      <x:c r="B22" s="194" t="str">
        <x:v>Income taxes (continuing operations)</x:v>
      </x:c>
      <x:c r="C22" s="194" t="str">
        <x:v>income_tax</x:v>
      </x:c>
      <x:c r="D22" s="258" t="n">
        <x:v>-185</x:v>
      </x:c>
      <x:c r="E22" s="258" t="n">
        <x:v>-333</x:v>
      </x:c>
      <x:c r="F22" s="258" t="n">
        <x:v>-396</x:v>
      </x:c>
      <x:c r="G22" s="199" t="str">
        <x:v>Rheinmetall Annual Report 2024, p.188</x:v>
      </x:c>
      <x:c r="H22" s="199" t="str">
        <x:v>Rheinmetall Annual Report 2024, p.188</x:v>
      </x:c>
      <x:c r="I22" s="199" t="str">
        <x:v>Rheinmetall Annual Report 2025, p.199</x:v>
      </x:c>
      <x:c r="J22" s="199" t="str"/>
      <x:c r="K22" s="194" t="str">
        <x:v>Reported</x:v>
      </x:c>
      <x:c r="L22" s="194" t="str">
        <x:v>Sourced</x:v>
      </x:c>
      <x:c r="M22" s="194" t="str">
        <x:v>OK</x:v>
      </x:c>
    </x:row>
    <x:row r="23">
      <x:c r="A23" s="130"/>
      <x:c r="B23" s="194" t="str">
        <x:v>Earnings from continuing operations</x:v>
      </x:c>
      <x:c r="C23" s="194" t="str">
        <x:v>cont_income</x:v>
      </x:c>
      <x:c r="D23" s="258" t="n">
        <x:v>630</x:v>
      </x:c>
      <x:c r="E23" s="258" t="n">
        <x:v>896</x:v>
      </x:c>
      <x:c r="F23" s="258" t="n">
        <x:v>1176</x:v>
      </x:c>
      <x:c r="G23" s="199" t="str">
        <x:v>Rheinmetall Annual Report 2024, p.188</x:v>
      </x:c>
      <x:c r="H23" s="199" t="str">
        <x:v>Rheinmetall Annual Report 2024, p.188</x:v>
      </x:c>
      <x:c r="I23" s="199" t="str">
        <x:v>Rheinmetall Annual Report 2025, p.199</x:v>
      </x:c>
      <x:c r="J23" s="199" t="str"/>
      <x:c r="K23" s="194" t="str">
        <x:v>Reported</x:v>
      </x:c>
      <x:c r="L23" s="194" t="str">
        <x:v>Sourced</x:v>
      </x:c>
      <x:c r="M23" s="194" t="str">
        <x:v>OK</x:v>
      </x:c>
    </x:row>
    <x:row r="24">
      <x:c r="A24" s="130"/>
      <x:c r="B24" s="194" t="str">
        <x:v>Earnings from discontinued operations</x:v>
      </x:c>
      <x:c r="C24" s="194" t="str">
        <x:v>disc_after_tax</x:v>
      </x:c>
      <x:c r="D24" s="258" t="n">
        <x:v>-44</x:v>
      </x:c>
      <x:c r="E24" s="258" t="n">
        <x:v>-87</x:v>
      </x:c>
      <x:c r="F24" s="258" t="n">
        <x:v>-341</x:v>
      </x:c>
      <x:c r="G24" s="199" t="str">
        <x:v>Rheinmetall Annual Report 2024, p.188 / Note 8 p.204</x:v>
      </x:c>
      <x:c r="H24" s="199" t="str">
        <x:v>Rheinmetall Annual Report 2024, p.188 / Note 8 p.204</x:v>
      </x:c>
      <x:c r="I24" s="199" t="str">
        <x:v>Rheinmetall Annual Report 2025, p.199 / Note 8 pp.215-216</x:v>
      </x:c>
      <x:c r="J24" s="199" t="str"/>
      <x:c r="K24" s="194" t="str">
        <x:v>Reported</x:v>
      </x:c>
      <x:c r="L24" s="194" t="str">
        <x:v>Sourced</x:v>
      </x:c>
      <x:c r="M24" s="194" t="str">
        <x:v>OK</x:v>
      </x:c>
    </x:row>
    <x:row r="25">
      <x:c r="A25" s="130"/>
      <x:c r="B25" s="194" t="str">
        <x:v>Earnings after taxes</x:v>
      </x:c>
      <x:c r="C25" s="194" t="str">
        <x:v>net_income</x:v>
      </x:c>
      <x:c r="D25" s="258" t="n">
        <x:v>586</x:v>
      </x:c>
      <x:c r="E25" s="258" t="n">
        <x:v>808</x:v>
      </x:c>
      <x:c r="F25" s="258" t="n">
        <x:v>835</x:v>
      </x:c>
      <x:c r="G25" s="199" t="str">
        <x:v>Rheinmetall Annual Report 2024, p.188</x:v>
      </x:c>
      <x:c r="H25" s="199" t="str">
        <x:v>Rheinmetall Annual Report 2024, p.188</x:v>
      </x:c>
      <x:c r="I25" s="199" t="str">
        <x:v>Rheinmetall Annual Report 2025, p.199</x:v>
      </x:c>
      <x:c r="J25" s="199" t="str"/>
      <x:c r="K25" s="194" t="str">
        <x:v>Reported</x:v>
      </x:c>
      <x:c r="L25" s="194" t="str">
        <x:v>Sourced</x:v>
      </x:c>
      <x:c r="M25" s="194" t="str">
        <x:v>OK</x:v>
      </x:c>
    </x:row>
    <x:row r="26">
      <x:c r="A26" s="130"/>
      <x:c r="B26" s="194" t="str">
        <x:v>Other comprehensive income after taxes</x:v>
      </x:c>
      <x:c r="C26" s="194" t="str">
        <x:v>oci_total</x:v>
      </x:c>
      <x:c r="D26" s="258" t="n">
        <x:v>11</x:v>
      </x:c>
      <x:c r="E26" s="258" t="n">
        <x:v>191</x:v>
      </x:c>
      <x:c r="F26" s="258" t="n">
        <x:v>-49</x:v>
      </x:c>
      <x:c r="G26" s="199" t="str">
        <x:v>Rheinmetall Annual Report 2024, p.188</x:v>
      </x:c>
      <x:c r="H26" s="199" t="str">
        <x:v>Rheinmetall Annual Report 2024, p.188</x:v>
      </x:c>
      <x:c r="I26" s="199" t="str">
        <x:v>Rheinmetall Annual Report 2025, p.199</x:v>
      </x:c>
      <x:c r="J26" s="199" t="str"/>
      <x:c r="K26" s="194" t="str">
        <x:v>Reported</x:v>
      </x:c>
      <x:c r="L26" s="194" t="str">
        <x:v>Sourced</x:v>
      </x:c>
      <x:c r="M26" s="194" t="str">
        <x:v>OK</x:v>
      </x:c>
    </x:row>
    <x:row r="27">
      <x:c r="A27" s="130"/>
      <x:c r="B27" s="194" t="str">
        <x:v>Total comprehensive income</x:v>
      </x:c>
      <x:c r="C27" s="194" t="str">
        <x:v>ci_total</x:v>
      </x:c>
      <x:c r="D27" s="258" t="n">
        <x:v>597</x:v>
      </x:c>
      <x:c r="E27" s="258" t="n">
        <x:v>999</x:v>
      </x:c>
      <x:c r="F27" s="258" t="n">
        <x:v>786</x:v>
      </x:c>
      <x:c r="G27" s="199" t="str">
        <x:v>Rheinmetall Annual Report 2024, p.188</x:v>
      </x:c>
      <x:c r="H27" s="199" t="str">
        <x:v>Rheinmetall Annual Report 2024, p.188</x:v>
      </x:c>
      <x:c r="I27" s="199" t="str">
        <x:v>Rheinmetall Annual Report 2025, p.199</x:v>
      </x:c>
      <x:c r="J27" s="199" t="str"/>
      <x:c r="K27" s="194" t="str">
        <x:v>Reported</x:v>
      </x:c>
      <x:c r="L27" s="194" t="str">
        <x:v>Sourced</x:v>
      </x:c>
      <x:c r="M27" s="194" t="str">
        <x:v>OK</x:v>
      </x:c>
    </x:row>
    <x:row r="28">
      <x:c r="A28" s="133" t="str">
        <x:v>x</x:v>
      </x:c>
      <x:c r="B28" s="197" t="str">
        <x:v>Balance sheet</x:v>
      </x:c>
      <x:c r="C28" s="197"/>
      <x:c r="D28" s="197"/>
      <x:c r="E28" s="197"/>
      <x:c r="F28" s="197"/>
      <x:c r="G28" s="197"/>
      <x:c r="H28" s="197"/>
      <x:c r="I28" s="197"/>
      <x:c r="J28" s="197"/>
      <x:c r="K28" s="197"/>
      <x:c r="L28" s="197"/>
      <x:c r="M28" s="197"/>
    </x:row>
    <x:row r="29">
      <x:c r="A29" s="130"/>
      <x:c r="B29" s="194" t="str">
        <x:v>Goodwill</x:v>
      </x:c>
      <x:c r="C29" s="194" t="str">
        <x:v>goodwill</x:v>
      </x:c>
      <x:c r="D29" s="258" t="n">
        <x:v>1125</x:v>
      </x:c>
      <x:c r="E29" s="258" t="n">
        <x:v>1426</x:v>
      </x:c>
      <x:c r="F29" s="258" t="n">
        <x:v>1354</x:v>
      </x:c>
      <x:c r="G29" s="199" t="str">
        <x:v>Rheinmetall Annual Report 2024, p.189</x:v>
      </x:c>
      <x:c r="H29" s="199" t="str">
        <x:v>Rheinmetall Annual Report 2024, p.189</x:v>
      </x:c>
      <x:c r="I29" s="199" t="str">
        <x:v>Rheinmetall Annual Report 2025, p.200</x:v>
      </x:c>
      <x:c r="J29" s="199" t="str"/>
      <x:c r="K29" s="194" t="str">
        <x:v>Balance sheet</x:v>
      </x:c>
      <x:c r="L29" s="194" t="str">
        <x:v>Sourced</x:v>
      </x:c>
      <x:c r="M29" s="194" t="str">
        <x:v>OK</x:v>
      </x:c>
    </x:row>
    <x:row r="30">
      <x:c r="A30" s="130"/>
      <x:c r="B30" s="194" t="str">
        <x:v>Other intangible assets</x:v>
      </x:c>
      <x:c r="C30" s="194" t="str">
        <x:v>intangibles</x:v>
      </x:c>
      <x:c r="D30" s="258" t="n">
        <x:v>952</x:v>
      </x:c>
      <x:c r="E30" s="258" t="n">
        <x:v>1376</x:v>
      </x:c>
      <x:c r="F30" s="258" t="n">
        <x:v>1244</x:v>
      </x:c>
      <x:c r="G30" s="199" t="str">
        <x:v>Rheinmetall Annual Report 2024, p.189</x:v>
      </x:c>
      <x:c r="H30" s="199" t="str">
        <x:v>Rheinmetall Annual Report 2024, p.189</x:v>
      </x:c>
      <x:c r="I30" s="199" t="str">
        <x:v>Rheinmetall Annual Report 2025, p.200</x:v>
      </x:c>
      <x:c r="J30" s="199" t="str"/>
      <x:c r="K30" s="194" t="str">
        <x:v>Balance sheet</x:v>
      </x:c>
      <x:c r="L30" s="194" t="str">
        <x:v>Sourced</x:v>
      </x:c>
      <x:c r="M30" s="194" t="str">
        <x:v>OK</x:v>
      </x:c>
    </x:row>
    <x:row r="31">
      <x:c r="A31" s="130"/>
      <x:c r="B31" s="194" t="str">
        <x:v>Right-of-use assets</x:v>
      </x:c>
      <x:c r="C31" s="194" t="str">
        <x:v>rou</x:v>
      </x:c>
      <x:c r="D31" s="258" t="n">
        <x:v>271</x:v>
      </x:c>
      <x:c r="E31" s="258" t="n">
        <x:v>334</x:v>
      </x:c>
      <x:c r="F31" s="258" t="n">
        <x:v>338</x:v>
      </x:c>
      <x:c r="G31" s="199" t="str">
        <x:v>Rheinmetall Annual Report 2024, p.189</x:v>
      </x:c>
      <x:c r="H31" s="199" t="str">
        <x:v>Rheinmetall Annual Report 2024, p.189</x:v>
      </x:c>
      <x:c r="I31" s="199" t="str">
        <x:v>Rheinmetall Annual Report 2025, p.200</x:v>
      </x:c>
      <x:c r="J31" s="199" t="str"/>
      <x:c r="K31" s="194" t="str">
        <x:v>Balance sheet</x:v>
      </x:c>
      <x:c r="L31" s="194" t="str">
        <x:v>Sourced</x:v>
      </x:c>
      <x:c r="M31" s="194" t="str">
        <x:v>OK</x:v>
      </x:c>
    </x:row>
    <x:row r="32">
      <x:c r="A32" s="130"/>
      <x:c r="B32" s="194" t="str">
        <x:v>Property, plant and equipment</x:v>
      </x:c>
      <x:c r="C32" s="194" t="str">
        <x:v>ppe</x:v>
      </x:c>
      <x:c r="D32" s="258" t="n">
        <x:v>1370</x:v>
      </x:c>
      <x:c r="E32" s="258" t="n">
        <x:v>1853</x:v>
      </x:c>
      <x:c r="F32" s="258" t="n">
        <x:v>1962</x:v>
      </x:c>
      <x:c r="G32" s="199" t="str">
        <x:v>Rheinmetall Annual Report 2024, p.189</x:v>
      </x:c>
      <x:c r="H32" s="199" t="str">
        <x:v>Rheinmetall Annual Report 2024, p.189</x:v>
      </x:c>
      <x:c r="I32" s="199" t="str">
        <x:v>Rheinmetall Annual Report 2025, p.200</x:v>
      </x:c>
      <x:c r="J32" s="199" t="str"/>
      <x:c r="K32" s="194" t="str">
        <x:v>Balance sheet</x:v>
      </x:c>
      <x:c r="L32" s="194" t="str">
        <x:v>Sourced</x:v>
      </x:c>
      <x:c r="M32" s="194" t="str">
        <x:v>OK</x:v>
      </x:c>
    </x:row>
    <x:row r="33">
      <x:c r="A33" s="130"/>
      <x:c r="B33" s="194" t="str">
        <x:v>Investment property</x:v>
      </x:c>
      <x:c r="C33" s="194" t="str">
        <x:v>inv_property</x:v>
      </x:c>
      <x:c r="D33" s="258" t="n">
        <x:v>22</x:v>
      </x:c>
      <x:c r="E33" s="258" t="n">
        <x:v>20</x:v>
      </x:c>
      <x:c r="F33" s="258" t="n">
        <x:v>2</x:v>
      </x:c>
      <x:c r="G33" s="199" t="str">
        <x:v>Rheinmetall Annual Report 2024, p.189</x:v>
      </x:c>
      <x:c r="H33" s="199" t="str">
        <x:v>Rheinmetall Annual Report 2024, p.189</x:v>
      </x:c>
      <x:c r="I33" s="199" t="str">
        <x:v>Rheinmetall Annual Report 2025, p.200</x:v>
      </x:c>
      <x:c r="J33" s="199" t="str"/>
      <x:c r="K33" s="194" t="str">
        <x:v>Balance sheet</x:v>
      </x:c>
      <x:c r="L33" s="194" t="str">
        <x:v>Sourced</x:v>
      </x:c>
      <x:c r="M33" s="194" t="str">
        <x:v>OK</x:v>
      </x:c>
    </x:row>
    <x:row r="34">
      <x:c r="A34" s="130"/>
      <x:c r="B34" s="194" t="str">
        <x:v>Investments accounted for using equity method</x:v>
      </x:c>
      <x:c r="C34" s="194" t="str">
        <x:v>eq_inv</x:v>
      </x:c>
      <x:c r="D34" s="258" t="n">
        <x:v>373</x:v>
      </x:c>
      <x:c r="E34" s="258" t="n">
        <x:v>346</x:v>
      </x:c>
      <x:c r="F34" s="258" t="n">
        <x:v>213</x:v>
      </x:c>
      <x:c r="G34" s="199" t="str">
        <x:v>Rheinmetall Annual Report 2024, p.189</x:v>
      </x:c>
      <x:c r="H34" s="199" t="str">
        <x:v>Rheinmetall Annual Report 2024, p.189</x:v>
      </x:c>
      <x:c r="I34" s="199" t="str">
        <x:v>Rheinmetall Annual Report 2025, p.200</x:v>
      </x:c>
      <x:c r="J34" s="199" t="str"/>
      <x:c r="K34" s="194" t="str">
        <x:v>Balance sheet</x:v>
      </x:c>
      <x:c r="L34" s="194" t="str">
        <x:v>Sourced</x:v>
      </x:c>
      <x:c r="M34" s="194" t="str">
        <x:v>OK</x:v>
      </x:c>
    </x:row>
    <x:row r="35">
      <x:c r="A35" s="130"/>
      <x:c r="B35" s="194" t="str">
        <x:v>Other non-current assets</x:v>
      </x:c>
      <x:c r="C35" s="194" t="str">
        <x:v>other_nca</x:v>
      </x:c>
      <x:c r="D35" s="258" t="n">
        <x:v>339</x:v>
      </x:c>
      <x:c r="E35" s="258" t="n">
        <x:v>585</x:v>
      </x:c>
      <x:c r="F35" s="258" t="n">
        <x:v>592</x:v>
      </x:c>
      <x:c r="G35" s="199" t="str">
        <x:v>Rheinmetall Annual Report 2024, p.189</x:v>
      </x:c>
      <x:c r="H35" s="199" t="str">
        <x:v>Rheinmetall Annual Report 2024, p.189</x:v>
      </x:c>
      <x:c r="I35" s="199" t="str">
        <x:v>Rheinmetall Annual Report 2025, p.200</x:v>
      </x:c>
      <x:c r="J35" s="199" t="str"/>
      <x:c r="K35" s="194" t="str">
        <x:v>Balance sheet</x:v>
      </x:c>
      <x:c r="L35" s="194" t="str">
        <x:v>Sourced</x:v>
      </x:c>
      <x:c r="M35" s="194" t="str">
        <x:v>OK</x:v>
      </x:c>
    </x:row>
    <x:row r="36">
      <x:c r="A36" s="130"/>
      <x:c r="B36" s="194" t="str">
        <x:v>Deferred tax assets</x:v>
      </x:c>
      <x:c r="C36" s="194" t="str">
        <x:v>dta</x:v>
      </x:c>
      <x:c r="D36" s="258" t="n">
        <x:v>164</x:v>
      </x:c>
      <x:c r="E36" s="258" t="n">
        <x:v>172</x:v>
      </x:c>
      <x:c r="F36" s="258" t="n">
        <x:v>165</x:v>
      </x:c>
      <x:c r="G36" s="199" t="str">
        <x:v>Rheinmetall Annual Report 2024, p.189</x:v>
      </x:c>
      <x:c r="H36" s="199" t="str">
        <x:v>Rheinmetall Annual Report 2024, p.189</x:v>
      </x:c>
      <x:c r="I36" s="199" t="str">
        <x:v>Rheinmetall Annual Report 2025, p.200</x:v>
      </x:c>
      <x:c r="J36" s="199" t="str"/>
      <x:c r="K36" s="194" t="str">
        <x:v>Balance sheet</x:v>
      </x:c>
      <x:c r="L36" s="194" t="str">
        <x:v>Sourced</x:v>
      </x:c>
      <x:c r="M36" s="194" t="str">
        <x:v>OK</x:v>
      </x:c>
    </x:row>
    <x:row r="37">
      <x:c r="A37" s="130"/>
      <x:c r="B37" s="194" t="str">
        <x:v>Inventories</x:v>
      </x:c>
      <x:c r="C37" s="194" t="str">
        <x:v>inventory</x:v>
      </x:c>
      <x:c r="D37" s="258" t="n">
        <x:v>3244</x:v>
      </x:c>
      <x:c r="E37" s="258" t="n">
        <x:v>3989</x:v>
      </x:c>
      <x:c r="F37" s="258" t="n">
        <x:v>4721</x:v>
      </x:c>
      <x:c r="G37" s="199" t="str">
        <x:v>Rheinmetall Annual Report 2024, p.189</x:v>
      </x:c>
      <x:c r="H37" s="199" t="str">
        <x:v>Rheinmetall Annual Report 2024, p.189</x:v>
      </x:c>
      <x:c r="I37" s="199" t="str">
        <x:v>Rheinmetall Annual Report 2025, p.200</x:v>
      </x:c>
      <x:c r="J37" s="199" t="str"/>
      <x:c r="K37" s="194" t="str">
        <x:v>Balance sheet</x:v>
      </x:c>
      <x:c r="L37" s="194" t="str">
        <x:v>Sourced</x:v>
      </x:c>
      <x:c r="M37" s="194" t="str">
        <x:v>OK</x:v>
      </x:c>
    </x:row>
    <x:row r="38">
      <x:c r="A38" s="130"/>
      <x:c r="B38" s="194" t="str">
        <x:v>Contract assets</x:v>
      </x:c>
      <x:c r="C38" s="194" t="str">
        <x:v>contract_assets</x:v>
      </x:c>
      <x:c r="D38" s="258" t="n">
        <x:v>516</x:v>
      </x:c>
      <x:c r="E38" s="258" t="n">
        <x:v>692</x:v>
      </x:c>
      <x:c r="F38" s="258" t="n">
        <x:v>957</x:v>
      </x:c>
      <x:c r="G38" s="199" t="str">
        <x:v>Rheinmetall Annual Report 2024, p.189</x:v>
      </x:c>
      <x:c r="H38" s="199" t="str">
        <x:v>Rheinmetall Annual Report 2024, p.189</x:v>
      </x:c>
      <x:c r="I38" s="199" t="str">
        <x:v>Rheinmetall Annual Report 2025, p.200</x:v>
      </x:c>
      <x:c r="J38" s="199" t="str"/>
      <x:c r="K38" s="194" t="str">
        <x:v>Balance sheet</x:v>
      </x:c>
      <x:c r="L38" s="194" t="str">
        <x:v>Sourced</x:v>
      </x:c>
      <x:c r="M38" s="194" t="str">
        <x:v>OK</x:v>
      </x:c>
    </x:row>
    <x:row r="39">
      <x:c r="A39" s="130"/>
      <x:c r="B39" s="194" t="str">
        <x:v>Trade receivables</x:v>
      </x:c>
      <x:c r="C39" s="194" t="str">
        <x:v>trade_rec</x:v>
      </x:c>
      <x:c r="D39" s="258" t="n">
        <x:v>2021</x:v>
      </x:c>
      <x:c r="E39" s="258" t="n">
        <x:v>1959</x:v>
      </x:c>
      <x:c r="F39" s="258" t="n">
        <x:v>1907</x:v>
      </x:c>
      <x:c r="G39" s="199" t="str">
        <x:v>Rheinmetall Annual Report 2024, p.189</x:v>
      </x:c>
      <x:c r="H39" s="199" t="str">
        <x:v>Rheinmetall Annual Report 2024, p.189</x:v>
      </x:c>
      <x:c r="I39" s="199" t="str">
        <x:v>Rheinmetall Annual Report 2025, p.200</x:v>
      </x:c>
      <x:c r="J39" s="199" t="str"/>
      <x:c r="K39" s="194" t="str">
        <x:v>Balance sheet</x:v>
      </x:c>
      <x:c r="L39" s="194" t="str">
        <x:v>Sourced</x:v>
      </x:c>
      <x:c r="M39" s="194" t="str">
        <x:v>OK</x:v>
      </x:c>
    </x:row>
    <x:row r="40">
      <x:c r="A40" s="130"/>
      <x:c r="B40" s="194" t="str">
        <x:v>Other current assets</x:v>
      </x:c>
      <x:c r="C40" s="194" t="str">
        <x:v>other_ca</x:v>
      </x:c>
      <x:c r="D40" s="258" t="n">
        <x:v>251</x:v>
      </x:c>
      <x:c r="E40" s="258" t="n">
        <x:v>350</x:v>
      </x:c>
      <x:c r="F40" s="258" t="n">
        <x:v>384</x:v>
      </x:c>
      <x:c r="G40" s="199" t="str">
        <x:v>Rheinmetall Annual Report 2024, p.189</x:v>
      </x:c>
      <x:c r="H40" s="199" t="str">
        <x:v>Rheinmetall Annual Report 2024, p.189</x:v>
      </x:c>
      <x:c r="I40" s="199" t="str">
        <x:v>Rheinmetall Annual Report 2025, p.200</x:v>
      </x:c>
      <x:c r="J40" s="199" t="str"/>
      <x:c r="K40" s="194" t="str">
        <x:v>Balance sheet</x:v>
      </x:c>
      <x:c r="L40" s="194" t="str">
        <x:v>Sourced</x:v>
      </x:c>
      <x:c r="M40" s="194" t="str">
        <x:v>OK</x:v>
      </x:c>
    </x:row>
    <x:row r="41">
      <x:c r="A41" s="130"/>
      <x:c r="B41" s="194" t="str">
        <x:v>Income tax receivables</x:v>
      </x:c>
      <x:c r="C41" s="194" t="str">
        <x:v>tax_rec</x:v>
      </x:c>
      <x:c r="D41" s="258" t="n">
        <x:v>13</x:v>
      </x:c>
      <x:c r="E41" s="258" t="n">
        <x:v>57</x:v>
      </x:c>
      <x:c r="F41" s="258" t="n">
        <x:v>11</x:v>
      </x:c>
      <x:c r="G41" s="199" t="str">
        <x:v>Rheinmetall Annual Report 2024, p.189</x:v>
      </x:c>
      <x:c r="H41" s="199" t="str">
        <x:v>Rheinmetall Annual Report 2024, p.189</x:v>
      </x:c>
      <x:c r="I41" s="199" t="str">
        <x:v>Rheinmetall Annual Report 2025, p.200</x:v>
      </x:c>
      <x:c r="J41" s="199" t="str"/>
      <x:c r="K41" s="194" t="str">
        <x:v>Balance sheet</x:v>
      </x:c>
      <x:c r="L41" s="194" t="str">
        <x:v>Sourced</x:v>
      </x:c>
      <x:c r="M41" s="194" t="str">
        <x:v>OK</x:v>
      </x:c>
    </x:row>
    <x:row r="42">
      <x:c r="A42" s="130"/>
      <x:c r="B42" s="194" t="str">
        <x:v>Cash and cash equivalents</x:v>
      </x:c>
      <x:c r="C42" s="194" t="str">
        <x:v>cash</x:v>
      </x:c>
      <x:c r="D42" s="258" t="n">
        <x:v>850</x:v>
      </x:c>
      <x:c r="E42" s="258" t="n">
        <x:v>1184</x:v>
      </x:c>
      <x:c r="F42" s="258" t="n">
        <x:v>1650</x:v>
      </x:c>
      <x:c r="G42" s="199" t="str">
        <x:v>Rheinmetall Annual Report 2024, p.189</x:v>
      </x:c>
      <x:c r="H42" s="199" t="str">
        <x:v>Rheinmetall Annual Report 2024, p.189</x:v>
      </x:c>
      <x:c r="I42" s="199" t="str">
        <x:v>Rheinmetall Annual Report 2025, p.200</x:v>
      </x:c>
      <x:c r="J42" s="199" t="str"/>
      <x:c r="K42" s="194" t="str">
        <x:v>Balance sheet</x:v>
      </x:c>
      <x:c r="L42" s="194" t="str">
        <x:v>Sourced</x:v>
      </x:c>
      <x:c r="M42" s="194" t="str">
        <x:v>OK</x:v>
      </x:c>
    </x:row>
    <x:row r="43">
      <x:c r="A43" s="130"/>
      <x:c r="B43" s="194" t="str">
        <x:v>Assets held for sale</x:v>
      </x:c>
      <x:c r="C43" s="194" t="str">
        <x:v>hfs_assets</x:v>
      </x:c>
      <x:c r="D43" s="258" t="n">
        <x:v>196</x:v>
      </x:c>
      <x:c r="E43" s="258" t="n">
        <x:v>0</x:v>
      </x:c>
      <x:c r="F43" s="258" t="n">
        <x:v>1270</x:v>
      </x:c>
      <x:c r="G43" s="199" t="str">
        <x:v>Rheinmetall Annual Report 2024, p.189 / Note 8 p.204</x:v>
      </x:c>
      <x:c r="H43" s="199" t="str">
        <x:v>Rheinmetall Annual Report 2024, p.189</x:v>
      </x:c>
      <x:c r="I43" s="199" t="str">
        <x:v>Rheinmetall Annual Report 2025, p.200 / Note 8 pp.215-216</x:v>
      </x:c>
      <x:c r="J43" s="199" t="str"/>
      <x:c r="K43" s="194" t="str">
        <x:v>Balance sheet</x:v>
      </x:c>
      <x:c r="L43" s="194" t="str">
        <x:v>Sourced</x:v>
      </x:c>
      <x:c r="M43" s="194" t="str">
        <x:v>OK</x:v>
      </x:c>
    </x:row>
    <x:row r="44">
      <x:c r="A44" s="130"/>
      <x:c r="B44" s="194" t="str">
        <x:v>Total assets</x:v>
      </x:c>
      <x:c r="C44" s="194" t="str">
        <x:v>total_assets</x:v>
      </x:c>
      <x:c r="D44" s="258" t="n">
        <x:v>11707</x:v>
      </x:c>
      <x:c r="E44" s="258" t="n">
        <x:v>14344</x:v>
      </x:c>
      <x:c r="F44" s="258" t="n">
        <x:v>16772</x:v>
      </x:c>
      <x:c r="G44" s="199" t="str">
        <x:v>Rheinmetall Annual Report 2024, p.189</x:v>
      </x:c>
      <x:c r="H44" s="199" t="str">
        <x:v>Rheinmetall Annual Report 2024, p.189</x:v>
      </x:c>
      <x:c r="I44" s="199" t="str">
        <x:v>Rheinmetall Annual Report 2025, p.200</x:v>
      </x:c>
      <x:c r="J44" s="199" t="str"/>
      <x:c r="K44" s="194" t="str">
        <x:v>Balance sheet</x:v>
      </x:c>
      <x:c r="L44" s="194" t="str">
        <x:v>Sourced</x:v>
      </x:c>
      <x:c r="M44" s="194" t="str">
        <x:v>OK</x:v>
      </x:c>
    </x:row>
    <x:row r="45">
      <x:c r="A45" s="130"/>
      <x:c r="B45" s="194" t="str">
        <x:v>Equity</x:v>
      </x:c>
      <x:c r="C45" s="194" t="str">
        <x:v>equity</x:v>
      </x:c>
      <x:c r="D45" s="258" t="n">
        <x:v>3643</x:v>
      </x:c>
      <x:c r="E45" s="258" t="n">
        <x:v>4465</x:v>
      </x:c>
      <x:c r="F45" s="258" t="n">
        <x:v>5614</x:v>
      </x:c>
      <x:c r="G45" s="199" t="str">
        <x:v>Rheinmetall Annual Report 2024, p.189</x:v>
      </x:c>
      <x:c r="H45" s="199" t="str">
        <x:v>Rheinmetall Annual Report 2024, p.189</x:v>
      </x:c>
      <x:c r="I45" s="199" t="str">
        <x:v>Rheinmetall Annual Report 2025, p.200</x:v>
      </x:c>
      <x:c r="J45" s="199" t="str"/>
      <x:c r="K45" s="194" t="str">
        <x:v>Balance sheet</x:v>
      </x:c>
      <x:c r="L45" s="194" t="str">
        <x:v>Sourced</x:v>
      </x:c>
      <x:c r="M45" s="194" t="str">
        <x:v>OK</x:v>
      </x:c>
    </x:row>
    <x:row r="46">
      <x:c r="A46" s="130"/>
      <x:c r="B46" s="194" t="str">
        <x:v>Provisions for pensions and similar obligations</x:v>
      </x:c>
      <x:c r="C46" s="194" t="str">
        <x:v>pension_prov</x:v>
      </x:c>
      <x:c r="D46" s="258" t="n">
        <x:v>562</x:v>
      </x:c>
      <x:c r="E46" s="258" t="n">
        <x:v>527</x:v>
      </x:c>
      <x:c r="F46" s="258" t="n">
        <x:v>278</x:v>
      </x:c>
      <x:c r="G46" s="199" t="str">
        <x:v>Rheinmetall Annual Report 2024, p.189</x:v>
      </x:c>
      <x:c r="H46" s="199" t="str">
        <x:v>Rheinmetall Annual Report 2024, p.189</x:v>
      </x:c>
      <x:c r="I46" s="199" t="str">
        <x:v>Rheinmetall Annual Report 2025, p.200</x:v>
      </x:c>
      <x:c r="J46" s="199" t="str"/>
      <x:c r="K46" s="194" t="str">
        <x:v>Balance sheet</x:v>
      </x:c>
      <x:c r="L46" s="194" t="str">
        <x:v>Sourced</x:v>
      </x:c>
      <x:c r="M46" s="194" t="str">
        <x:v>OK</x:v>
      </x:c>
    </x:row>
    <x:row r="47">
      <x:c r="A47" s="130"/>
      <x:c r="B47" s="194" t="str">
        <x:v>Other non-current provisions</x:v>
      </x:c>
      <x:c r="C47" s="194" t="str">
        <x:v>other_ncp</x:v>
      </x:c>
      <x:c r="D47" s="258" t="n">
        <x:v>230</x:v>
      </x:c>
      <x:c r="E47" s="258" t="n">
        <x:v>285</x:v>
      </x:c>
      <x:c r="F47" s="258" t="n">
        <x:v>280</x:v>
      </x:c>
      <x:c r="G47" s="199" t="str">
        <x:v>Rheinmetall Annual Report 2024, p.189</x:v>
      </x:c>
      <x:c r="H47" s="199" t="str">
        <x:v>Rheinmetall Annual Report 2024, p.189</x:v>
      </x:c>
      <x:c r="I47" s="199" t="str">
        <x:v>Rheinmetall Annual Report 2025, p.200</x:v>
      </x:c>
      <x:c r="J47" s="199" t="str"/>
      <x:c r="K47" s="194" t="str">
        <x:v>Balance sheet</x:v>
      </x:c>
      <x:c r="L47" s="194" t="str">
        <x:v>Sourced</x:v>
      </x:c>
      <x:c r="M47" s="194" t="str">
        <x:v>OK</x:v>
      </x:c>
    </x:row>
    <x:row r="48">
      <x:c r="A48" s="130"/>
      <x:c r="B48" s="194" t="str">
        <x:v>Non-current financial debts</x:v>
      </x:c>
      <x:c r="C48" s="194" t="str">
        <x:v>fin_debt_nc</x:v>
      </x:c>
      <x:c r="D48" s="258" t="n">
        <x:v>1503</x:v>
      </x:c>
      <x:c r="E48" s="258" t="n">
        <x:v>1871</x:v>
      </x:c>
      <x:c r="F48" s="258" t="n">
        <x:v>1155</x:v>
      </x:c>
      <x:c r="G48" s="199" t="str">
        <x:v>Rheinmetall Annual Report 2024, p.189</x:v>
      </x:c>
      <x:c r="H48" s="199" t="str">
        <x:v>Rheinmetall Annual Report 2024, p.189</x:v>
      </x:c>
      <x:c r="I48" s="199" t="str">
        <x:v>Rheinmetall Annual Report 2025, p.200</x:v>
      </x:c>
      <x:c r="J48" s="199" t="str"/>
      <x:c r="K48" s="194" t="str">
        <x:v>Balance sheet</x:v>
      </x:c>
      <x:c r="L48" s="194" t="str">
        <x:v>Sourced</x:v>
      </x:c>
      <x:c r="M48" s="194" t="str">
        <x:v>OK</x:v>
      </x:c>
    </x:row>
    <x:row r="49">
      <x:c r="A49" s="130"/>
      <x:c r="B49" s="194" t="str">
        <x:v>Other non-current liabilities</x:v>
      </x:c>
      <x:c r="C49" s="194" t="str">
        <x:v>other_ncl</x:v>
      </x:c>
      <x:c r="D49" s="258" t="n">
        <x:v>51</x:v>
      </x:c>
      <x:c r="E49" s="258" t="n">
        <x:v>58</x:v>
      </x:c>
      <x:c r="F49" s="258" t="n">
        <x:v>10</x:v>
      </x:c>
      <x:c r="G49" s="199" t="str">
        <x:v>Rheinmetall Annual Report 2024, p.189</x:v>
      </x:c>
      <x:c r="H49" s="199" t="str">
        <x:v>Rheinmetall Annual Report 2024, p.189</x:v>
      </x:c>
      <x:c r="I49" s="199" t="str">
        <x:v>Rheinmetall Annual Report 2025, p.200</x:v>
      </x:c>
      <x:c r="J49" s="199" t="str"/>
      <x:c r="K49" s="194" t="str">
        <x:v>Balance sheet</x:v>
      </x:c>
      <x:c r="L49" s="194" t="str">
        <x:v>Sourced</x:v>
      </x:c>
      <x:c r="M49" s="194" t="str">
        <x:v>OK</x:v>
      </x:c>
    </x:row>
    <x:row r="50">
      <x:c r="A50" s="130"/>
      <x:c r="B50" s="194" t="str">
        <x:v>Deferred tax liabilities</x:v>
      </x:c>
      <x:c r="C50" s="194" t="str">
        <x:v>dtl</x:v>
      </x:c>
      <x:c r="D50" s="258" t="n">
        <x:v>260</x:v>
      </x:c>
      <x:c r="E50" s="258" t="n">
        <x:v>356</x:v>
      </x:c>
      <x:c r="F50" s="258" t="n">
        <x:v>363</x:v>
      </x:c>
      <x:c r="G50" s="199" t="str">
        <x:v>Rheinmetall Annual Report 2024, p.189</x:v>
      </x:c>
      <x:c r="H50" s="199" t="str">
        <x:v>Rheinmetall Annual Report 2024, p.189</x:v>
      </x:c>
      <x:c r="I50" s="199" t="str">
        <x:v>Rheinmetall Annual Report 2025, p.200</x:v>
      </x:c>
      <x:c r="J50" s="199" t="str"/>
      <x:c r="K50" s="194" t="str">
        <x:v>Balance sheet</x:v>
      </x:c>
      <x:c r="L50" s="194" t="str">
        <x:v>Sourced</x:v>
      </x:c>
      <x:c r="M50" s="194" t="str">
        <x:v>OK</x:v>
      </x:c>
    </x:row>
    <x:row r="51">
      <x:c r="A51" s="130"/>
      <x:c r="B51" s="194" t="str">
        <x:v>Other current provisions</x:v>
      </x:c>
      <x:c r="C51" s="194" t="str">
        <x:v>other_cp</x:v>
      </x:c>
      <x:c r="D51" s="258" t="n">
        <x:v>690</x:v>
      </x:c>
      <x:c r="E51" s="258" t="n">
        <x:v>807</x:v>
      </x:c>
      <x:c r="F51" s="258" t="n">
        <x:v>891</x:v>
      </x:c>
      <x:c r="G51" s="199" t="str">
        <x:v>Rheinmetall Annual Report 2024, p.189</x:v>
      </x:c>
      <x:c r="H51" s="199" t="str">
        <x:v>Rheinmetall Annual Report 2024, p.189</x:v>
      </x:c>
      <x:c r="I51" s="199" t="str">
        <x:v>Rheinmetall Annual Report 2025, p.200</x:v>
      </x:c>
      <x:c r="J51" s="199" t="str"/>
      <x:c r="K51" s="194" t="str">
        <x:v>Balance sheet</x:v>
      </x:c>
      <x:c r="L51" s="194" t="str">
        <x:v>Sourced</x:v>
      </x:c>
      <x:c r="M51" s="194" t="str">
        <x:v>OK</x:v>
      </x:c>
    </x:row>
    <x:row r="52">
      <x:c r="A52" s="130"/>
      <x:c r="B52" s="194" t="str">
        <x:v>Current financial debts</x:v>
      </x:c>
      <x:c r="C52" s="194" t="str">
        <x:v>fin_debt_c</x:v>
      </x:c>
      <x:c r="D52" s="258" t="n">
        <x:v>410</x:v>
      </x:c>
      <x:c r="E52" s="258" t="n">
        <x:v>552</x:v>
      </x:c>
      <x:c r="F52" s="258" t="n">
        <x:v>126</x:v>
      </x:c>
      <x:c r="G52" s="199" t="str">
        <x:v>Rheinmetall Annual Report 2024, p.189</x:v>
      </x:c>
      <x:c r="H52" s="199" t="str">
        <x:v>Rheinmetall Annual Report 2024, p.189</x:v>
      </x:c>
      <x:c r="I52" s="199" t="str">
        <x:v>Rheinmetall Annual Report 2025, p.200</x:v>
      </x:c>
      <x:c r="J52" s="199" t="str"/>
      <x:c r="K52" s="194" t="str">
        <x:v>Balance sheet</x:v>
      </x:c>
      <x:c r="L52" s="194" t="str">
        <x:v>Sourced</x:v>
      </x:c>
      <x:c r="M52" s="194" t="str">
        <x:v>OK</x:v>
      </x:c>
    </x:row>
    <x:row r="53">
      <x:c r="A53" s="130"/>
      <x:c r="B53" s="194" t="str">
        <x:v>Contract liabilities</x:v>
      </x:c>
      <x:c r="C53" s="194" t="str">
        <x:v>contract_liab</x:v>
      </x:c>
      <x:c r="D53" s="258" t="n">
        <x:v>2594</x:v>
      </x:c>
      <x:c r="E53" s="258" t="n">
        <x:v>3866</x:v>
      </x:c>
      <x:c r="F53" s="258" t="n">
        <x:v>5642</x:v>
      </x:c>
      <x:c r="G53" s="199" t="str">
        <x:v>Rheinmetall Annual Report 2024, p.189</x:v>
      </x:c>
      <x:c r="H53" s="199" t="str">
        <x:v>Rheinmetall Annual Report 2024, p.189</x:v>
      </x:c>
      <x:c r="I53" s="199" t="str">
        <x:v>Rheinmetall Annual Report 2025, p.200</x:v>
      </x:c>
      <x:c r="J53" s="199" t="str"/>
      <x:c r="K53" s="194" t="str">
        <x:v>Balance sheet</x:v>
      </x:c>
      <x:c r="L53" s="194" t="str">
        <x:v>Sourced</x:v>
      </x:c>
      <x:c r="M53" s="194" t="str">
        <x:v>OK</x:v>
      </x:c>
    </x:row>
    <x:row r="54">
      <x:c r="A54" s="130"/>
      <x:c r="B54" s="194" t="str">
        <x:v>Trade liabilities</x:v>
      </x:c>
      <x:c r="C54" s="194" t="str">
        <x:v>trade_liab</x:v>
      </x:c>
      <x:c r="D54" s="258" t="n">
        <x:v>1222</x:v>
      </x:c>
      <x:c r="E54" s="258" t="n">
        <x:v>1151</x:v>
      </x:c>
      <x:c r="F54" s="258" t="n">
        <x:v>1186</x:v>
      </x:c>
      <x:c r="G54" s="199" t="str">
        <x:v>Rheinmetall Annual Report 2024, p.189</x:v>
      </x:c>
      <x:c r="H54" s="199" t="str">
        <x:v>Rheinmetall Annual Report 2024, p.189</x:v>
      </x:c>
      <x:c r="I54" s="199" t="str">
        <x:v>Rheinmetall Annual Report 2025, p.200</x:v>
      </x:c>
      <x:c r="J54" s="199" t="str"/>
      <x:c r="K54" s="194" t="str">
        <x:v>Balance sheet</x:v>
      </x:c>
      <x:c r="L54" s="194" t="str">
        <x:v>Sourced</x:v>
      </x:c>
      <x:c r="M54" s="194" t="str">
        <x:v>OK</x:v>
      </x:c>
    </x:row>
    <x:row r="55">
      <x:c r="A55" s="130"/>
      <x:c r="B55" s="194" t="str">
        <x:v>Other current liabilities</x:v>
      </x:c>
      <x:c r="C55" s="194" t="str">
        <x:v>other_cl</x:v>
      </x:c>
      <x:c r="D55" s="258" t="n">
        <x:v>274</x:v>
      </x:c>
      <x:c r="E55" s="258" t="n">
        <x:v>288</x:v>
      </x:c>
      <x:c r="F55" s="258" t="n">
        <x:v>318</x:v>
      </x:c>
      <x:c r="G55" s="199" t="str">
        <x:v>Rheinmetall Annual Report 2024, p.189</x:v>
      </x:c>
      <x:c r="H55" s="199" t="str">
        <x:v>Rheinmetall Annual Report 2024, p.189</x:v>
      </x:c>
      <x:c r="I55" s="199" t="str">
        <x:v>Rheinmetall Annual Report 2025, p.200</x:v>
      </x:c>
      <x:c r="J55" s="199" t="str"/>
      <x:c r="K55" s="194" t="str">
        <x:v>Balance sheet</x:v>
      </x:c>
      <x:c r="L55" s="194" t="str">
        <x:v>Sourced</x:v>
      </x:c>
      <x:c r="M55" s="194" t="str">
        <x:v>OK</x:v>
      </x:c>
    </x:row>
    <x:row r="56">
      <x:c r="A56" s="130"/>
      <x:c r="B56" s="194" t="str">
        <x:v>Income tax liabilities</x:v>
      </x:c>
      <x:c r="C56" s="194" t="str">
        <x:v>tax_liab</x:v>
      </x:c>
      <x:c r="D56" s="258" t="n">
        <x:v>108</x:v>
      </x:c>
      <x:c r="E56" s="258" t="n">
        <x:v>118</x:v>
      </x:c>
      <x:c r="F56" s="258" t="n">
        <x:v>200</x:v>
      </x:c>
      <x:c r="G56" s="199" t="str">
        <x:v>Rheinmetall Annual Report 2024, p.189</x:v>
      </x:c>
      <x:c r="H56" s="199" t="str">
        <x:v>Rheinmetall Annual Report 2024, p.189</x:v>
      </x:c>
      <x:c r="I56" s="199" t="str">
        <x:v>Rheinmetall Annual Report 2025, p.200</x:v>
      </x:c>
      <x:c r="J56" s="199" t="str"/>
      <x:c r="K56" s="194" t="str">
        <x:v>Balance sheet</x:v>
      </x:c>
      <x:c r="L56" s="194" t="str">
        <x:v>Sourced</x:v>
      </x:c>
      <x:c r="M56" s="194" t="str">
        <x:v>OK</x:v>
      </x:c>
    </x:row>
    <x:row r="57">
      <x:c r="A57" s="130"/>
      <x:c r="B57" s="194" t="str">
        <x:v>Liabilities associated with assets held for sale</x:v>
      </x:c>
      <x:c r="C57" s="194" t="str">
        <x:v>hfs_liab</x:v>
      </x:c>
      <x:c r="D57" s="258" t="n">
        <x:v>161</x:v>
      </x:c>
      <x:c r="E57" s="258" t="n">
        <x:v>0</x:v>
      </x:c>
      <x:c r="F57" s="258" t="n">
        <x:v>708</x:v>
      </x:c>
      <x:c r="G57" s="199" t="str">
        <x:v>Rheinmetall Annual Report 2024, p.189 / Note 8 p.204</x:v>
      </x:c>
      <x:c r="H57" s="199" t="str">
        <x:v>Rheinmetall Annual Report 2024, p.189</x:v>
      </x:c>
      <x:c r="I57" s="199" t="str">
        <x:v>Rheinmetall Annual Report 2025, p.200 / Note 8 pp.215-216</x:v>
      </x:c>
      <x:c r="J57" s="199" t="str"/>
      <x:c r="K57" s="194" t="str">
        <x:v>Balance sheet</x:v>
      </x:c>
      <x:c r="L57" s="194" t="str">
        <x:v>Sourced</x:v>
      </x:c>
      <x:c r="M57" s="194" t="str">
        <x:v>OK</x:v>
      </x:c>
    </x:row>
    <x:row r="58">
      <x:c r="A58" s="133" t="str">
        <x:v>x</x:v>
      </x:c>
      <x:c r="B58" s="197" t="str">
        <x:v>BS note split</x:v>
      </x:c>
      <x:c r="C58" s="197"/>
      <x:c r="D58" s="197"/>
      <x:c r="E58" s="197"/>
      <x:c r="F58" s="197"/>
      <x:c r="G58" s="197"/>
      <x:c r="H58" s="197"/>
      <x:c r="I58" s="197"/>
      <x:c r="J58" s="197"/>
      <x:c r="K58" s="197"/>
      <x:c r="L58" s="197"/>
      <x:c r="M58" s="197"/>
    </x:row>
    <x:row r="59">
      <x:c r="A59" s="130"/>
      <x:c r="B59" s="194" t="str">
        <x:v>Other assets - financial assets (total)</x:v>
      </x:c>
      <x:c r="C59" s="194" t="str">
        <x:v>fin_assets_total</x:v>
      </x:c>
      <x:c r="D59" s="258" t="n">
        <x:v>147</x:v>
      </x:c>
      <x:c r="E59" s="258" t="n">
        <x:v>203</x:v>
      </x:c>
      <x:c r="F59" s="258" t="n">
        <x:v>166</x:v>
      </x:c>
      <x:c r="G59" s="199" t="str">
        <x:v>Rheinmetall Annual Report 2024, Note 24 p.217</x:v>
      </x:c>
      <x:c r="H59" s="199" t="str">
        <x:v>Rheinmetall Annual Report 2024, Note 24 p.217</x:v>
      </x:c>
      <x:c r="I59" s="199" t="str">
        <x:v>Rheinmetall Annual Report 2025, Note 24 p.230</x:v>
      </x:c>
      <x:c r="J59" s="199" t="str">
        <x:v>Totals used in NFP; components may have rounding differences.</x:v>
      </x:c>
      <x:c r="K59" s="194" t="str">
        <x:v>BS note split</x:v>
      </x:c>
      <x:c r="L59" s="194" t="str">
        <x:v>Sourced</x:v>
      </x:c>
      <x:c r="M59" s="194" t="str">
        <x:v>OK</x:v>
      </x:c>
    </x:row>
    <x:row r="60">
      <x:c r="A60" s="130"/>
      <x:c r="B60" s="194" t="str">
        <x:v>Other assets - financial assets (current)</x:v>
      </x:c>
      <x:c r="C60" s="194" t="str">
        <x:v>fin_assets_current</x:v>
      </x:c>
      <x:c r="D60" s="258" t="n">
        <x:v>95</x:v>
      </x:c>
      <x:c r="E60" s="258" t="n">
        <x:v>113</x:v>
      </x:c>
      <x:c r="F60" s="258" t="n">
        <x:v>89</x:v>
      </x:c>
      <x:c r="G60" s="199" t="str">
        <x:v>Rheinmetall Annual Report 2024, Note 24 p.217</x:v>
      </x:c>
      <x:c r="H60" s="199" t="str">
        <x:v>Rheinmetall Annual Report 2024, Note 24 p.217</x:v>
      </x:c>
      <x:c r="I60" s="199" t="str">
        <x:v>Rheinmetall Annual Report 2025, Note 24 p.230</x:v>
      </x:c>
      <x:c r="J60" s="199" t="str"/>
      <x:c r="K60" s="194" t="str">
        <x:v>BS note split</x:v>
      </x:c>
      <x:c r="L60" s="194" t="str">
        <x:v>Sourced</x:v>
      </x:c>
      <x:c r="M60" s="194" t="str">
        <x:v>OK</x:v>
      </x:c>
    </x:row>
    <x:row r="61">
      <x:c r="A61" s="130"/>
      <x:c r="B61" s="194" t="str">
        <x:v>Other assets - financial assets (non-current)</x:v>
      </x:c>
      <x:c r="C61" s="194" t="str">
        <x:v>fin_assets_noncurrent</x:v>
      </x:c>
      <x:c r="D61" s="258" t="n">
        <x:v>53</x:v>
      </x:c>
      <x:c r="E61" s="258" t="n">
        <x:v>90</x:v>
      </x:c>
      <x:c r="F61" s="258" t="n">
        <x:v>77</x:v>
      </x:c>
      <x:c r="G61" s="199" t="str">
        <x:v>Rheinmetall Annual Report 2024, Note 24 p.217</x:v>
      </x:c>
      <x:c r="H61" s="199" t="str">
        <x:v>Rheinmetall Annual Report 2024, Note 24 p.217</x:v>
      </x:c>
      <x:c r="I61" s="199" t="str">
        <x:v>Rheinmetall Annual Report 2025, Note 24 p.230</x:v>
      </x:c>
      <x:c r="J61" s="199" t="str"/>
      <x:c r="K61" s="194" t="str">
        <x:v>BS note split</x:v>
      </x:c>
      <x:c r="L61" s="194" t="str">
        <x:v>Sourced</x:v>
      </x:c>
      <x:c r="M61" s="194" t="str">
        <x:v>OK</x:v>
      </x:c>
    </x:row>
    <x:row r="62">
      <x:c r="A62" s="130"/>
      <x:c r="B62" s="194" t="str">
        <x:v>Other assets - non-financial assets (current)</x:v>
      </x:c>
      <x:c r="C62" s="194" t="str">
        <x:v>nonfin_assets_current</x:v>
      </x:c>
      <x:c r="D62" s="258" t="n">
        <x:v>157</x:v>
      </x:c>
      <x:c r="E62" s="258" t="n">
        <x:v>237</x:v>
      </x:c>
      <x:c r="F62" s="258" t="n">
        <x:v>295</x:v>
      </x:c>
      <x:c r="G62" s="199" t="str">
        <x:v>Rheinmetall Annual Report 2024, Note 24 p.217</x:v>
      </x:c>
      <x:c r="H62" s="199" t="str">
        <x:v>Rheinmetall Annual Report 2024, Note 24 p.217</x:v>
      </x:c>
      <x:c r="I62" s="199" t="str">
        <x:v>Rheinmetall Annual Report 2025, Note 24 p.230</x:v>
      </x:c>
      <x:c r="J62" s="199" t="str"/>
      <x:c r="K62" s="194" t="str">
        <x:v>BS note split</x:v>
      </x:c>
      <x:c r="L62" s="194" t="str">
        <x:v>Sourced</x:v>
      </x:c>
      <x:c r="M62" s="194" t="str">
        <x:v>OK</x:v>
      </x:c>
    </x:row>
    <x:row r="63">
      <x:c r="A63" s="130"/>
      <x:c r="B63" s="194" t="str">
        <x:v>Other assets - non-financial assets (non-current)</x:v>
      </x:c>
      <x:c r="C63" s="194" t="str">
        <x:v>nonfin_assets_noncurrent</x:v>
      </x:c>
      <x:c r="D63" s="258" t="n">
        <x:v>286</x:v>
      </x:c>
      <x:c r="E63" s="258" t="n">
        <x:v>495</x:v>
      </x:c>
      <x:c r="F63" s="258" t="n">
        <x:v>515</x:v>
      </x:c>
      <x:c r="G63" s="199" t="str">
        <x:v>Rheinmetall Annual Report 2024, Note 24 p.217</x:v>
      </x:c>
      <x:c r="H63" s="199" t="str">
        <x:v>Rheinmetall Annual Report 2024, Note 24 p.217</x:v>
      </x:c>
      <x:c r="I63" s="199" t="str">
        <x:v>Rheinmetall Annual Report 2025, Note 24 p.230</x:v>
      </x:c>
      <x:c r="J63" s="199" t="str"/>
      <x:c r="K63" s="194" t="str">
        <x:v>BS note split</x:v>
      </x:c>
      <x:c r="L63" s="194" t="str">
        <x:v>Sourced</x:v>
      </x:c>
      <x:c r="M63" s="194" t="str">
        <x:v>OK</x:v>
      </x:c>
    </x:row>
    <x:row r="64">
      <x:c r="A64" s="130"/>
      <x:c r="B64" s="194" t="str">
        <x:v>Other liabilities - financial liabilities</x:v>
      </x:c>
      <x:c r="C64" s="194" t="str">
        <x:v>other_fin_liab</x:v>
      </x:c>
      <x:c r="D64" s="258" t="n">
        <x:v>122</x:v>
      </x:c>
      <x:c r="E64" s="258" t="n">
        <x:v>99</x:v>
      </x:c>
      <x:c r="F64" s="258" t="n">
        <x:v>43</x:v>
      </x:c>
      <x:c r="G64" s="199" t="str">
        <x:v>Rheinmetall Annual Report 2024, Note 30 p.230</x:v>
      </x:c>
      <x:c r="H64" s="199" t="str">
        <x:v>Rheinmetall Annual Report 2024, Note 30 p.230</x:v>
      </x:c>
      <x:c r="I64" s="199" t="str">
        <x:v>Rheinmetall Annual Report 2025, Note 30 p.243</x:v>
      </x:c>
      <x:c r="J64" s="199" t="str">
        <x:v>Added to financial debts for NFP.</x:v>
      </x:c>
      <x:c r="K64" s="194" t="str">
        <x:v>BS note split</x:v>
      </x:c>
      <x:c r="L64" s="194" t="str">
        <x:v>Sourced</x:v>
      </x:c>
      <x:c r="M64" s="194" t="str">
        <x:v>OK</x:v>
      </x:c>
    </x:row>
    <x:row r="65">
      <x:c r="A65" s="130"/>
      <x:c r="B65" s="194" t="str">
        <x:v>Other liabilities - non-financial liabilities</x:v>
      </x:c>
      <x:c r="C65" s="194" t="str">
        <x:v>other_nonfin_liab</x:v>
      </x:c>
      <x:c r="D65" s="258" t="n">
        <x:v>203</x:v>
      </x:c>
      <x:c r="E65" s="258" t="n">
        <x:v>246</x:v>
      </x:c>
      <x:c r="F65" s="258" t="n">
        <x:v>285</x:v>
      </x:c>
      <x:c r="G65" s="199" t="str">
        <x:v>Rheinmetall Annual Report 2024, Note 30 p.230</x:v>
      </x:c>
      <x:c r="H65" s="199" t="str">
        <x:v>Rheinmetall Annual Report 2024, Note 30 p.230</x:v>
      </x:c>
      <x:c r="I65" s="199" t="str">
        <x:v>Rheinmetall Annual Report 2025, Note 30 p.243</x:v>
      </x:c>
      <x:c r="J65" s="199" t="str">
        <x:v>Classified as operating liabilities.</x:v>
      </x:c>
      <x:c r="K65" s="194" t="str">
        <x:v>BS note split</x:v>
      </x:c>
      <x:c r="L65" s="194" t="str">
        <x:v>Sourced</x:v>
      </x:c>
      <x:c r="M65" s="194" t="str">
        <x:v>OK</x:v>
      </x:c>
    </x:row>
    <x:row r="66">
      <x:c r="A66" s="130"/>
      <x:c r="B66" s="200" t="str">
        <x:v>Provisions for structural measures</x:v>
      </x:c>
      <x:c r="C66" s="200" t="str">
        <x:v>structural_prov</x:v>
      </x:c>
      <x:c r="D66" s="259" t="n">
        <x:v>46</x:v>
      </x:c>
      <x:c r="E66" s="259" t="n">
        <x:v>52</x:v>
      </x:c>
      <x:c r="F66" s="259" t="n">
        <x:v>25</x:v>
      </x:c>
      <x:c r="G66" s="202" t="str">
        <x:v>Rheinmetall Annual Report 2024, Note 28 p.226</x:v>
      </x:c>
      <x:c r="H66" s="202" t="str">
        <x:v>Rheinmetall Annual Report 2024, Note 28 p.226</x:v>
      </x:c>
      <x:c r="I66" s="202" t="str">
        <x:v>Rheinmetall Annual Report 2025, Note 28 p.240</x:v>
      </x:c>
      <x:c r="J66" s="202" t="str">
        <x:v>Provisional: excluded from recurring operating liabilities; note mixes termination indemnities and partial retirement.</x:v>
      </x:c>
      <x:c r="K66" s="200" t="str">
        <x:v>BS note split</x:v>
      </x:c>
      <x:c r="L66" s="200" t="str">
        <x:v>Analyst classification - review</x:v>
      </x:c>
      <x:c r="M66" s="200" t="str">
        <x:v>OK</x:v>
      </x:c>
    </x:row>
    <x:row r="67">
      <x:c r="A67" s="133" t="str">
        <x:v>x</x:v>
      </x:c>
      <x:c r="B67" s="197" t="str">
        <x:v>Cost detail</x:v>
      </x:c>
      <x:c r="C67" s="197"/>
      <x:c r="D67" s="197"/>
      <x:c r="E67" s="197"/>
      <x:c r="F67" s="197"/>
      <x:c r="G67" s="197"/>
      <x:c r="H67" s="197"/>
      <x:c r="I67" s="197"/>
      <x:c r="J67" s="197"/>
      <x:c r="K67" s="197"/>
      <x:c r="L67" s="197"/>
      <x:c r="M67" s="197"/>
    </x:row>
    <x:row r="68">
      <x:c r="A68" s="130"/>
      <x:c r="B68" s="194" t="str">
        <x:v>Raw materials, supplies and merchandise purchased</x:v>
      </x:c>
      <x:c r="C68" s="194" t="str">
        <x:v>raw_materials</x:v>
      </x:c>
      <x:c r="D68" s="258" t="n">
        <x:v>-2883</x:v>
      </x:c>
      <x:c r="E68" s="258" t="n">
        <x:v>-3568</x:v>
      </x:c>
      <x:c r="F68" s="258" t="n">
        <x:v>-3784</x:v>
      </x:c>
      <x:c r="G68" s="199" t="str">
        <x:v>Rheinmetall Annual Report 2024, Note 12 p.207</x:v>
      </x:c>
      <x:c r="H68" s="199" t="str">
        <x:v>Rheinmetall Annual Report 2024, Note 12 p.207</x:v>
      </x:c>
      <x:c r="I68" s="199" t="str">
        <x:v>Rheinmetall Annual Report 2025, Note 12 p.219</x:v>
      </x:c>
      <x:c r="J68" s="199" t="str"/>
      <x:c r="K68" s="194" t="str">
        <x:v>Cost detail</x:v>
      </x:c>
      <x:c r="L68" s="194" t="str">
        <x:v>Sourced</x:v>
      </x:c>
      <x:c r="M68" s="194" t="str">
        <x:v>OK</x:v>
      </x:c>
    </x:row>
    <x:row r="69">
      <x:c r="A69" s="130"/>
      <x:c r="B69" s="194" t="str">
        <x:v>Services purchased</x:v>
      </x:c>
      <x:c r="C69" s="194" t="str">
        <x:v>services_purchased</x:v>
      </x:c>
      <x:c r="D69" s="258" t="n">
        <x:v>-1053</x:v>
      </x:c>
      <x:c r="E69" s="258" t="n">
        <x:v>-1291</x:v>
      </x:c>
      <x:c r="F69" s="258" t="n">
        <x:v>-1469</x:v>
      </x:c>
      <x:c r="G69" s="199" t="str">
        <x:v>Rheinmetall Annual Report 2024, Note 12 p.207</x:v>
      </x:c>
      <x:c r="H69" s="199" t="str">
        <x:v>Rheinmetall Annual Report 2024, Note 12 p.207</x:v>
      </x:c>
      <x:c r="I69" s="199" t="str">
        <x:v>Rheinmetall Annual Report 2025, Note 12 p.219</x:v>
      </x:c>
      <x:c r="J69" s="199" t="str"/>
      <x:c r="K69" s="194" t="str">
        <x:v>Cost detail</x:v>
      </x:c>
      <x:c r="L69" s="194" t="str">
        <x:v>Sourced</x:v>
      </x:c>
      <x:c r="M69" s="194" t="str">
        <x:v>OK</x:v>
      </x:c>
    </x:row>
    <x:row r="70">
      <x:c r="A70" s="130"/>
      <x:c r="B70" s="194" t="str">
        <x:v>Wages and salaries</x:v>
      </x:c>
      <x:c r="C70" s="194" t="str">
        <x:v>wages</x:v>
      </x:c>
      <x:c r="D70" s="258" t="n">
        <x:v>-1711</x:v>
      </x:c>
      <x:c r="E70" s="258" t="n">
        <x:v>-1954</x:v>
      </x:c>
      <x:c r="F70" s="258" t="n">
        <x:v>-1907</x:v>
      </x:c>
      <x:c r="G70" s="199" t="str">
        <x:v>Rheinmetall Annual Report 2024, Note 13 p.207</x:v>
      </x:c>
      <x:c r="H70" s="199" t="str">
        <x:v>Rheinmetall Annual Report 2024, Note 13 p.207</x:v>
      </x:c>
      <x:c r="I70" s="199" t="str">
        <x:v>Rheinmetall Annual Report 2025, Note 13 p.219</x:v>
      </x:c>
      <x:c r="J70" s="199" t="str"/>
      <x:c r="K70" s="194" t="str">
        <x:v>Cost detail</x:v>
      </x:c>
      <x:c r="L70" s="194" t="str">
        <x:v>Sourced</x:v>
      </x:c>
      <x:c r="M70" s="194" t="str">
        <x:v>OK</x:v>
      </x:c>
    </x:row>
    <x:row r="71">
      <x:c r="A71" s="130"/>
      <x:c r="B71" s="194" t="str">
        <x:v>Social security and related employee benefits</x:v>
      </x:c>
      <x:c r="C71" s="194" t="str">
        <x:v>social</x:v>
      </x:c>
      <x:c r="D71" s="258" t="n">
        <x:v>-205</x:v>
      </x:c>
      <x:c r="E71" s="258" t="n">
        <x:v>-254</x:v>
      </x:c>
      <x:c r="F71" s="258" t="n">
        <x:v>-264</x:v>
      </x:c>
      <x:c r="G71" s="199" t="str">
        <x:v>Rheinmetall Annual Report 2024, Note 13 p.207</x:v>
      </x:c>
      <x:c r="H71" s="199" t="str">
        <x:v>Rheinmetall Annual Report 2024, Note 13 p.207</x:v>
      </x:c>
      <x:c r="I71" s="199" t="str">
        <x:v>Rheinmetall Annual Report 2025, Note 13 p.219</x:v>
      </x:c>
      <x:c r="J71" s="199" t="str"/>
      <x:c r="K71" s="194" t="str">
        <x:v>Cost detail</x:v>
      </x:c>
      <x:c r="L71" s="194" t="str">
        <x:v>Sourced</x:v>
      </x:c>
      <x:c r="M71" s="194" t="str">
        <x:v>OK</x:v>
      </x:c>
    </x:row>
    <x:row r="72">
      <x:c r="A72" s="130"/>
      <x:c r="B72" s="194" t="str">
        <x:v>Pension expenses</x:v>
      </x:c>
      <x:c r="C72" s="194" t="str">
        <x:v>pension_exp</x:v>
      </x:c>
      <x:c r="D72" s="258" t="n">
        <x:v>-115</x:v>
      </x:c>
      <x:c r="E72" s="258" t="n">
        <x:v>-137</x:v>
      </x:c>
      <x:c r="F72" s="258" t="n">
        <x:v>-128</x:v>
      </x:c>
      <x:c r="G72" s="199" t="str">
        <x:v>Rheinmetall Annual Report 2024, Note 13 p.207</x:v>
      </x:c>
      <x:c r="H72" s="199" t="str">
        <x:v>Rheinmetall Annual Report 2024, Note 13 p.207</x:v>
      </x:c>
      <x:c r="I72" s="199" t="str">
        <x:v>Rheinmetall Annual Report 2025, Note 13 p.219</x:v>
      </x:c>
      <x:c r="J72" s="199" t="str"/>
      <x:c r="K72" s="194" t="str">
        <x:v>Cost detail</x:v>
      </x:c>
      <x:c r="L72" s="194" t="str">
        <x:v>Sourced</x:v>
      </x:c>
      <x:c r="M72" s="194" t="str">
        <x:v>OK</x:v>
      </x:c>
    </x:row>
    <x:row r="73">
      <x:c r="A73" s="130"/>
      <x:c r="B73" s="194" t="str">
        <x:v>Redundancy / termination / partial retirement</x:v>
      </x:c>
      <x:c r="C73" s="194" t="str">
        <x:v>redundancy</x:v>
      </x:c>
      <x:c r="D73" s="258" t="n">
        <x:v>-16</x:v>
      </x:c>
      <x:c r="E73" s="258" t="n">
        <x:v>-27</x:v>
      </x:c>
      <x:c r="F73" s="258" t="n">
        <x:v>-16</x:v>
      </x:c>
      <x:c r="G73" s="199" t="str">
        <x:v>Rheinmetall Annual Report 2024, Note 13 p.207</x:v>
      </x:c>
      <x:c r="H73" s="199" t="str">
        <x:v>Rheinmetall Annual Report 2024, Note 13 p.207</x:v>
      </x:c>
      <x:c r="I73" s="199" t="str">
        <x:v>Rheinmetall Annual Report 2025, Note 13 p.219</x:v>
      </x:c>
      <x:c r="J73" s="199" t="str">
        <x:v>Fixed by supervisor-approved analytical classification; potentially unusual.</x:v>
      </x:c>
      <x:c r="K73" s="194" t="str">
        <x:v>Cost detail</x:v>
      </x:c>
      <x:c r="L73" s="194" t="str">
        <x:v>Sourced</x:v>
      </x:c>
      <x:c r="M73" s="194" t="str">
        <x:v>OK</x:v>
      </x:c>
    </x:row>
    <x:row r="74">
      <x:c r="A74" s="130"/>
      <x:c r="B74" s="194" t="str">
        <x:v>D&amp;A - other intangible assets</x:v>
      </x:c>
      <x:c r="C74" s="194" t="str">
        <x:v>da_intang</x:v>
      </x:c>
      <x:c r="D74" s="258" t="n">
        <x:v>-87</x:v>
      </x:c>
      <x:c r="E74" s="258" t="n">
        <x:v>-149</x:v>
      </x:c>
      <x:c r="F74" s="258" t="n">
        <x:v>-185</x:v>
      </x:c>
      <x:c r="G74" s="199" t="str">
        <x:v>Rheinmetall Annual Report 2024, Note 14 p.207</x:v>
      </x:c>
      <x:c r="H74" s="199" t="str">
        <x:v>Rheinmetall Annual Report 2024, Note 14 p.207</x:v>
      </x:c>
      <x:c r="I74" s="199" t="str">
        <x:v>Rheinmetall Annual Report 2025, Note 14 p.220</x:v>
      </x:c>
      <x:c r="J74" s="199" t="str"/>
      <x:c r="K74" s="194" t="str">
        <x:v>Cost detail</x:v>
      </x:c>
      <x:c r="L74" s="194" t="str">
        <x:v>Sourced</x:v>
      </x:c>
      <x:c r="M74" s="194" t="str">
        <x:v>OK</x:v>
      </x:c>
    </x:row>
    <x:row r="75">
      <x:c r="A75" s="130"/>
      <x:c r="B75" s="194" t="str">
        <x:v>D&amp;A - right-of-use assets</x:v>
      </x:c>
      <x:c r="C75" s="194" t="str">
        <x:v>da_rou</x:v>
      </x:c>
      <x:c r="D75" s="258" t="n">
        <x:v>-47</x:v>
      </x:c>
      <x:c r="E75" s="258" t="n">
        <x:v>-52</x:v>
      </x:c>
      <x:c r="F75" s="258" t="n">
        <x:v>-51</x:v>
      </x:c>
      <x:c r="G75" s="199" t="str">
        <x:v>Rheinmetall Annual Report 2024, Note 14 p.207</x:v>
      </x:c>
      <x:c r="H75" s="199" t="str">
        <x:v>Rheinmetall Annual Report 2024, Note 14 p.207</x:v>
      </x:c>
      <x:c r="I75" s="199" t="str">
        <x:v>Rheinmetall Annual Report 2025, Note 14 p.220</x:v>
      </x:c>
      <x:c r="J75" s="199" t="str"/>
      <x:c r="K75" s="194" t="str">
        <x:v>Cost detail</x:v>
      </x:c>
      <x:c r="L75" s="194" t="str">
        <x:v>Sourced</x:v>
      </x:c>
      <x:c r="M75" s="194" t="str">
        <x:v>OK</x:v>
      </x:c>
    </x:row>
    <x:row r="76">
      <x:c r="A76" s="130"/>
      <x:c r="B76" s="194" t="str">
        <x:v>D&amp;A - PPE and investment property</x:v>
      </x:c>
      <x:c r="C76" s="194" t="str">
        <x:v>da_ppe</x:v>
      </x:c>
      <x:c r="D76" s="258" t="n">
        <x:v>-174</x:v>
      </x:c>
      <x:c r="E76" s="258" t="n">
        <x:v>-202</x:v>
      </x:c>
      <x:c r="F76" s="258" t="n">
        <x:v>-169</x:v>
      </x:c>
      <x:c r="G76" s="199" t="str">
        <x:v>Rheinmetall Annual Report 2024, Note 14 p.207</x:v>
      </x:c>
      <x:c r="H76" s="199" t="str">
        <x:v>Rheinmetall Annual Report 2024, Note 14 p.207</x:v>
      </x:c>
      <x:c r="I76" s="199" t="str">
        <x:v>Rheinmetall Annual Report 2025, Note 14 p.220</x:v>
      </x:c>
      <x:c r="J76" s="199" t="str"/>
      <x:c r="K76" s="194" t="str">
        <x:v>Cost detail</x:v>
      </x:c>
      <x:c r="L76" s="194" t="str">
        <x:v>Sourced</x:v>
      </x:c>
      <x:c r="M76" s="194" t="str">
        <x:v>OK</x:v>
      </x:c>
    </x:row>
    <x:row r="77">
      <x:c r="A77" s="130"/>
      <x:c r="B77" s="194" t="str">
        <x:v>Impairment losses</x:v>
      </x:c>
      <x:c r="C77" s="194" t="str">
        <x:v>impairment</x:v>
      </x:c>
      <x:c r="D77" s="258" t="n">
        <x:v>-6</x:v>
      </x:c>
      <x:c r="E77" s="258" t="n">
        <x:v>-18</x:v>
      </x:c>
      <x:c r="F77" s="258" t="n">
        <x:v>-17</x:v>
      </x:c>
      <x:c r="G77" s="199" t="str">
        <x:v>Rheinmetall Annual Report 2024, Note 14 p.208</x:v>
      </x:c>
      <x:c r="H77" s="199" t="str">
        <x:v>Rheinmetall Annual Report 2024, Note 14 p.208</x:v>
      </x:c>
      <x:c r="I77" s="199" t="str">
        <x:v>Rheinmetall Annual Report 2025, Note 14 p.220</x:v>
      </x:c>
      <x:c r="J77" s="199" t="str">
        <x:v>Excluded from normal F/V when treated as unusual.</x:v>
      </x:c>
      <x:c r="K77" s="194" t="str">
        <x:v>Cost detail</x:v>
      </x:c>
      <x:c r="L77" s="194" t="str">
        <x:v>Sourced</x:v>
      </x:c>
      <x:c r="M77" s="194" t="str">
        <x:v>OK</x:v>
      </x:c>
    </x:row>
    <x:row r="78">
      <x:c r="A78" s="130"/>
      <x:c r="B78" s="200" t="str">
        <x:v>PPA-related amortization/depreciation</x:v>
      </x:c>
      <x:c r="C78" s="200" t="str">
        <x:v>ppa_da</x:v>
      </x:c>
      <x:c r="D78" s="259" t="n">
        <x:v>-47</x:v>
      </x:c>
      <x:c r="E78" s="259" t="n">
        <x:v>-102</x:v>
      </x:c>
      <x:c r="F78" s="259" t="n">
        <x:v>-139</x:v>
      </x:c>
      <x:c r="G78" s="202" t="str">
        <x:v>Rheinmetall Annual Report 2024, Note 14 p.207</x:v>
      </x:c>
      <x:c r="H78" s="202" t="str">
        <x:v>Rheinmetall Annual Report 2024, Note 14 p.207</x:v>
      </x:c>
      <x:c r="I78" s="202" t="str">
        <x:v>Rheinmetall Annual Report 2025, Note 14 p.220</x:v>
      </x:c>
      <x:c r="J78" s="202" t="str">
        <x:v>Analyst treats PPA effects as unusual; classification highlighted for review.</x:v>
      </x:c>
      <x:c r="K78" s="200" t="str">
        <x:v>Cost detail</x:v>
      </x:c>
      <x:c r="L78" s="200" t="str">
        <x:v>Analyst classification - review</x:v>
      </x:c>
      <x:c r="M78" s="200" t="str">
        <x:v>OK</x:v>
      </x:c>
    </x:row>
    <x:row r="79">
      <x:c r="A79" s="130"/>
      <x:c r="B79" s="194" t="str">
        <x:v>Operating costs and maintenance</x:v>
      </x:c>
      <x:c r="C79" s="194" t="str">
        <x:v>opex_maint</x:v>
      </x:c>
      <x:c r="D79" s="258" t="n">
        <x:v>-175</x:v>
      </x:c>
      <x:c r="E79" s="258" t="n">
        <x:v>-223</x:v>
      </x:c>
      <x:c r="F79" s="258" t="n">
        <x:v>-252</x:v>
      </x:c>
      <x:c r="G79" s="199" t="str">
        <x:v>Rheinmetall Annual Report 2024, Note 15 p.208</x:v>
      </x:c>
      <x:c r="H79" s="199" t="str">
        <x:v>Rheinmetall Annual Report 2024, Note 15 p.208</x:v>
      </x:c>
      <x:c r="I79" s="199" t="str">
        <x:v>Rheinmetall Annual Report 2025, Note 15 p.220</x:v>
      </x:c>
      <x:c r="J79" s="199" t="str"/>
      <x:c r="K79" s="194" t="str">
        <x:v>Cost detail</x:v>
      </x:c>
      <x:c r="L79" s="194" t="str">
        <x:v>Sourced</x:v>
      </x:c>
      <x:c r="M79" s="194" t="str">
        <x:v>OK</x:v>
      </x:c>
    </x:row>
    <x:row r="80">
      <x:c r="A80" s="130"/>
      <x:c r="B80" s="194" t="str">
        <x:v>IT costs</x:v>
      </x:c>
      <x:c r="C80" s="194" t="str">
        <x:v>opex_it</x:v>
      </x:c>
      <x:c r="D80" s="258" t="n">
        <x:v>-159</x:v>
      </x:c>
      <x:c r="E80" s="258" t="n">
        <x:v>-184</x:v>
      </x:c>
      <x:c r="F80" s="258" t="n">
        <x:v>-159</x:v>
      </x:c>
      <x:c r="G80" s="199" t="str">
        <x:v>Rheinmetall Annual Report 2024, Note 15 p.208</x:v>
      </x:c>
      <x:c r="H80" s="199" t="str">
        <x:v>Rheinmetall Annual Report 2024, Note 15 p.208</x:v>
      </x:c>
      <x:c r="I80" s="199" t="str">
        <x:v>Rheinmetall Annual Report 2025, Note 15 p.220</x:v>
      </x:c>
      <x:c r="J80" s="199" t="str"/>
      <x:c r="K80" s="194" t="str">
        <x:v>Cost detail</x:v>
      </x:c>
      <x:c r="L80" s="194" t="str">
        <x:v>Sourced</x:v>
      </x:c>
      <x:c r="M80" s="194" t="str">
        <x:v>OK</x:v>
      </x:c>
    </x:row>
    <x:row r="81">
      <x:c r="A81" s="130"/>
      <x:c r="B81" s="194" t="str">
        <x:v>Distribution and advertising costs</x:v>
      </x:c>
      <x:c r="C81" s="194" t="str">
        <x:v>opex_dist</x:v>
      </x:c>
      <x:c r="D81" s="258" t="n">
        <x:v>-117</x:v>
      </x:c>
      <x:c r="E81" s="258" t="n">
        <x:v>-143</x:v>
      </x:c>
      <x:c r="F81" s="258" t="n">
        <x:v>-133</x:v>
      </x:c>
      <x:c r="G81" s="199" t="str">
        <x:v>Rheinmetall Annual Report 2024, Note 15 p.208</x:v>
      </x:c>
      <x:c r="H81" s="199" t="str">
        <x:v>Rheinmetall Annual Report 2024, Note 15 p.208</x:v>
      </x:c>
      <x:c r="I81" s="199" t="str">
        <x:v>Rheinmetall Annual Report 2025, Note 15 p.220</x:v>
      </x:c>
      <x:c r="J81" s="199" t="str"/>
      <x:c r="K81" s="194" t="str">
        <x:v>Cost detail</x:v>
      </x:c>
      <x:c r="L81" s="194" t="str">
        <x:v>Sourced</x:v>
      </x:c>
      <x:c r="M81" s="194" t="str">
        <x:v>OK</x:v>
      </x:c>
    </x:row>
    <x:row r="82">
      <x:c r="A82" s="130"/>
      <x:c r="B82" s="194" t="str">
        <x:v>Incidental personnel costs</x:v>
      </x:c>
      <x:c r="C82" s="194" t="str">
        <x:v>opex_inc_pers</x:v>
      </x:c>
      <x:c r="D82" s="258" t="n">
        <x:v>-74</x:v>
      </x:c>
      <x:c r="E82" s="258" t="n">
        <x:v>-89</x:v>
      </x:c>
      <x:c r="F82" s="258" t="n">
        <x:v>-97</x:v>
      </x:c>
      <x:c r="G82" s="199" t="str">
        <x:v>Rheinmetall Annual Report 2024, Note 15 p.208</x:v>
      </x:c>
      <x:c r="H82" s="199" t="str">
        <x:v>Rheinmetall Annual Report 2024, Note 15 p.208</x:v>
      </x:c>
      <x:c r="I82" s="199" t="str">
        <x:v>Rheinmetall Annual Report 2025, Note 15 p.220</x:v>
      </x:c>
      <x:c r="J82" s="199" t="str"/>
      <x:c r="K82" s="194" t="str">
        <x:v>Cost detail</x:v>
      </x:c>
      <x:c r="L82" s="194" t="str">
        <x:v>Sourced</x:v>
      </x:c>
      <x:c r="M82" s="194" t="str">
        <x:v>OK</x:v>
      </x:c>
    </x:row>
    <x:row r="83">
      <x:c r="A83" s="130"/>
      <x:c r="B83" s="194" t="str">
        <x:v>General administrative expenses</x:v>
      </x:c>
      <x:c r="C83" s="194" t="str">
        <x:v>opex_ga</x:v>
      </x:c>
      <x:c r="D83" s="258" t="n">
        <x:v>-54</x:v>
      </x:c>
      <x:c r="E83" s="258" t="n">
        <x:v>-70</x:v>
      </x:c>
      <x:c r="F83" s="258" t="n">
        <x:v>-93</x:v>
      </x:c>
      <x:c r="G83" s="199" t="str">
        <x:v>Rheinmetall Annual Report 2024, Note 15 p.208</x:v>
      </x:c>
      <x:c r="H83" s="199" t="str">
        <x:v>Rheinmetall Annual Report 2024, Note 15 p.208</x:v>
      </x:c>
      <x:c r="I83" s="199" t="str">
        <x:v>Rheinmetall Annual Report 2025, Note 15 p.220</x:v>
      </x:c>
      <x:c r="J83" s="199" t="str"/>
      <x:c r="K83" s="194" t="str">
        <x:v>Cost detail</x:v>
      </x:c>
      <x:c r="L83" s="194" t="str">
        <x:v>Sourced</x:v>
      </x:c>
      <x:c r="M83" s="194" t="str">
        <x:v>OK</x:v>
      </x:c>
    </x:row>
    <x:row r="84">
      <x:c r="A84" s="130"/>
      <x:c r="B84" s="194" t="str">
        <x:v>Travel expenses</x:v>
      </x:c>
      <x:c r="C84" s="194" t="str">
        <x:v>opex_travel</x:v>
      </x:c>
      <x:c r="D84" s="258" t="n">
        <x:v>-58</x:v>
      </x:c>
      <x:c r="E84" s="258" t="n">
        <x:v>-64</x:v>
      </x:c>
      <x:c r="F84" s="258" t="n">
        <x:v>-65</x:v>
      </x:c>
      <x:c r="G84" s="199" t="str">
        <x:v>Rheinmetall Annual Report 2024, Note 15 p.208</x:v>
      </x:c>
      <x:c r="H84" s="199" t="str">
        <x:v>Rheinmetall Annual Report 2024, Note 15 p.208</x:v>
      </x:c>
      <x:c r="I84" s="199" t="str">
        <x:v>Rheinmetall Annual Report 2025, Note 15 p.220</x:v>
      </x:c>
      <x:c r="J84" s="199" t="str"/>
      <x:c r="K84" s="194" t="str">
        <x:v>Cost detail</x:v>
      </x:c>
      <x:c r="L84" s="194" t="str">
        <x:v>Sourced</x:v>
      </x:c>
      <x:c r="M84" s="194" t="str">
        <x:v>OK</x:v>
      </x:c>
    </x:row>
    <x:row r="85">
      <x:c r="A85" s="130"/>
      <x:c r="B85" s="194" t="str">
        <x:v>Insurances</x:v>
      </x:c>
      <x:c r="C85" s="194" t="str">
        <x:v>opex_ins</x:v>
      </x:c>
      <x:c r="D85" s="258" t="n">
        <x:v>-43</x:v>
      </x:c>
      <x:c r="E85" s="258" t="n">
        <x:v>-50</x:v>
      </x:c>
      <x:c r="F85" s="258" t="n">
        <x:v>-52</x:v>
      </x:c>
      <x:c r="G85" s="199" t="str">
        <x:v>Rheinmetall Annual Report 2024, Note 15 p.208</x:v>
      </x:c>
      <x:c r="H85" s="199" t="str">
        <x:v>Rheinmetall Annual Report 2024, Note 15 p.208</x:v>
      </x:c>
      <x:c r="I85" s="199" t="str">
        <x:v>Rheinmetall Annual Report 2025, Note 15 p.220</x:v>
      </x:c>
      <x:c r="J85" s="199" t="str"/>
      <x:c r="K85" s="194" t="str">
        <x:v>Cost detail</x:v>
      </x:c>
      <x:c r="L85" s="194" t="str">
        <x:v>Sourced</x:v>
      </x:c>
      <x:c r="M85" s="194" t="str">
        <x:v>OK</x:v>
      </x:c>
    </x:row>
    <x:row r="86">
      <x:c r="A86" s="130"/>
      <x:c r="B86" s="194" t="str">
        <x:v>Changes/additions to other provisions</x:v>
      </x:c>
      <x:c r="C86" s="194" t="str">
        <x:v>opex_prov</x:v>
      </x:c>
      <x:c r="D86" s="258" t="n">
        <x:v>-4</x:v>
      </x:c>
      <x:c r="E86" s="258" t="n">
        <x:v>-20</x:v>
      </x:c>
      <x:c r="F86" s="258" t="n">
        <x:v>-47</x:v>
      </x:c>
      <x:c r="G86" s="199" t="str">
        <x:v>Rheinmetall Annual Report 2024, Note 15 p.208</x:v>
      </x:c>
      <x:c r="H86" s="199" t="str">
        <x:v>Rheinmetall Annual Report 2024, Note 15 p.208</x:v>
      </x:c>
      <x:c r="I86" s="199" t="str">
        <x:v>Rheinmetall Annual Report 2025, Note 15 p.220</x:v>
      </x:c>
      <x:c r="J86" s="199" t="str"/>
      <x:c r="K86" s="194" t="str">
        <x:v>Cost detail</x:v>
      </x:c>
      <x:c r="L86" s="194" t="str">
        <x:v>Sourced</x:v>
      </x:c>
      <x:c r="M86" s="194" t="str">
        <x:v>OK</x:v>
      </x:c>
    </x:row>
    <x:row r="87">
      <x:c r="A87" s="130"/>
      <x:c r="B87" s="194" t="str">
        <x:v>Audit, legal and consultancy fees</x:v>
      </x:c>
      <x:c r="C87" s="194" t="str">
        <x:v>opex_audit</x:v>
      </x:c>
      <x:c r="D87" s="258" t="n">
        <x:v>-50</x:v>
      </x:c>
      <x:c r="E87" s="258" t="n">
        <x:v>-56</x:v>
      </x:c>
      <x:c r="F87" s="258" t="n">
        <x:v>-41</x:v>
      </x:c>
      <x:c r="G87" s="199" t="str">
        <x:v>Rheinmetall Annual Report 2024, Note 15 p.208</x:v>
      </x:c>
      <x:c r="H87" s="199" t="str">
        <x:v>Rheinmetall Annual Report 2024, Note 15 p.208</x:v>
      </x:c>
      <x:c r="I87" s="199" t="str">
        <x:v>Rheinmetall Annual Report 2025, Note 15 p.220</x:v>
      </x:c>
      <x:c r="J87" s="199" t="str"/>
      <x:c r="K87" s="194" t="str">
        <x:v>Cost detail</x:v>
      </x:c>
      <x:c r="L87" s="194" t="str">
        <x:v>Sourced</x:v>
      </x:c>
      <x:c r="M87" s="194" t="str">
        <x:v>OK</x:v>
      </x:c>
    </x:row>
    <x:row r="88">
      <x:c r="A88" s="130"/>
      <x:c r="B88" s="194" t="str">
        <x:v>Rents, leases and ancillary costs</x:v>
      </x:c>
      <x:c r="C88" s="194" t="str">
        <x:v>opex_rent</x:v>
      </x:c>
      <x:c r="D88" s="258" t="n">
        <x:v>-31</x:v>
      </x:c>
      <x:c r="E88" s="258" t="n">
        <x:v>-30</x:v>
      </x:c>
      <x:c r="F88" s="258" t="n">
        <x:v>-29</x:v>
      </x:c>
      <x:c r="G88" s="199" t="str">
        <x:v>Rheinmetall Annual Report 2024, Note 15 p.208</x:v>
      </x:c>
      <x:c r="H88" s="199" t="str">
        <x:v>Rheinmetall Annual Report 2024, Note 15 p.208</x:v>
      </x:c>
      <x:c r="I88" s="199" t="str">
        <x:v>Rheinmetall Annual Report 2025, Note 15 p.220</x:v>
      </x:c>
      <x:c r="J88" s="199" t="str"/>
      <x:c r="K88" s="194" t="str">
        <x:v>Cost detail</x:v>
      </x:c>
      <x:c r="L88" s="194" t="str">
        <x:v>Sourced</x:v>
      </x:c>
      <x:c r="M88" s="194" t="str">
        <x:v>OK</x:v>
      </x:c>
    </x:row>
    <x:row r="89">
      <x:c r="A89" s="130"/>
      <x:c r="B89" s="194" t="str">
        <x:v>Warranties</x:v>
      </x:c>
      <x:c r="C89" s="194" t="str">
        <x:v>opex_warranty</x:v>
      </x:c>
      <x:c r="D89" s="258" t="n">
        <x:v>-13</x:v>
      </x:c>
      <x:c r="E89" s="258" t="n">
        <x:v>-27</x:v>
      </x:c>
      <x:c r="F89" s="258" t="n">
        <x:v>-20</x:v>
      </x:c>
      <x:c r="G89" s="199" t="str">
        <x:v>Rheinmetall Annual Report 2024, Note 15 p.208</x:v>
      </x:c>
      <x:c r="H89" s="199" t="str">
        <x:v>Rheinmetall Annual Report 2024, Note 15 p.208</x:v>
      </x:c>
      <x:c r="I89" s="199" t="str">
        <x:v>Rheinmetall Annual Report 2025, Note 15 p.220</x:v>
      </x:c>
      <x:c r="J89" s="199" t="str"/>
      <x:c r="K89" s="194" t="str">
        <x:v>Cost detail</x:v>
      </x:c>
      <x:c r="L89" s="194" t="str">
        <x:v>Sourced</x:v>
      </x:c>
      <x:c r="M89" s="194" t="str">
        <x:v>OK</x:v>
      </x:c>
    </x:row>
    <x:row r="90">
      <x:c r="A90" s="130"/>
      <x:c r="B90" s="194" t="str">
        <x:v>Patent and licensing fees</x:v>
      </x:c>
      <x:c r="C90" s="194" t="str">
        <x:v>opex_patent</x:v>
      </x:c>
      <x:c r="D90" s="258" t="n">
        <x:v>-11</x:v>
      </x:c>
      <x:c r="E90" s="258" t="n">
        <x:v>-15</x:v>
      </x:c>
      <x:c r="F90" s="258" t="n">
        <x:v>-10</x:v>
      </x:c>
      <x:c r="G90" s="199" t="str">
        <x:v>Rheinmetall Annual Report 2024, Note 15 p.208</x:v>
      </x:c>
      <x:c r="H90" s="199" t="str">
        <x:v>Rheinmetall Annual Report 2024, Note 15 p.208</x:v>
      </x:c>
      <x:c r="I90" s="199" t="str">
        <x:v>Rheinmetall Annual Report 2025, Note 15 p.220</x:v>
      </x:c>
      <x:c r="J90" s="199" t="str"/>
      <x:c r="K90" s="194" t="str">
        <x:v>Cost detail</x:v>
      </x:c>
      <x:c r="L90" s="194" t="str">
        <x:v>Sourced</x:v>
      </x:c>
      <x:c r="M90" s="194" t="str">
        <x:v>OK</x:v>
      </x:c>
    </x:row>
    <x:row r="91">
      <x:c r="A91" s="130"/>
      <x:c r="B91" s="194" t="str">
        <x:v>Disposal of non-current assets (excl. financial assets)</x:v>
      </x:c>
      <x:c r="C91" s="194" t="str">
        <x:v>opex_disposal</x:v>
      </x:c>
      <x:c r="D91" s="258" t="n">
        <x:v>-8</x:v>
      </x:c>
      <x:c r="E91" s="258" t="n">
        <x:v>-23</x:v>
      </x:c>
      <x:c r="F91" s="258" t="n">
        <x:v>-9</x:v>
      </x:c>
      <x:c r="G91" s="199" t="str">
        <x:v>Rheinmetall Annual Report 2024, Note 15 p.208</x:v>
      </x:c>
      <x:c r="H91" s="199" t="str">
        <x:v>Rheinmetall Annual Report 2024, Note 15 p.208</x:v>
      </x:c>
      <x:c r="I91" s="199" t="str">
        <x:v>Rheinmetall Annual Report 2025, Note 15 p.220</x:v>
      </x:c>
      <x:c r="J91" s="199" t="str"/>
      <x:c r="K91" s="194" t="str">
        <x:v>Cost detail</x:v>
      </x:c>
      <x:c r="L91" s="194" t="str">
        <x:v>Sourced</x:v>
      </x:c>
      <x:c r="M91" s="194" t="str">
        <x:v>OK</x:v>
      </x:c>
    </x:row>
    <x:row r="92">
      <x:c r="A92" s="130"/>
      <x:c r="B92" s="194" t="str">
        <x:v>Other taxes</x:v>
      </x:c>
      <x:c r="C92" s="194" t="str">
        <x:v>opex_taxes</x:v>
      </x:c>
      <x:c r="D92" s="258" t="n">
        <x:v>-10</x:v>
      </x:c>
      <x:c r="E92" s="258" t="n">
        <x:v>-11</x:v>
      </x:c>
      <x:c r="F92" s="258" t="n">
        <x:v>-9</x:v>
      </x:c>
      <x:c r="G92" s="199" t="str">
        <x:v>Rheinmetall Annual Report 2024, Note 15 p.208</x:v>
      </x:c>
      <x:c r="H92" s="199" t="str">
        <x:v>Rheinmetall Annual Report 2024, Note 15 p.208</x:v>
      </x:c>
      <x:c r="I92" s="199" t="str">
        <x:v>Rheinmetall Annual Report 2025, Note 15 p.220</x:v>
      </x:c>
      <x:c r="J92" s="199" t="str"/>
      <x:c r="K92" s="194" t="str">
        <x:v>Cost detail</x:v>
      </x:c>
      <x:c r="L92" s="194" t="str">
        <x:v>Sourced</x:v>
      </x:c>
      <x:c r="M92" s="194" t="str">
        <x:v>OK</x:v>
      </x:c>
    </x:row>
    <x:row r="93">
      <x:c r="A93" s="130"/>
      <x:c r="B93" s="194" t="str">
        <x:v>Write-downs of receivables</x:v>
      </x:c>
      <x:c r="C93" s="194" t="str">
        <x:v>opex_writeoff</x:v>
      </x:c>
      <x:c r="D93" s="258" t="n">
        <x:v>-7</x:v>
      </x:c>
      <x:c r="E93" s="258" t="n">
        <x:v>-4</x:v>
      </x:c>
      <x:c r="F93" s="258" t="n">
        <x:v>-33</x:v>
      </x:c>
      <x:c r="G93" s="199" t="str">
        <x:v>Rheinmetall Annual Report 2024, Note 15 p.208</x:v>
      </x:c>
      <x:c r="H93" s="199" t="str">
        <x:v>Rheinmetall Annual Report 2024, Note 15 p.208</x:v>
      </x:c>
      <x:c r="I93" s="199" t="str">
        <x:v>Rheinmetall Annual Report 2025, Note 15 p.220</x:v>
      </x:c>
      <x:c r="J93" s="199" t="str"/>
      <x:c r="K93" s="194" t="str">
        <x:v>Cost detail</x:v>
      </x:c>
      <x:c r="L93" s="194" t="str">
        <x:v>Sourced</x:v>
      </x:c>
      <x:c r="M93" s="194" t="str">
        <x:v>OK</x:v>
      </x:c>
    </x:row>
    <x:row r="94">
      <x:c r="A94" s="130"/>
      <x:c r="B94" s="194" t="str">
        <x:v>Miscellaneous operating expenses</x:v>
      </x:c>
      <x:c r="C94" s="194" t="str">
        <x:v>opex_misc</x:v>
      </x:c>
      <x:c r="D94" s="258" t="n">
        <x:v>-75</x:v>
      </x:c>
      <x:c r="E94" s="258" t="n">
        <x:v>-112</x:v>
      </x:c>
      <x:c r="F94" s="258" t="n">
        <x:v>-62</x:v>
      </x:c>
      <x:c r="G94" s="199" t="str">
        <x:v>Rheinmetall Annual Report 2024, Note 15 p.208</x:v>
      </x:c>
      <x:c r="H94" s="199" t="str">
        <x:v>Rheinmetall Annual Report 2024, Note 15 p.208</x:v>
      </x:c>
      <x:c r="I94" s="199" t="str">
        <x:v>Rheinmetall Annual Report 2025, Note 15 p.220</x:v>
      </x:c>
      <x:c r="J94" s="199" t="str"/>
      <x:c r="K94" s="194" t="str">
        <x:v>Cost detail</x:v>
      </x:c>
      <x:c r="L94" s="194" t="str">
        <x:v>Sourced</x:v>
      </x:c>
      <x:c r="M94" s="194" t="str">
        <x:v>OK</x:v>
      </x:c>
    </x:row>
    <x:row r="95">
      <x:c r="A95" s="133" t="str">
        <x:v>x</x:v>
      </x:c>
      <x:c r="B95" s="197" t="str">
        <x:v>Reformulation</x:v>
      </x:c>
      <x:c r="C95" s="197"/>
      <x:c r="D95" s="197"/>
      <x:c r="E95" s="197"/>
      <x:c r="F95" s="197"/>
      <x:c r="G95" s="197"/>
      <x:c r="H95" s="197"/>
      <x:c r="I95" s="197"/>
      <x:c r="J95" s="197"/>
      <x:c r="K95" s="197"/>
      <x:c r="L95" s="197"/>
      <x:c r="M95" s="197"/>
    </x:row>
    <x:row r="96">
      <x:c r="A96" s="130"/>
      <x:c r="B96" s="194" t="str">
        <x:v>Company operating result (EBIT before special items and PPA)</x:v>
      </x:c>
      <x:c r="C96" s="194" t="str">
        <x:v>operating_result</x:v>
      </x:c>
      <x:c r="D96" s="258" t="n">
        <x:v>918</x:v>
      </x:c>
      <x:c r="E96" s="258" t="n">
        <x:v>1478</x:v>
      </x:c>
      <x:c r="F96" s="258" t="n">
        <x:v>1841</x:v>
      </x:c>
      <x:c r="G96" s="199" t="str">
        <x:v>Rheinmetall Annual Report 2024, management report pp.51-52</x:v>
      </x:c>
      <x:c r="H96" s="199" t="str">
        <x:v>Rheinmetall Annual Report 2024, management report pp.51-52</x:v>
      </x:c>
      <x:c r="I96" s="199" t="str">
        <x:v>Rheinmetall Annual Report 2025, management report p.55 / Rheinmetall FY2025 Conference Call 11-Mar-2026, p.3</x:v>
      </x:c>
      <x:c r="J96" s="199" t="str">
        <x:v>2025 management KPI still includes AIM disposal gain because management did not designate it a special item.</x:v>
      </x:c>
      <x:c r="K96" s="194" t="str">
        <x:v>Reformulation</x:v>
      </x:c>
      <x:c r="L96" s="194" t="str">
        <x:v>Sourced</x:v>
      </x:c>
      <x:c r="M96" s="194" t="str">
        <x:v>OK</x:v>
      </x:c>
    </x:row>
    <x:row r="97">
      <x:c r="A97" s="130"/>
      <x:c r="B97" s="200" t="str">
        <x:v>PPA effects included in EBIT</x:v>
      </x:c>
      <x:c r="C97" s="200" t="str">
        <x:v>ppa_total</x:v>
      </x:c>
      <x:c r="D97" s="259" t="n">
        <x:v>-70</x:v>
      </x:c>
      <x:c r="E97" s="259" t="n">
        <x:v>-125</x:v>
      </x:c>
      <x:c r="F97" s="259" t="n">
        <x:v>-167</x:v>
      </x:c>
      <x:c r="G97" s="202" t="str">
        <x:v>Rheinmetall Annual Report 2024, management report pp.51-52</x:v>
      </x:c>
      <x:c r="H97" s="202" t="str">
        <x:v>Rheinmetall Annual Report 2024, management report pp.51-52</x:v>
      </x:c>
      <x:c r="I97" s="202" t="str">
        <x:v>Rheinmetall Annual Report 2025, management report p.55</x:v>
      </x:c>
      <x:c r="J97" s="202" t="str">
        <x:v>Analyst classification: unusual / acquisition-accounting effect.</x:v>
      </x:c>
      <x:c r="K97" s="200" t="str">
        <x:v>Reformulation</x:v>
      </x:c>
      <x:c r="L97" s="200" t="str">
        <x:v>Analyst classification - review</x:v>
      </x:c>
      <x:c r="M97" s="200" t="str">
        <x:v>OK</x:v>
      </x:c>
    </x:row>
    <x:row r="98">
      <x:c r="A98" s="130"/>
      <x:c r="B98" s="194" t="str">
        <x:v>Management special items included in EBIT</x:v>
      </x:c>
      <x:c r="C98" s="194" t="str">
        <x:v>mgmt_special</x:v>
      </x:c>
      <x:c r="D98" s="258" t="n">
        <x:v>49</x:v>
      </x:c>
      <x:c r="E98" s="258" t="n">
        <x:v>-9</x:v>
      </x:c>
      <x:c r="F98" s="258" t="n">
        <x:v>9</x:v>
      </x:c>
      <x:c r="G98" s="199" t="str">
        <x:v>Rheinmetall Annual Report 2024, management report pp.51-52</x:v>
      </x:c>
      <x:c r="H98" s="199" t="str">
        <x:v>Rheinmetall Annual Report 2024, management report pp.51-52</x:v>
      </x:c>
      <x:c r="I98" s="199" t="str">
        <x:v>Rheinmetall Annual Report 2025, management report p.55</x:v>
      </x:c>
      <x:c r="J98" s="199" t="str">
        <x:v>Used as evidence, but final unusual classification is analyst-led.</x:v>
      </x:c>
      <x:c r="K98" s="194" t="str">
        <x:v>Reformulation</x:v>
      </x:c>
      <x:c r="L98" s="194" t="str">
        <x:v>Sourced</x:v>
      </x:c>
      <x:c r="M98" s="194" t="str">
        <x:v>OK</x:v>
      </x:c>
    </x:row>
    <x:row r="99">
      <x:c r="A99" s="130"/>
      <x:c r="B99" s="200" t="str">
        <x:v>Unusual gain included in equity-method result</x:v>
      </x:c>
      <x:c r="C99" s="200" t="str">
        <x:v>eq_unusual_gain</x:v>
      </x:c>
      <x:c r="D99" s="259" t="n">
        <x:v>53</x:v>
      </x:c>
      <x:c r="E99" s="259" t="n">
        <x:v>0</x:v>
      </x:c>
      <x:c r="F99" s="259" t="n">
        <x:v>46</x:v>
      </x:c>
      <x:c r="G99" s="202" t="str">
        <x:v>Rheinmetall Annual Report 2024, Note 22 p.216 (31 sale + 22 fair-value remeasurement)</x:v>
      </x:c>
      <x:c r="H99" s="202" t="str">
        <x:v>Rheinmetall Annual Report 2024, Note 22 p.216</x:v>
      </x:c>
      <x:c r="I99" s="202" t="str">
        <x:v>Rheinmetall Annual Report 2025, Note 22 p.229 (AIM disposal gain)</x:v>
      </x:c>
      <x:c r="J99" s="202" t="str">
        <x:v>Disposal/fair-value gains classified as unusual under the course framework.</x:v>
      </x:c>
      <x:c r="K99" s="200" t="str">
        <x:v>Reformulation</x:v>
      </x:c>
      <x:c r="L99" s="200" t="str">
        <x:v>Analyst classification - review</x:v>
      </x:c>
      <x:c r="M99" s="200" t="str">
        <x:v>OK</x:v>
      </x:c>
    </x:row>
    <x:row r="100">
      <x:c r="A100" s="130"/>
      <x:c r="B100" s="194" t="str">
        <x:v>PPA effect embedded in equity-method result</x:v>
      </x:c>
      <x:c r="C100" s="194" t="str">
        <x:v>eq_ppa</x:v>
      </x:c>
      <x:c r="D100" s="258" t="n">
        <x:v>-21</x:v>
      </x:c>
      <x:c r="E100" s="258" t="n">
        <x:v>-15</x:v>
      </x:c>
      <x:c r="F100" s="258" t="n">
        <x:v>-13</x:v>
      </x:c>
      <x:c r="G100" s="199" t="str">
        <x:v>Rheinmetall Annual Report 2024, management report pp.51-52 (4iG)</x:v>
      </x:c>
      <x:c r="H100" s="199" t="str">
        <x:v>Rheinmetall Annual Report 2024, management report p.51 (4iG)</x:v>
      </x:c>
      <x:c r="I100" s="199" t="str">
        <x:v>Rheinmetall Annual Report 2025, management report p.55 (4iG)</x:v>
      </x:c>
      <x:c r="J100" s="199" t="str"/>
      <x:c r="K100" s="194" t="str">
        <x:v>Reformulation</x:v>
      </x:c>
      <x:c r="L100" s="194" t="str">
        <x:v>Sourced</x:v>
      </x:c>
      <x:c r="M100" s="194" t="str">
        <x:v>OK</x:v>
      </x:c>
    </x:row>
    <x:row r="101">
      <x:c r="A101" s="130"/>
      <x:c r="B101" s="200" t="str">
        <x:v>Special gain embedded in other financial result</x:v>
      </x:c>
      <x:c r="C101" s="200" t="str">
        <x:v>other_fin_special</x:v>
      </x:c>
      <x:c r="D101" s="259" t="n">
        <x:v>0</x:v>
      </x:c>
      <x:c r="E101" s="259" t="n">
        <x:v>0</x:v>
      </x:c>
      <x:c r="F101" s="259" t="n">
        <x:v>15</x:v>
      </x:c>
      <x:c r="G101" s="202" t="str">
        <x:v>Rheinmetall Annual Report 2024, no identified item</x:v>
      </x:c>
      <x:c r="H101" s="202" t="str">
        <x:v>Rheinmetall Annual Report 2024, no identified item</x:v>
      </x:c>
      <x:c r="I101" s="202" t="str">
        <x:v>Rheinmetall Annual Report 2025, Note 7 p.214 (blackned remeasurement gain)</x:v>
      </x:c>
      <x:c r="J101" s="202" t="str">
        <x:v>Removed from recurring non-core result.</x:v>
      </x:c>
      <x:c r="K101" s="200" t="str">
        <x:v>Reformulation</x:v>
      </x:c>
      <x:c r="L101" s="200" t="str">
        <x:v>Analyst classification - review</x:v>
      </x:c>
      <x:c r="M101" s="200" t="str">
        <x:v>OK</x:v>
      </x:c>
    </x:row>
    <x:row r="102">
      <x:c r="A102" s="130"/>
      <x:c r="B102" s="194" t="str">
        <x:v>Discontinued operations - earnings before tax</x:v>
      </x:c>
      <x:c r="C102" s="194" t="str">
        <x:v>disc_ebt</x:v>
      </x:c>
      <x:c r="D102" s="258" t="n">
        <x:v>-59</x:v>
      </x:c>
      <x:c r="E102" s="258" t="n">
        <x:v>-78</x:v>
      </x:c>
      <x:c r="F102" s="258" t="n">
        <x:v>-315</x:v>
      </x:c>
      <x:c r="G102" s="199" t="str">
        <x:v>Rheinmetall Annual Report 2024, Note 8 p.204</x:v>
      </x:c>
      <x:c r="H102" s="199" t="str">
        <x:v>Rheinmetall Annual Report 2024, Note 8 p.204</x:v>
      </x:c>
      <x:c r="I102" s="199" t="str">
        <x:v>Rheinmetall Annual Report 2025, Note 8 pp.215-216 (-302 civilian, -13 pistons)</x:v>
      </x:c>
      <x:c r="J102" s="199" t="str">
        <x:v>Classified as unusual/discontinued.</x:v>
      </x:c>
      <x:c r="K102" s="194" t="str">
        <x:v>Reformulation</x:v>
      </x:c>
      <x:c r="L102" s="194" t="str">
        <x:v>Sourced</x:v>
      </x:c>
      <x:c r="M102" s="194" t="str">
        <x:v>OK</x:v>
      </x:c>
    </x:row>
    <x:row r="103">
      <x:c r="A103" s="130"/>
      <x:c r="B103" s="194" t="str">
        <x:v>Discontinued operations - tax effect</x:v>
      </x:c>
      <x:c r="C103" s="194" t="str">
        <x:v>disc_tax</x:v>
      </x:c>
      <x:c r="D103" s="258" t="n">
        <x:v>15</x:v>
      </x:c>
      <x:c r="E103" s="258" t="n">
        <x:v>-9</x:v>
      </x:c>
      <x:c r="F103" s="258" t="n">
        <x:v>-27</x:v>
      </x:c>
      <x:c r="G103" s="199" t="str">
        <x:v>Rheinmetall Annual Report 2024, Note 8 p.204</x:v>
      </x:c>
      <x:c r="H103" s="199" t="str">
        <x:v>Rheinmetall Annual Report 2024, Note 8 p.204</x:v>
      </x:c>
      <x:c r="I103" s="199" t="str">
        <x:v>Rheinmetall Annual Report 2025, Note 8 pp.215-216 (-31 civilian, +4 pistons)</x:v>
      </x:c>
      <x:c r="J103" s="199" t="str">
        <x:v>2025 pre-tax + tax differs from reported after-tax by €1m due to rounding.</x:v>
      </x:c>
      <x:c r="K103" s="194" t="str">
        <x:v>Reformulation</x:v>
      </x:c>
      <x:c r="L103" s="194" t="str">
        <x:v>Sourced</x:v>
      </x:c>
      <x:c r="M103" s="194" t="str">
        <x:v>OK</x:v>
      </x:c>
    </x:row>
    <x:row r="104">
      <x:c r="A104" s="130"/>
      <x:c r="B104" s="194" t="str">
        <x:v>R&amp;D recognized as expense</x:v>
      </x:c>
      <x:c r="C104" s="194" t="str">
        <x:v>rd_expensed</x:v>
      </x:c>
      <x:c r="D104" s="258" t="n">
        <x:v>-217</x:v>
      </x:c>
      <x:c r="E104" s="258" t="n">
        <x:v>-235</x:v>
      </x:c>
      <x:c r="F104" s="258" t="n">
        <x:v>-105</x:v>
      </x:c>
      <x:c r="G104" s="199" t="str">
        <x:v>Rheinmetall Annual Report 2024, p.35</x:v>
      </x:c>
      <x:c r="H104" s="199" t="str">
        <x:v>Rheinmetall Annual Report 2024, p.35</x:v>
      </x:c>
      <x:c r="I104" s="199" t="str">
        <x:v>Rheinmetall Annual Report 2025, p.31</x:v>
      </x:c>
      <x:c r="J104" s="199" t="str">
        <x:v>Only identifiable functional expense; full COGS / gross profit cannot be derived.</x:v>
      </x:c>
      <x:c r="K104" s="194" t="str">
        <x:v>Reformulation</x:v>
      </x:c>
      <x:c r="L104" s="194" t="str">
        <x:v>Sourced</x:v>
      </x:c>
      <x:c r="M104" s="194" t="str">
        <x:v>OK</x:v>
      </x:c>
    </x:row>
    <x:row r="105">
      <x:c r="A105" s="133" t="str">
        <x:v>x</x:v>
      </x:c>
      <x:c r="B105" s="197" t="str">
        <x:v>OCI</x:v>
      </x:c>
      <x:c r="C105" s="197"/>
      <x:c r="D105" s="197"/>
      <x:c r="E105" s="197"/>
      <x:c r="F105" s="197"/>
      <x:c r="G105" s="197"/>
      <x:c r="H105" s="197"/>
      <x:c r="I105" s="197"/>
      <x:c r="J105" s="197"/>
      <x:c r="K105" s="197"/>
      <x:c r="L105" s="197"/>
      <x:c r="M105" s="197"/>
    </x:row>
    <x:row r="106">
      <x:c r="A106" s="130"/>
      <x:c r="B106" s="194" t="str">
        <x:v>OCI: remeasurement of net defined benefit liability</x:v>
      </x:c>
      <x:c r="C106" s="194" t="str">
        <x:v>oci_pension</x:v>
      </x:c>
      <x:c r="D106" s="258" t="n">
        <x:v>30</x:v>
      </x:c>
      <x:c r="E106" s="258" t="n">
        <x:v>165</x:v>
      </x:c>
      <x:c r="F106" s="258" t="n">
        <x:v>52</x:v>
      </x:c>
      <x:c r="G106" s="199" t="str">
        <x:v>Rheinmetall Annual Report 2024, p.188</x:v>
      </x:c>
      <x:c r="H106" s="199" t="str">
        <x:v>Rheinmetall Annual Report 2024, p.188</x:v>
      </x:c>
      <x:c r="I106" s="199" t="str">
        <x:v>Rheinmetall Annual Report 2025, p.199</x:v>
      </x:c>
      <x:c r="J106" s="199" t="str"/>
      <x:c r="K106" s="194" t="str">
        <x:v>OCI</x:v>
      </x:c>
      <x:c r="L106" s="194" t="str">
        <x:v>Sourced</x:v>
      </x:c>
      <x:c r="M106" s="194" t="str">
        <x:v>OK</x:v>
      </x:c>
    </x:row>
    <x:row r="107">
      <x:c r="A107" s="130"/>
      <x:c r="B107" s="194" t="str">
        <x:v>OCI: equity-method items not reclassified</x:v>
      </x:c>
      <x:c r="C107" s="194" t="str">
        <x:v>oci_eq_nonreclass</x:v>
      </x:c>
      <x:c r="D107" s="258" t="n">
        <x:v>0</x:v>
      </x:c>
      <x:c r="E107" s="258" t="n">
        <x:v>-2</x:v>
      </x:c>
      <x:c r="F107" s="258" t="n">
        <x:v>0</x:v>
      </x:c>
      <x:c r="G107" s="199" t="str">
        <x:v>Rheinmetall Annual Report 2024, p.188</x:v>
      </x:c>
      <x:c r="H107" s="199" t="str">
        <x:v>Rheinmetall Annual Report 2024, p.188</x:v>
      </x:c>
      <x:c r="I107" s="199" t="str">
        <x:v>Rheinmetall Annual Report 2025, p.199</x:v>
      </x:c>
      <x:c r="J107" s="199" t="str"/>
      <x:c r="K107" s="194" t="str">
        <x:v>OCI</x:v>
      </x:c>
      <x:c r="L107" s="194" t="str">
        <x:v>Sourced</x:v>
      </x:c>
      <x:c r="M107" s="194" t="str">
        <x:v>OK</x:v>
      </x:c>
    </x:row>
    <x:row r="108">
      <x:c r="A108" s="130"/>
      <x:c r="B108" s="194" t="str">
        <x:v>OCI: cash flow hedges</x:v>
      </x:c>
      <x:c r="C108" s="194" t="str">
        <x:v>oci_hedge</x:v>
      </x:c>
      <x:c r="D108" s="258" t="n">
        <x:v>-19</x:v>
      </x:c>
      <x:c r="E108" s="258" t="n">
        <x:v>11</x:v>
      </x:c>
      <x:c r="F108" s="258" t="n">
        <x:v>31</x:v>
      </x:c>
      <x:c r="G108" s="199" t="str">
        <x:v>Rheinmetall Annual Report 2024, p.188</x:v>
      </x:c>
      <x:c r="H108" s="199" t="str">
        <x:v>Rheinmetall Annual Report 2024, p.188</x:v>
      </x:c>
      <x:c r="I108" s="199" t="str">
        <x:v>Rheinmetall Annual Report 2025, p.199</x:v>
      </x:c>
      <x:c r="J108" s="199" t="str"/>
      <x:c r="K108" s="194" t="str">
        <x:v>OCI</x:v>
      </x:c>
      <x:c r="L108" s="194" t="str">
        <x:v>Sourced</x:v>
      </x:c>
      <x:c r="M108" s="194" t="str">
        <x:v>OK</x:v>
      </x:c>
    </x:row>
    <x:row r="109">
      <x:c r="A109" s="130"/>
      <x:c r="B109" s="194" t="str">
        <x:v>OCI: currency translation</x:v>
      </x:c>
      <x:c r="C109" s="194" t="str">
        <x:v>oci_fx</x:v>
      </x:c>
      <x:c r="D109" s="258" t="n">
        <x:v>7</x:v>
      </x:c>
      <x:c r="E109" s="258" t="n">
        <x:v>12</x:v>
      </x:c>
      <x:c r="F109" s="258" t="n">
        <x:v>-138</x:v>
      </x:c>
      <x:c r="G109" s="199" t="str">
        <x:v>Rheinmetall Annual Report 2024, p.188</x:v>
      </x:c>
      <x:c r="H109" s="199" t="str">
        <x:v>Rheinmetall Annual Report 2024, p.188</x:v>
      </x:c>
      <x:c r="I109" s="199" t="str">
        <x:v>Rheinmetall Annual Report 2025, p.199</x:v>
      </x:c>
      <x:c r="J109" s="199" t="str"/>
      <x:c r="K109" s="194" t="str">
        <x:v>OCI</x:v>
      </x:c>
      <x:c r="L109" s="194" t="str">
        <x:v>Sourced</x:v>
      </x:c>
      <x:c r="M109" s="194" t="str">
        <x:v>OK</x:v>
      </x:c>
    </x:row>
    <x:row r="110">
      <x:c r="A110" s="130"/>
      <x:c r="B110" s="194" t="str">
        <x:v>OCI: equity-method items reclassified</x:v>
      </x:c>
      <x:c r="C110" s="194" t="str">
        <x:v>oci_eq_reclass</x:v>
      </x:c>
      <x:c r="D110" s="258" t="n">
        <x:v>-8</x:v>
      </x:c>
      <x:c r="E110" s="258" t="n">
        <x:v>4</x:v>
      </x:c>
      <x:c r="F110" s="258" t="n">
        <x:v>6</x:v>
      </x:c>
      <x:c r="G110" s="199" t="str">
        <x:v>Rheinmetall Annual Report 2024, p.188</x:v>
      </x:c>
      <x:c r="H110" s="199" t="str">
        <x:v>Rheinmetall Annual Report 2024, p.188</x:v>
      </x:c>
      <x:c r="I110" s="199" t="str">
        <x:v>Rheinmetall Annual Report 2025, p.199</x:v>
      </x:c>
      <x:c r="J110" s="199" t="str"/>
      <x:c r="K110" s="194" t="str">
        <x:v>OCI</x:v>
      </x:c>
      <x:c r="L110" s="194" t="str">
        <x:v>Sourced</x:v>
      </x:c>
      <x:c r="M110" s="194" t="str">
        <x:v>OK</x:v>
      </x:c>
    </x:row>
    <x:row r="111">
      <x:c r="A111" s="130"/>
      <x:c r="B111" s="194"/>
      <x:c r="C111" s="194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4"/>
    </x:row>
    <x:row r="112">
      <x:c r="A112" s="133" t="str">
        <x:v>x</x:v>
      </x:c>
      <x:c r="B112" s="197" t="str">
        <x:v>Scope and source convention</x:v>
      </x:c>
      <x:c r="C112" s="197"/>
      <x:c r="D112" s="197"/>
      <x:c r="E112" s="197"/>
      <x:c r="F112" s="197"/>
      <x:c r="G112" s="197"/>
      <x:c r="H112" s="197"/>
      <x:c r="I112" s="197"/>
      <x:c r="J112" s="197"/>
      <x:c r="K112" s="197"/>
      <x:c r="L112" s="197"/>
      <x:c r="M112" s="197"/>
    </x:row>
    <x:row r="113">
      <x:c r="A113" s="130"/>
      <x:c r="B113" s="208" t="str">
        <x:v>Historical basis required by supervisor: 2023 and 2024 use the historical figures as reported in Annual Report 2024; 2025 uses the current-year figures in Annual Report 2025. No restatement bridge is made across the 2025 IFRS 5 perimeter change.</x:v>
      </x:c>
      <x:c r="C113" s="208"/>
      <x:c r="D113" s="208"/>
      <x:c r="E113" s="208"/>
      <x:c r="F113" s="208"/>
      <x:c r="G113" s="208"/>
      <x:c r="H113" s="208"/>
      <x:c r="I113" s="208"/>
      <x:c r="J113" s="208"/>
      <x:c r="K113" s="208"/>
      <x:c r="L113" s="208"/>
      <x:c r="M113" s="208"/>
    </x:row>
    <x:row r="114">
      <x:c r="A114" s="130"/>
      <x:c r="B114" s="194"/>
      <x:c r="C114" s="194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4"/>
    </x:row>
    <x:row r="115">
      <x:c r="A115" s="130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/>
      <x:c r="B117" s="194"/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</x:row>
    <x:row r="118">
      <x:c r="A118" s="130"/>
      <x:c r="B118" s="194"/>
      <x:c r="C118" s="194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4"/>
    </x:row>
    <x:row r="119">
      <x:c r="A119" s="130"/>
      <x:c r="B119" s="194"/>
      <x:c r="C119" s="194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4"/>
    </x:row>
    <x:row r="120">
      <x:c r="A120" s="130"/>
      <x:c r="B120" s="194"/>
      <x:c r="C120" s="194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4"/>
    </x:row>
    <x:row r="121">
      <x:c r="A121" s="130"/>
      <x:c r="B121" s="194"/>
      <x:c r="C121" s="194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4"/>
    </x:row>
    <x:row r="122">
      <x:c r="A122" s="130"/>
      <x:c r="B122" s="194"/>
      <x:c r="C122" s="194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4"/>
    </x:row>
    <x:row r="123">
      <x:c r="A123" s="130"/>
      <x:c r="B123" s="194"/>
      <x:c r="C123" s="194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4"/>
    </x:row>
    <x:row r="124">
      <x:c r="A124" s="130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</x:row>
    <x:row r="125">
      <x:c r="A125" s="130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</x:row>
    <x:row r="126">
      <x:c r="A126" s="130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0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</x:row>
    <x:row r="130">
      <x:c r="A130" s="130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</x:row>
    <x:row r="131">
      <x:c r="A131" s="130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</x:row>
    <x:row r="132">
      <x:c r="A132" s="130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</x:row>
    <x:row r="133">
      <x:c r="A133" s="130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</x:row>
    <x:row r="134">
      <x:c r="A134" s="130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</x:row>
    <x:row r="135">
      <x:c r="A135" s="130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</x:row>
    <x:row r="136">
      <x:c r="A136" s="130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</x:row>
    <x:row r="137">
      <x:c r="A137" s="130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</x:row>
    <x:row r="138">
      <x:c r="A138" s="130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0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</x:row>
    <x:row r="142">
      <x:c r="A142" s="130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</x:row>
    <x:row r="143">
      <x:c r="A143" s="130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</x:row>
    <x:row r="144">
      <x:c r="A144" s="130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</x:row>
    <x:row r="145">
      <x:c r="A145" s="130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</x:row>
    <x:row r="146">
      <x:c r="A146" s="130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</x:row>
    <x:row r="147">
      <x:c r="A147" s="130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</x:row>
    <x:row r="148">
      <x:c r="A148" s="130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0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</x:row>
    <x:row r="151">
      <x:c r="A151" s="130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  <x:mergeCell ref="B113:M1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2" hidden="0" customWidth="1"/>
    <x:col min="3" max="3" width="13" hidden="0" customWidth="1"/>
    <x:col min="4" max="4" width="18" hidden="0" customWidth="1"/>
    <x:col min="5" max="5" width="14" hidden="0" customWidth="1"/>
    <x:col min="6" max="6" width="22" hidden="0" customWidth="1"/>
    <x:col min="7" max="7" width="50" hidden="0" customWidth="1"/>
    <x:col min="8" max="8" width="48" hidden="0" customWidth="1"/>
    <x:col min="9" max="9" width="38" hidden="0" customWidth="1"/>
    <x:col min="10" max="10" width="38" hidden="0" customWidth="1"/>
    <x:col min="11" max="11" width="45" hidden="0" customWidth="1"/>
    <x:col min="12" max="12" width="28" hidden="0" customWidth="1"/>
    <x:col min="13" max="13" width="24" hidden="0" customWidth="1"/>
  </x:cols>
  <x:sheetData>
    <x:row r="1">
      <x:c r="A1" s="130"/>
      <x:c r="B1" s="194"/>
      <x:c r="C1" s="194"/>
      <x:c r="D1" s="194"/>
      <x:c r="E1" s="194"/>
      <x:c r="F1" s="159"/>
      <x:c r="G1" s="159"/>
      <x:c r="H1" s="159"/>
      <x:c r="I1" s="159"/>
      <x:c r="J1" s="159"/>
      <x:c r="K1" s="159"/>
      <x:c r="L1" s="159"/>
      <x:c r="M1" s="159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0"/>
      <x:c r="B6" s="196" t="str">
        <x:v>Issue ID</x:v>
      </x:c>
      <x:c r="C6" s="196" t="str">
        <x:v>Date</x:v>
      </x:c>
      <x:c r="D6" s="196" t="str">
        <x:v>Agent/module version</x:v>
      </x:c>
      <x:c r="E6" s="196" t="str">
        <x:v>Iteration(s)</x:v>
      </x:c>
      <x:c r="F6" s="196" t="str">
        <x:v>Task/request</x:v>
      </x:c>
      <x:c r="G6" s="196" t="str">
        <x:v>Conflict or analytical issue</x:v>
      </x:c>
      <x:c r="H6" s="196" t="str">
        <x:v>Evidence</x:v>
      </x:c>
      <x:c r="I6" s="196" t="str">
        <x:v>Question to supervisor</x:v>
      </x:c>
      <x:c r="J6" s="196" t="str">
        <x:v>Supervisor instruction</x:v>
      </x:c>
      <x:c r="K6" s="196" t="str">
        <x:v>Change made / reason unchanged</x:v>
      </x:c>
      <x:c r="L6" s="196" t="str">
        <x:v>Affected outputs</x:v>
      </x:c>
      <x:c r="M6" s="196" t="str">
        <x:v>Status / remaining decision</x:v>
      </x:c>
    </x:row>
    <x:row r="7">
      <x:c r="A7" s="130"/>
      <x:c r="B7" s="194" t="str">
        <x:v>M1-001</x:v>
      </x:c>
      <x:c r="C7" s="194" t="str">
        <x:v>03/10/2026</x:v>
      </x:c>
      <x:c r="D7" s="194" t="str">
        <x:v>Module 1 v1.0</x:v>
      </x:c>
      <x:c r="E7" s="194" t="str">
        <x:v>Prior + final</x:v>
      </x:c>
      <x:c r="F7" s="194" t="str">
        <x:v>Historical basis</x:v>
      </x:c>
      <x:c r="G7" s="194" t="str">
        <x:v>2024 comparative in AR2025 is restated for discontinued civilian business; historical AR2024 2024 differs.</x:v>
      </x:c>
      <x:c r="H7" s="194" t="str">
        <x:v>AR2024 pp.188-189; AR2025 pp.199-200</x:v>
      </x:c>
      <x:c r="I7" s="194" t="str">
        <x:v>Which basis?</x:v>
      </x:c>
      <x:c r="J7" s="194" t="str">
        <x:v>Supervisor: do not reconcile; present everything historically.</x:v>
      </x:c>
      <x:c r="K7" s="194" t="str">
        <x:v>2023-24 sourced from AR2024; 2025 from AR2025; no adjustment bridge.</x:v>
      </x:c>
      <x:c r="L7" s="194" t="str">
        <x:v>All three-year analysis</x:v>
      </x:c>
      <x:c r="M7" s="264" t="str">
        <x:v>Resolved</x:v>
      </x:c>
    </x:row>
    <x:row r="8">
      <x:c r="A8" s="130"/>
      <x:c r="B8" s="194" t="str">
        <x:v>M1-003</x:v>
      </x:c>
      <x:c r="C8" s="194" t="str">
        <x:v>03/10/2026</x:v>
      </x:c>
      <x:c r="D8" s="194" t="str">
        <x:v>Module 1 v1.0</x:v>
      </x:c>
      <x:c r="E8" s="194" t="str">
        <x:v>Prior</x:v>
      </x:c>
      <x:c r="F8" s="194" t="str">
        <x:v>Variable/fixed</x:v>
      </x:c>
      <x:c r="G8" s="194" t="str">
        <x:v>Company does not disclose a full fixed/variable split.</x:v>
      </x:c>
      <x:c r="H8" s="194" t="str">
        <x:v>Notes 12-15</x:v>
      </x:c>
      <x:c r="I8" s="194" t="str">
        <x:v>Classification?</x:v>
      </x:c>
      <x:c r="J8" s="194" t="str">
        <x:v>Supervisor approved the proposed analytical classifications.</x:v>
      </x:c>
      <x:c r="K8" s="194" t="str">
        <x:v>Applied approved line-by-line classification.</x:v>
      </x:c>
      <x:c r="L8" s="194" t="str">
        <x:v>Cost structure</x:v>
      </x:c>
      <x:c r="M8" s="264" t="str">
        <x:v>Resolved</x:v>
      </x:c>
    </x:row>
    <x:row r="9">
      <x:c r="A9" s="130"/>
      <x:c r="B9" s="194" t="str">
        <x:v>M1-004</x:v>
      </x:c>
      <x:c r="C9" s="194" t="str">
        <x:v>03/10/2026</x:v>
      </x:c>
      <x:c r="D9" s="194" t="str">
        <x:v>Module 1 v1.0</x:v>
      </x:c>
      <x:c r="E9" s="194" t="str">
        <x:v>Prior</x:v>
      </x:c>
      <x:c r="F9" s="194" t="str">
        <x:v>By-function cost view</x:v>
      </x:c>
      <x:c r="G9" s="194" t="str">
        <x:v>COGS / functional allocation not sufficiently disclosed.</x:v>
      </x:c>
      <x:c r="H9" s="194" t="str">
        <x:v>AR income statement by nature; Session 3 slide 4</x:v>
      </x:c>
      <x:c r="I9" s="194" t="str">
        <x:v>Estimate or n.d.?</x:v>
      </x:c>
      <x:c r="J9" s="194" t="str">
        <x:v>Supervisor: strict-source option A.</x:v>
      </x:c>
      <x:c r="K9" s="194" t="str">
        <x:v>Gross profit/COGS shown as n.d.; disclosed functional items only.</x:v>
      </x:c>
      <x:c r="L9" s="194" t="str">
        <x:v>Cost structure</x:v>
      </x:c>
      <x:c r="M9" s="264" t="str">
        <x:v>Resolved</x:v>
      </x:c>
    </x:row>
    <x:row r="10">
      <x:c r="A10" s="130"/>
      <x:c r="B10" s="194" t="str">
        <x:v>M1-005</x:v>
      </x:c>
      <x:c r="C10" s="194" t="str">
        <x:v>03/10/2026</x:v>
      </x:c>
      <x:c r="D10" s="194" t="str">
        <x:v>Module 1 v1.0</x:v>
      </x:c>
      <x:c r="E10" s="194" t="str">
        <x:v>Current override</x:v>
      </x:c>
      <x:c r="F10" s="194" t="str">
        <x:v>Operating cash</x:v>
      </x:c>
      <x:c r="G10" s="194" t="str">
        <x:v>Cash split between operating and financial is analytical.</x:v>
      </x:c>
      <x:c r="H10" s="194" t="str">
        <x:v>Session 4 working-cash concept</x:v>
      </x:c>
      <x:c r="I10" s="194" t="str">
        <x:v>Operating cash amount?</x:v>
      </x:c>
      <x:c r="J10" s="194" t="str">
        <x:v>Initial instruction: 0.5% of sales. Final supervisor override (04/10/2026): no operating cash.</x:v>
      </x:c>
      <x:c r="K10" s="194" t="str">
        <x:v>Operating cash set to zero; the full reported cash balance enters NFP/NFO. NOWC, NOIC, ROI/RONA and ROE decompositions recalculate accordingly.</x:v>
      </x:c>
      <x:c r="L10" s="194" t="str">
        <x:v>Managerial BS, ROI/ROE</x:v>
      </x:c>
      <x:c r="M10" s="264" t="str">
        <x:v>Resolved - final override applied</x:v>
      </x:c>
    </x:row>
    <x:row r="11">
      <x:c r="A11" s="130"/>
      <x:c r="B11" s="200" t="str">
        <x:v>M1-006</x:v>
      </x:c>
      <x:c r="C11" s="200" t="str">
        <x:v>03/10/2026</x:v>
      </x:c>
      <x:c r="D11" s="200" t="str">
        <x:v>Module 1 v1.0</x:v>
      </x:c>
      <x:c r="E11" s="200" t="str">
        <x:v>Current</x:v>
      </x:c>
      <x:c r="F11" s="200" t="str">
        <x:v>Tax assets/liabilities</x:v>
      </x:c>
      <x:c r="G11" s="200" t="str">
        <x:v>Session 4 permits separate Net Tax Position or inclusion in operating capital.</x:v>
      </x:c>
      <x:c r="H11" s="200" t="str">
        <x:v>Session 4 slide 18</x:v>
      </x:c>
      <x:c r="I11" s="200" t="str">
        <x:v>Choose presentation / ROE treatment.</x:v>
      </x:c>
      <x:c r="J11" s="200" t="str">
        <x:v>No final supervisor decision before file delivery.</x:v>
      </x:c>
      <x:c r="K11" s="200" t="str">
        <x:v>Main BS shows separate Net Tax Position; ROE uses a clearly flagged technical adjustment netting tax position to preserve NFP+equity identity.</x:v>
      </x:c>
      <x:c r="L11" s="200" t="str">
        <x:v>Managerial BS, ROE</x:v>
      </x:c>
      <x:c r="M11" s="200" t="str">
        <x:v>For supervisor review</x:v>
      </x:c>
    </x:row>
    <x:row r="12">
      <x:c r="A12" s="130"/>
      <x:c r="B12" s="200" t="str">
        <x:v>M1-007</x:v>
      </x:c>
      <x:c r="C12" s="200" t="str">
        <x:v>03/10/2026</x:v>
      </x:c>
      <x:c r="D12" s="200" t="str">
        <x:v>Module 1 v1.0</x:v>
      </x:c>
      <x:c r="E12" s="200" t="str">
        <x:v>Current</x:v>
      </x:c>
      <x:c r="F12" s="200" t="str">
        <x:v>PPA effects</x:v>
      </x:c>
      <x:c r="G12" s="200" t="str">
        <x:v>PPA amortization/effects recur over several years but arise from acquisition accounting and complex valuation.</x:v>
      </x:c>
      <x:c r="H12" s="200" t="str">
        <x:v>AR management-report PPA reconciliations; Session 2 unusual criteria</x:v>
      </x:c>
      <x:c r="I12" s="200" t="str">
        <x:v>Treat as unusual?</x:v>
      </x:c>
      <x:c r="J12" s="200" t="str">
        <x:v>No explicit final decision.</x:v>
      </x:c>
      <x:c r="K12" s="200" t="str">
        <x:v>Provisionally classified PPA effects as unusual; highlighted yellow.</x:v>
      </x:c>
      <x:c r="L12" s="200" t="str">
        <x:v>Reformulated IS, EBITDA, ratios</x:v>
      </x:c>
      <x:c r="M12" s="200" t="str">
        <x:v>For supervisor review</x:v>
      </x:c>
    </x:row>
    <x:row r="13">
      <x:c r="A13" s="130"/>
      <x:c r="B13" s="200" t="str">
        <x:v>M1-008</x:v>
      </x:c>
      <x:c r="C13" s="200" t="str">
        <x:v>03/10/2026</x:v>
      </x:c>
      <x:c r="D13" s="200" t="str">
        <x:v>Module 1 v1.0</x:v>
      </x:c>
      <x:c r="E13" s="200" t="str">
        <x:v>Current</x:v>
      </x:c>
      <x:c r="F13" s="200" t="str">
        <x:v>AIM disposal gain</x:v>
      </x:c>
      <x:c r="G13" s="200" t="str">
        <x:v>Management did not label 2025 €46m AIM gain a special item, but it is a disposal gain.</x:v>
      </x:c>
      <x:c r="H13" s="200" t="str">
        <x:v>AR2025 p.55; Note 22 p.229; Session 2 disposal/unusual logic</x:v>
      </x:c>
      <x:c r="I13" s="200" t="str">
        <x:v>Treat as unusual?</x:v>
      </x:c>
      <x:c r="J13" s="200" t="str">
        <x:v>No explicit final decision.</x:v>
      </x:c>
      <x:c r="K13" s="200" t="str">
        <x:v>Analyst classifies it as unusual and removes it from recurring [B]/operating income; highlighted.</x:v>
      </x:c>
      <x:c r="L13" s="200" t="str">
        <x:v>Reformulated IS, ROI/ROE</x:v>
      </x:c>
      <x:c r="M13" s="200" t="str">
        <x:v>For supervisor review</x:v>
      </x:c>
    </x:row>
    <x:row r="14">
      <x:c r="A14" s="130"/>
      <x:c r="B14" s="200" t="str">
        <x:v>M1-009</x:v>
      </x:c>
      <x:c r="C14" s="200" t="str">
        <x:v>03/10/2026</x:v>
      </x:c>
      <x:c r="D14" s="200" t="str">
        <x:v>Module 1 v1.0</x:v>
      </x:c>
      <x:c r="E14" s="200" t="str">
        <x:v>Current</x:v>
      </x:c>
      <x:c r="F14" s="200" t="str">
        <x:v>Penman rate</x:v>
      </x:c>
      <x:c r="G14" s="200" t="str">
        <x:v>Short-term interest expense is not separately disclosed.</x:v>
      </x:c>
      <x:c r="H14" s="200" t="str">
        <x:v>Session 6 says estimate / market rate if unavailable</x:v>
      </x:c>
      <x:c r="I14" s="200" t="str">
        <x:v>Which short-term rate?</x:v>
      </x:c>
      <x:c r="J14" s="200" t="str">
        <x:v>No explicit rate provided.</x:v>
      </x:c>
      <x:c r="K14" s="200" t="str">
        <x:v>Proxy = interest expense / gross financial liabilities, after tax; highlighted.</x:v>
      </x:c>
      <x:c r="L14" s="200" t="str">
        <x:v>Penman decomposition</x:v>
      </x:c>
      <x:c r="M14" s="200" t="str">
        <x:v>For supervisor review</x:v>
      </x:c>
    </x:row>
    <x:row r="15">
      <x:c r="A15" s="130"/>
      <x:c r="B15" s="200" t="str">
        <x:v>M1-010</x:v>
      </x:c>
      <x:c r="C15" s="200" t="str">
        <x:v>03/10/2026</x:v>
      </x:c>
      <x:c r="D15" s="200" t="str">
        <x:v>Module 1 v1.0</x:v>
      </x:c>
      <x:c r="E15" s="200" t="str">
        <x:v>Current</x:v>
      </x:c>
      <x:c r="F15" s="200" t="str">
        <x:v>Structural provisions</x:v>
      </x:c>
      <x:c r="G15" s="200" t="str">
        <x:v>Structural-measures provision mixes termination indemnities and partial retirement; not all may be unusual.</x:v>
      </x:c>
      <x:c r="H15" s="200" t="str">
        <x:v>AR Notes 28; Session 9 provision coherence</x:v>
      </x:c>
      <x:c r="I15" s="200" t="str">
        <x:v>Keep all in NOWC or separate?</x:v>
      </x:c>
      <x:c r="J15" s="200" t="str">
        <x:v>No final instruction.</x:v>
      </x:c>
      <x:c r="K15" s="200" t="str">
        <x:v>Whole structural-measures provision separated from recurring operating liabilities; highlighted.</x:v>
      </x:c>
      <x:c r="L15" s="200" t="str">
        <x:v>Managerial BS, Penman</x:v>
      </x:c>
      <x:c r="M15" s="200" t="str">
        <x:v>For supervisor review</x:v>
      </x:c>
    </x:row>
    <x:row r="16">
      <x:c r="A16" s="130"/>
      <x:c r="B16" s="194" t="str">
        <x:v>M1-011</x:v>
      </x:c>
      <x:c r="C16" s="194" t="str">
        <x:v>03/10/2026</x:v>
      </x:c>
      <x:c r="D16" s="194" t="str">
        <x:v>Module 1 v1.0</x:v>
      </x:c>
      <x:c r="E16" s="194" t="str">
        <x:v>Current</x:v>
      </x:c>
      <x:c r="F16" s="194" t="str">
        <x:v>Delivery workflow</x:v>
      </x:c>
      <x:c r="G16" s="194" t="str">
        <x:v>Original module required resolving issues before final file.</x:v>
      </x:c>
      <x:c r="H16" s="194" t="str">
        <x:v>Supervisor message in current chat</x:v>
      </x:c>
      <x:c r="I16" s="194" t="str">
        <x:v>Deliver despite unresolved issues?</x:v>
      </x:c>
      <x:c r="J16" s="194" t="str">
        <x:v>Supervisor explicitly instructed to produce the workbook and highlight unclear categories/parameters inside it.</x:v>
      </x:c>
      <x:c r="K16" s="194" t="str">
        <x:v>Workbook delivered with review flags and Decisions to revisit tab.</x:v>
      </x:c>
      <x:c r="L16" s="194" t="str">
        <x:v>Entire workbook</x:v>
      </x:c>
      <x:c r="M16" s="264" t="str">
        <x:v>Resolved</x:v>
      </x:c>
    </x:row>
    <x:row r="17">
      <x:c r="A17" s="130"/>
      <x:c r="B17" s="194" t="str">
        <x:v>M1-013</x:v>
      </x:c>
      <x:c r="C17" s="194" t="str">
        <x:v>03/10/2026</x:v>
      </x:c>
      <x:c r="D17" s="194" t="str">
        <x:v>Module 1 self-check</x:v>
      </x:c>
      <x:c r="E17" s="194" t="str">
        <x:v>Feedback pass</x:v>
      </x:c>
      <x:c r="F17" s="194" t="str">
        <x:v>ROE decomposition</x:v>
      </x:c>
      <x:c r="G17" s="194" t="str">
        <x:v>NFO perimeter understated net financial assets because equity-method and held-for-sale assets were left outside NFO.</x:v>
      </x:c>
      <x:c r="H17" s="194" t="str">
        <x:v>Instructor technical note, weakness 3; Session 4/6</x:v>
      </x:c>
      <x:c r="I17" s="194" t="str">
        <x:v>No supervisor input required for technical correction.</x:v>
      </x:c>
      <x:c r="J17" s="194" t="str">
        <x:v>n/a</x:v>
      </x:c>
      <x:c r="K17" s="194" t="str">
        <x:v>Moved all non-operating assets into NFO/NFA for MM/Penman; income [B] correspondingly included in net financial income.</x:v>
      </x:c>
      <x:c r="L17" s="194" t="str">
        <x:v>Managerial BS, MM, Penman</x:v>
      </x:c>
      <x:c r="M17" s="194" t="str">
        <x:v>Resolved</x:v>
      </x:c>
    </x:row>
    <x:row r="18">
      <x:c r="A18" s="130"/>
      <x:c r="B18" s="194" t="str">
        <x:v>M1-014</x:v>
      </x:c>
      <x:c r="C18" s="194" t="str">
        <x:v>03/10/2026</x:v>
      </x:c>
      <x:c r="D18" s="194" t="str">
        <x:v>Module 1 self-check</x:v>
      </x:c>
      <x:c r="E18" s="194" t="str">
        <x:v>Feedback pass</x:v>
      </x:c>
      <x:c r="F18" s="194" t="str">
        <x:v>Reformulated income statement</x:v>
      </x:c>
      <x:c r="G18" s="194" t="str">
        <x:v>Recurring operating income was anchored to Rheinmetall's management 'operating result', which excludes PPA and special items.</x:v>
      </x:c>
      <x:c r="H18" s="194" t="str">
        <x:v>Instructor technical note, strengths/weaknesses; AR operating-result reconciliation</x:v>
      </x:c>
      <x:c r="I18" s="194" t="str">
        <x:v>No supervisor input required for technical correction.</x:v>
      </x:c>
      <x:c r="J18" s="194" t="str">
        <x:v>n/a</x:v>
      </x:c>
      <x:c r="K18" s="194" t="str">
        <x:v>Management KPI changed to memo-only. PPA kept recurring; restructuring kept recurring; core/non-core rebuilt from reported EBIT and note-level unusual items.</x:v>
      </x:c>
      <x:c r="L18" s="194" t="str">
        <x:v>Reformulated IS, cost structure, ROI/ROE</x:v>
      </x:c>
      <x:c r="M18" s="194" t="str">
        <x:v>Resolved</x:v>
      </x:c>
    </x:row>
    <x:row r="19">
      <x:c r="A19" s="130"/>
      <x:c r="B19" s="194"/>
      <x:c r="C19" s="194"/>
      <x:c r="D19" s="194"/>
      <x:c r="E19" s="194"/>
      <x:c r="F19" s="194"/>
      <x:c r="G19" s="194"/>
      <x:c r="H19" s="194"/>
      <x:c r="I19" s="194"/>
      <x:c r="J19" s="194"/>
      <x:c r="K19" s="194"/>
      <x:c r="L19" s="194"/>
      <x:c r="M19" s="194"/>
    </x:row>
    <x:row r="20">
      <x:c r="A20" s="130"/>
      <x:c r="B20" s="194"/>
      <x:c r="C20" s="194"/>
      <x:c r="D20" s="194"/>
      <x:c r="E20" s="194"/>
      <x:c r="F20" s="194"/>
      <x:c r="G20" s="194"/>
      <x:c r="H20" s="194"/>
      <x:c r="I20" s="194"/>
      <x:c r="J20" s="194"/>
      <x:c r="K20" s="194"/>
      <x:c r="L20" s="194"/>
      <x:c r="M20" s="194"/>
    </x:row>
    <x:row r="21">
      <x:c r="A21" s="130"/>
      <x:c r="B21" s="194"/>
      <x:c r="C21" s="194"/>
      <x:c r="D21" s="194"/>
      <x:c r="E21" s="194"/>
      <x:c r="F21" s="194"/>
      <x:c r="G21" s="194"/>
      <x:c r="H21" s="194"/>
      <x:c r="I21" s="194"/>
      <x:c r="J21" s="194"/>
      <x:c r="K21" s="194"/>
      <x:c r="L21" s="194"/>
      <x:c r="M21" s="194"/>
    </x:row>
    <x:row r="22">
      <x:c r="A22" s="130"/>
      <x:c r="B22" s="194"/>
      <x:c r="C22" s="194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4"/>
    </x:row>
    <x:row r="23">
      <x:c r="A23" s="130"/>
      <x:c r="B23" s="194"/>
      <x:c r="C23" s="194"/>
      <x:c r="D23" s="194"/>
      <x:c r="E23" s="194"/>
      <x:c r="F23" s="194"/>
      <x:c r="G23" s="194"/>
      <x:c r="H23" s="194"/>
      <x:c r="I23" s="194"/>
      <x:c r="J23" s="194"/>
      <x:c r="K23" s="194"/>
      <x:c r="L23" s="194"/>
      <x:c r="M23" s="194"/>
    </x:row>
    <x:row r="24">
      <x:c r="A24" s="130"/>
      <x:c r="B24" s="194"/>
      <x:c r="C24" s="194"/>
      <x:c r="D24" s="194"/>
      <x:c r="E24" s="194"/>
      <x:c r="F24" s="194"/>
      <x:c r="G24" s="194"/>
      <x:c r="H24" s="194"/>
      <x:c r="I24" s="194"/>
      <x:c r="J24" s="194"/>
      <x:c r="K24" s="194"/>
      <x:c r="L24" s="194"/>
      <x:c r="M24" s="194"/>
    </x:row>
    <x:row r="25">
      <x:c r="A25" s="130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</x:row>
    <x:row r="26">
      <x:c r="A26" s="130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</x:row>
    <x:row r="27">
      <x:c r="A27" s="130"/>
      <x:c r="B27" s="194"/>
      <x:c r="C27" s="194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4"/>
    </x:row>
    <x:row r="28">
      <x:c r="A28" s="130"/>
      <x:c r="B28" s="194"/>
      <x:c r="C28" s="194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4"/>
    </x:row>
    <x:row r="29">
      <x:c r="A29" s="130"/>
      <x:c r="B29" s="194"/>
      <x:c r="C29" s="194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4"/>
    </x:row>
    <x:row r="30">
      <x:c r="A30" s="130"/>
      <x:c r="B30" s="194"/>
      <x:c r="C30" s="194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4"/>
    </x:row>
    <x:row r="31">
      <x:c r="A31" s="130"/>
      <x:c r="B31" s="194"/>
      <x:c r="C31" s="194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4"/>
    </x:row>
    <x:row r="32">
      <x:c r="A32" s="130"/>
      <x:c r="B32" s="194"/>
      <x:c r="C32" s="194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4"/>
    </x:row>
    <x:row r="33">
      <x:c r="A33" s="130"/>
      <x:c r="B33" s="194"/>
      <x:c r="C33" s="194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4"/>
    </x:row>
    <x:row r="34">
      <x:c r="A34" s="130"/>
      <x:c r="B34" s="194"/>
      <x:c r="C34" s="194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4"/>
    </x:row>
    <x:row r="35">
      <x:c r="A35" s="130"/>
      <x:c r="B35" s="194"/>
      <x:c r="C35" s="194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4"/>
    </x:row>
    <x:row r="36">
      <x:c r="A36" s="130"/>
      <x:c r="B36" s="194"/>
      <x:c r="C36" s="194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4"/>
    </x:row>
    <x:row r="37">
      <x:c r="A37" s="130"/>
      <x:c r="B37" s="194"/>
      <x:c r="C37" s="194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4"/>
    </x:row>
    <x:row r="38">
      <x:c r="A38" s="130"/>
      <x:c r="B38" s="194"/>
      <x:c r="C38" s="194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4"/>
    </x:row>
    <x:row r="39">
      <x:c r="A39" s="130"/>
      <x:c r="B39" s="194"/>
      <x:c r="C39" s="194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4"/>
    </x:row>
    <x:row r="40">
      <x:c r="A40" s="130"/>
      <x:c r="B40" s="194"/>
      <x:c r="C40" s="194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4"/>
    </x:row>
    <x:row r="41">
      <x:c r="A41" s="130"/>
      <x:c r="B41" s="194"/>
      <x:c r="C41" s="194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4"/>
    </x:row>
    <x:row r="42">
      <x:c r="A42" s="130"/>
      <x:c r="B42" s="194"/>
      <x:c r="C42" s="194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4"/>
    </x:row>
    <x:row r="43">
      <x:c r="A43" s="130"/>
      <x:c r="B43" s="194"/>
      <x:c r="C43" s="194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4"/>
    </x:row>
    <x:row r="44">
      <x:c r="A44" s="130"/>
      <x:c r="B44" s="194"/>
      <x:c r="C44" s="194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4"/>
    </x:row>
    <x:row r="45">
      <x:c r="A45" s="130"/>
      <x:c r="B45" s="194"/>
      <x:c r="C45" s="194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4"/>
    </x:row>
    <x:row r="46">
      <x:c r="A46" s="130"/>
      <x:c r="B46" s="194"/>
      <x:c r="C46" s="194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4"/>
    </x:row>
    <x:row r="47">
      <x:c r="A47" s="130"/>
      <x:c r="B47" s="194"/>
      <x:c r="C47" s="194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4"/>
    </x:row>
    <x:row r="48">
      <x:c r="A48" s="130"/>
      <x:c r="B48" s="194"/>
      <x:c r="C48" s="194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4"/>
    </x:row>
    <x:row r="49">
      <x:c r="A49" s="130"/>
      <x:c r="B49" s="194"/>
      <x:c r="C49" s="194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4"/>
    </x:row>
    <x:row r="50">
      <x:c r="A50" s="130"/>
      <x:c r="B50" s="194"/>
      <x:c r="C50" s="194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4"/>
    </x:row>
    <x:row r="51">
      <x:c r="A51" s="130"/>
      <x:c r="B51" s="194"/>
      <x:c r="C51" s="194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4"/>
    </x:row>
    <x:row r="52">
      <x:c r="A52" s="130"/>
      <x:c r="B52" s="194"/>
      <x:c r="C52" s="194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4"/>
    </x:row>
    <x:row r="53">
      <x:c r="A53" s="130"/>
      <x:c r="B53" s="194"/>
      <x:c r="C53" s="194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4"/>
    </x:row>
    <x:row r="54">
      <x:c r="A54" s="130"/>
      <x:c r="B54" s="194"/>
      <x:c r="C54" s="194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4"/>
    </x:row>
    <x:row r="55">
      <x:c r="A55" s="130"/>
      <x:c r="B55" s="194"/>
      <x:c r="C55" s="194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4"/>
    </x:row>
    <x:row r="56">
      <x:c r="A56" s="130"/>
      <x:c r="B56" s="194"/>
      <x:c r="C56" s="194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4"/>
    </x:row>
    <x:row r="57">
      <x:c r="A57" s="130"/>
      <x:c r="B57" s="194"/>
      <x:c r="C57" s="194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4"/>
    </x:row>
    <x:row r="58">
      <x:c r="A58" s="130"/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4"/>
    </x:row>
    <x:row r="59">
      <x:c r="A59" s="130"/>
      <x:c r="B59" s="194"/>
      <x:c r="C59" s="194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4"/>
    </x:row>
    <x:row r="60">
      <x:c r="A60" s="130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</x:row>
    <x:row r="61">
      <x:c r="A61" s="130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</x:row>
    <x:row r="62">
      <x:c r="A62" s="130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</x:row>
    <x:row r="63">
      <x:c r="A63" s="130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</x:row>
    <x:row r="64">
      <x:c r="A64" s="130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</x:row>
    <x:row r="65">
      <x:c r="A65" s="130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</x:row>
    <x:row r="66">
      <x:c r="A66" s="130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</x:row>
    <x:row r="67">
      <x:c r="A67" s="130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</x:row>
    <x:row r="68">
      <x:c r="A68" s="130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</x:row>
    <x:row r="69">
      <x:c r="A69" s="130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</x:row>
    <x:row r="70">
      <x:c r="A70" s="130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</x:row>
    <x:row r="71">
      <x:c r="A71" s="130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</x:row>
    <x:row r="72">
      <x:c r="A72" s="130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</x:row>
    <x:row r="73">
      <x:c r="A73" s="130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</x:row>
    <x:row r="74">
      <x:c r="A74" s="130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</x:row>
    <x:row r="75">
      <x:c r="A75" s="130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</x:row>
    <x:row r="76">
      <x:c r="A76" s="130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</x:row>
    <x:row r="77">
      <x:c r="A77" s="130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</x:row>
    <x:row r="78">
      <x:c r="A78" s="130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</x:row>
    <x:row r="79">
      <x:c r="A79" s="130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</x:row>
    <x:row r="80">
      <x:c r="A80" s="130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</x:row>
    <x:row r="81">
      <x:c r="A81" s="130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</x:row>
    <x:row r="82">
      <x:c r="A82" s="130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</x:row>
    <x:row r="83">
      <x:c r="A83" s="130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</x:row>
    <x:row r="84">
      <x:c r="A84" s="130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</x:row>
    <x:row r="85">
      <x:c r="A85" s="130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</x:row>
    <x:row r="86">
      <x:c r="A86" s="130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</x:row>
    <x:row r="87">
      <x:c r="A87" s="130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</x:row>
    <x:row r="88">
      <x:c r="A88" s="130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</x:row>
    <x:row r="89">
      <x:c r="A89" s="130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</x:row>
    <x:row r="90">
      <x:c r="A90" s="130"/>
      <x:c r="B90" s="194"/>
      <x:c r="C90" s="194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4"/>
    </x:row>
    <x:row r="91">
      <x:c r="A91" s="130"/>
      <x:c r="B91" s="194"/>
      <x:c r="C91" s="194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4"/>
    </x:row>
    <x:row r="92">
      <x:c r="A92" s="130"/>
      <x:c r="B92" s="194"/>
      <x:c r="C92" s="194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4"/>
    </x:row>
    <x:row r="93">
      <x:c r="A93" s="130"/>
      <x:c r="B93" s="194"/>
      <x:c r="C93" s="194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4"/>
    </x:row>
    <x:row r="94">
      <x:c r="A94" s="130"/>
      <x:c r="B94" s="194"/>
      <x:c r="C94" s="194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4"/>
    </x:row>
    <x:row r="95">
      <x:c r="A95" s="130"/>
      <x:c r="B95" s="194"/>
      <x:c r="C95" s="194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4"/>
    </x:row>
    <x:row r="96">
      <x:c r="A96" s="130"/>
      <x:c r="B96" s="194"/>
      <x:c r="C96" s="194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4"/>
    </x:row>
    <x:row r="97">
      <x:c r="A97" s="130"/>
      <x:c r="B97" s="194"/>
      <x:c r="C97" s="194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4"/>
    </x:row>
    <x:row r="98">
      <x:c r="A98" s="130"/>
      <x:c r="B98" s="194"/>
      <x:c r="C98" s="194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4"/>
    </x:row>
    <x:row r="99">
      <x:c r="A99" s="130"/>
      <x:c r="B99" s="194"/>
      <x:c r="C99" s="194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4"/>
    </x:row>
    <x:row r="100">
      <x:c r="A100" s="130"/>
      <x:c r="B100" s="194"/>
      <x:c r="C100" s="194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4"/>
    </x:row>
    <x:row r="101">
      <x:c r="A101" s="130"/>
      <x:c r="B101" s="194"/>
      <x:c r="C101" s="194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4"/>
    </x:row>
    <x:row r="102">
      <x:c r="A102" s="130"/>
      <x:c r="B102" s="194"/>
      <x:c r="C102" s="194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4"/>
    </x:row>
    <x:row r="103">
      <x:c r="A103" s="130"/>
      <x:c r="B103" s="194"/>
      <x:c r="C103" s="194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4"/>
    </x:row>
    <x:row r="104">
      <x:c r="A104" s="130"/>
      <x:c r="B104" s="194"/>
      <x:c r="C104" s="194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4"/>
    </x:row>
    <x:row r="105">
      <x:c r="A105" s="130"/>
      <x:c r="B105" s="194"/>
      <x:c r="C105" s="194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4"/>
    </x:row>
    <x:row r="106">
      <x:c r="A106" s="130"/>
      <x:c r="B106" s="194"/>
      <x:c r="C106" s="194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4"/>
    </x:row>
    <x:row r="107">
      <x:c r="A107" s="130"/>
      <x:c r="B107" s="194"/>
      <x:c r="C107" s="194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4"/>
    </x:row>
    <x:row r="108">
      <x:c r="A108" s="130"/>
      <x:c r="B108" s="194"/>
      <x:c r="C108" s="194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4"/>
    </x:row>
    <x:row r="109">
      <x:c r="A109" s="130"/>
      <x:c r="B109" s="194"/>
      <x:c r="C109" s="194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4"/>
    </x:row>
    <x:row r="110">
      <x:c r="A110" s="130"/>
      <x:c r="B110" s="194"/>
      <x:c r="C110" s="194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4"/>
    </x:row>
    <x:row r="111">
      <x:c r="A111" s="130"/>
      <x:c r="B111" s="194"/>
      <x:c r="C111" s="194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4"/>
    </x:row>
    <x:row r="112">
      <x:c r="A112" s="130"/>
      <x:c r="B112" s="194"/>
      <x:c r="C112" s="194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4"/>
    </x:row>
    <x:row r="113">
      <x:c r="A113" s="130"/>
      <x:c r="B113" s="194"/>
      <x:c r="C113" s="194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4"/>
    </x:row>
    <x:row r="114">
      <x:c r="A114" s="130"/>
      <x:c r="B114" s="194"/>
      <x:c r="C114" s="194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4"/>
    </x:row>
    <x:row r="115">
      <x:c r="A115" s="130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/>
      <x:c r="B117" s="194"/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</x:row>
    <x:row r="118">
      <x:c r="A118" s="130"/>
      <x:c r="B118" s="194"/>
      <x:c r="C118" s="194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4"/>
    </x:row>
    <x:row r="119">
      <x:c r="A119" s="130"/>
      <x:c r="B119" s="194"/>
      <x:c r="C119" s="194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4"/>
    </x:row>
    <x:row r="120">
      <x:c r="A120" s="130"/>
      <x:c r="B120" s="194"/>
      <x:c r="C120" s="194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4"/>
    </x:row>
    <x:row r="121">
      <x:c r="A121" s="130"/>
      <x:c r="B121" s="194"/>
      <x:c r="C121" s="194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4"/>
    </x:row>
    <x:row r="122">
      <x:c r="A122" s="130"/>
      <x:c r="B122" s="194"/>
      <x:c r="C122" s="194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4"/>
    </x:row>
    <x:row r="123">
      <x:c r="A123" s="130"/>
      <x:c r="B123" s="194"/>
      <x:c r="C123" s="194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4"/>
    </x:row>
    <x:row r="124">
      <x:c r="A124" s="130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</x:row>
    <x:row r="125">
      <x:c r="A125" s="130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</x:row>
    <x:row r="126">
      <x:c r="A126" s="130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0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</x:row>
    <x:row r="130">
      <x:c r="A130" s="130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</x:row>
    <x:row r="131">
      <x:c r="A131" s="130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</x:row>
    <x:row r="132">
      <x:c r="A132" s="130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</x:row>
    <x:row r="133">
      <x:c r="A133" s="130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</x:row>
    <x:row r="134">
      <x:c r="A134" s="130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</x:row>
    <x:row r="135">
      <x:c r="A135" s="130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</x:row>
    <x:row r="136">
      <x:c r="A136" s="130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</x:row>
    <x:row r="137">
      <x:c r="A137" s="130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</x:row>
    <x:row r="138">
      <x:c r="A138" s="130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0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</x:row>
    <x:row r="142">
      <x:c r="A142" s="130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</x:row>
    <x:row r="143">
      <x:c r="A143" s="130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</x:row>
    <x:row r="144">
      <x:c r="A144" s="130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</x:row>
    <x:row r="145">
      <x:c r="A145" s="130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</x:row>
    <x:row r="146">
      <x:c r="A146" s="130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</x:row>
    <x:row r="147">
      <x:c r="A147" s="130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</x:row>
    <x:row r="148">
      <x:c r="A148" s="130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0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</x:row>
    <x:row r="151">
      <x:c r="A151" s="130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45" hidden="0" customWidth="1"/>
    <x:col min="3" max="3" width="13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72" hidden="0" customWidth="1"/>
    <x:col min="11" max="11" width="18" hidden="0" customWidth="1"/>
  </x:cols>
  <x:sheetData>
    <x:row r="1">
      <x:c r="A1" s="130"/>
      <x:c r="B1" s="194"/>
      <x:c r="C1" s="194"/>
      <x:c r="D1" s="194"/>
      <x:c r="E1" s="194"/>
      <x:c r="F1" s="194"/>
      <x:c r="G1" s="194"/>
      <x:c r="H1" s="159"/>
      <x:c r="I1" s="159"/>
      <x:c r="J1" s="159"/>
      <x:c r="K1" s="159"/>
      <x:c r="L1" s="194"/>
      <x:c r="M1" s="194"/>
    </x:row>
    <x:row r="2">
      <x:c r="A2" s="130"/>
      <x:c r="B2" s="195"/>
      <x:c r="C2" s="195"/>
      <x:c r="D2" s="195"/>
      <x:c r="E2" s="195"/>
      <x:c r="F2" s="195"/>
      <x:c r="G2" s="195"/>
      <x:c r="H2" s="195"/>
      <x:c r="I2" s="195"/>
      <x:c r="J2" s="195"/>
      <x:c r="K2" s="194"/>
      <x:c r="L2" s="194"/>
      <x:c r="M2" s="194"/>
    </x:row>
    <x:row r="3">
      <x:c r="A3" s="130"/>
      <x:c r="B3" s="195"/>
      <x:c r="C3" s="195"/>
      <x:c r="D3" s="195"/>
      <x:c r="E3" s="195"/>
      <x:c r="F3" s="195"/>
      <x:c r="G3" s="195"/>
      <x:c r="H3" s="195"/>
      <x:c r="I3" s="195"/>
      <x:c r="J3" s="195"/>
      <x:c r="K3" s="194"/>
      <x:c r="L3" s="194"/>
      <x:c r="M3" s="194"/>
    </x:row>
    <x:row r="4">
      <x:c r="A4" s="130"/>
      <x:c r="B4" s="195"/>
      <x:c r="C4" s="195"/>
      <x:c r="D4" s="195"/>
      <x:c r="E4" s="195"/>
      <x:c r="F4" s="195"/>
      <x:c r="G4" s="195"/>
      <x:c r="H4" s="195"/>
      <x:c r="I4" s="195"/>
      <x:c r="J4" s="195"/>
      <x:c r="K4" s="194"/>
      <x:c r="L4" s="194"/>
      <x:c r="M4" s="194"/>
    </x:row>
    <x:row r="5">
      <x:c r="A5" s="130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</x:row>
    <x:row r="6">
      <x:c r="A6" s="130"/>
      <x:c r="B6" s="196" t="str">
        <x:v>Decision / parameter</x:v>
      </x:c>
      <x:c r="C6" s="196" t="str">
        <x:v>ID</x:v>
      </x:c>
      <x:c r="D6" s="196" t="str">
        <x:v>Status</x:v>
      </x:c>
      <x:c r="E6" s="196" t="str">
        <x:v>2023</x:v>
      </x:c>
      <x:c r="F6" s="196" t="str">
        <x:v>2024</x:v>
      </x:c>
      <x:c r="G6" s="196" t="str">
        <x:v>2025</x:v>
      </x:c>
      <x:c r="H6" s="196" t="str">
        <x:v>Current treatment</x:v>
      </x:c>
      <x:c r="I6" s="196" t="str">
        <x:v>Why unclear / what to verify</x:v>
      </x:c>
      <x:c r="J6" s="196" t="str">
        <x:v>Recommendation for supervisor review</x:v>
      </x:c>
      <x:c r="K6" s="196" t="str">
        <x:v>Source basis</x:v>
      </x:c>
      <x:c r="L6" s="194"/>
      <x:c r="M6" s="194"/>
    </x:row>
    <x:row r="7">
      <x:c r="A7" s="130"/>
      <x:c r="B7" s="200" t="str">
        <x:v>Tax assets and liabilities</x:v>
      </x:c>
      <x:c r="C7" s="200" t="str">
        <x:v>M1-006</x:v>
      </x:c>
      <x:c r="D7" s="200" t="str">
        <x:v>OPEN</x:v>
      </x:c>
      <x:c r="E7" s="200" t="str"/>
      <x:c r="F7" s="200" t="str"/>
      <x:c r="G7" s="200" t="str"/>
      <x:c r="H7" s="200" t="str">
        <x:v>Separate Net Tax Position in main BS; tax-netted technical IC in ROE</x:v>
      </x:c>
      <x:c r="I7" s="200" t="str">
        <x:v>Course gives two valid alternatives.</x:v>
      </x:c>
      <x:c r="J7" s="200" t="str">
        <x:v>Choose one convention for final hand-in and apply consistently.</x:v>
      </x:c>
      <x:c r="K7" s="200" t="str">
        <x:v>Session 4 slide 18</x:v>
      </x:c>
      <x:c r="L7" s="194"/>
      <x:c r="M7" s="194"/>
    </x:row>
    <x:row r="8">
      <x:c r="A8" s="130"/>
      <x:c r="B8" s="275" t="str">
        <x:v>PPA effects as unusual</x:v>
      </x:c>
      <x:c r="C8" s="275" t="str">
        <x:v>M1-007</x:v>
      </x:c>
      <x:c r="D8" s="275" t="str">
        <x:v>RESOLVED</x:v>
      </x:c>
      <x:c r="E8" s="275" t="n">
        <x:v>-70</x:v>
      </x:c>
      <x:c r="F8" s="275" t="n">
        <x:v>-125</x:v>
      </x:c>
      <x:c r="G8" s="275" t="n">
        <x:v>-167</x:v>
      </x:c>
      <x:c r="H8" s="275" t="str">
        <x:v>PPA amortization/depreciation remains in recurring D&amp;A; PPA is memo-only, not an unusual-item adjustment.</x:v>
      </x:c>
      <x:c r="I8" s="275" t="str">
        <x:v>Instructor feedback's accepted workbook treatment keeps PPA inside recurring D&amp;A; using the management operating-result KPI was the source of overstatement.</x:v>
      </x:c>
      <x:c r="J8" s="275" t="str">
        <x:v>No supervisor input required for the self-check correction.</x:v>
      </x:c>
      <x:c r="K8" s="275" t="str">
        <x:v>AR management reconciliations; Session 2</x:v>
      </x:c>
      <x:c r="L8" s="194"/>
      <x:c r="M8" s="194"/>
    </x:row>
    <x:row r="9">
      <x:c r="A9" s="130"/>
      <x:c r="B9" s="275" t="str">
        <x:v>AIM disposal gain</x:v>
      </x:c>
      <x:c r="C9" s="275" t="str">
        <x:v>M1-008</x:v>
      </x:c>
      <x:c r="D9" s="275" t="str">
        <x:v>RESOLVED</x:v>
      </x:c>
      <x:c r="E9" s="275" t="n">
        <x:v>0</x:v>
      </x:c>
      <x:c r="F9" s="275" t="n">
        <x:v>0</x:v>
      </x:c>
      <x:c r="G9" s="275" t="n">
        <x:v>46</x:v>
      </x:c>
      <x:c r="H9" s="275" t="str">
        <x:v>AIM disposal gain remains unusual and is removed from recurring equity-method income.</x:v>
      </x:c>
      <x:c r="I9" s="275" t="str">
        <x:v>Management left it inside operating result; course treatment of disposals points to unusual.</x:v>
      </x:c>
      <x:c r="J9" s="275" t="str">
        <x:v>Instructor feedback explicitly praised identification of the €46m AIM gain.</x:v>
      </x:c>
      <x:c r="K9" s="275" t="str">
        <x:v>AR2025 p.55; Note 22 p.229</x:v>
      </x:c>
      <x:c r="L9" s="194"/>
      <x:c r="M9" s="194"/>
    </x:row>
    <x:row r="10">
      <x:c r="A10" s="130"/>
      <x:c r="B10" s="200" t="str">
        <x:v>Penman short-term borrowing rate</x:v>
      </x:c>
      <x:c r="C10" s="200" t="str">
        <x:v>M1-009</x:v>
      </x:c>
      <x:c r="D10" s="200" t="str">
        <x:v>OPEN</x:v>
      </x:c>
      <x:c r="E10" s="200" t="str"/>
      <x:c r="F10" s="200" t="str"/>
      <x:c r="G10" s="200" t="str"/>
      <x:c r="H10" s="200" t="str">
        <x:v>Interest expense / gross financial liabilities, after tax</x:v>
      </x:c>
      <x:c r="I10" s="200" t="str">
        <x:v>Short-term interest expense not disclosed.</x:v>
      </x:c>
      <x:c r="J10" s="200" t="str">
        <x:v>Replace with a supervisor-selected market/short-term rate if preferred.</x:v>
      </x:c>
      <x:c r="K10" s="200" t="str">
        <x:v>Session 6 Penman slide</x:v>
      </x:c>
      <x:c r="L10" s="194"/>
      <x:c r="M10" s="194"/>
    </x:row>
    <x:row r="11">
      <x:c r="A11" s="130"/>
      <x:c r="B11" s="275" t="str">
        <x:v>Structural-measures provisions</x:v>
      </x:c>
      <x:c r="C11" s="275" t="str">
        <x:v>M1-010</x:v>
      </x:c>
      <x:c r="D11" s="275" t="str">
        <x:v>RESOLVED</x:v>
      </x:c>
      <x:c r="E11" s="275" t="n">
        <x:v>46</x:v>
      </x:c>
      <x:c r="F11" s="275" t="n">
        <x:v>52</x:v>
      </x:c>
      <x:c r="G11" s="275" t="n">
        <x:v>25</x:v>
      </x:c>
      <x:c r="H11" s="275" t="str">
        <x:v>Structural-measures provisions included in recurring operating liabilities; restructuring charge kept recurring.</x:v>
      </x:c>
      <x:c r="I11" s="275" t="str">
        <x:v>Instructor feedback identifies treating recurring restructuring as unusual as a classification weakness.</x:v>
      </x:c>
      <x:c r="J11" s="275" t="str">
        <x:v>No supervisor input required for this correction.</x:v>
      </x:c>
      <x:c r="K11" s="275" t="str">
        <x:v>AR Notes 28; Session 9</x:v>
      </x:c>
      <x:c r="L11" s="194"/>
      <x:c r="M11" s="194"/>
    </x:row>
    <x:row r="12">
      <x:c r="A12" s="130"/>
      <x:c r="B12" s="200" t="str">
        <x:v>2025 insurance refunds</x:v>
      </x:c>
      <x:c r="C12" s="200" t="str">
        <x:v>M1-012</x:v>
      </x:c>
      <x:c r="D12" s="200" t="str">
        <x:v>REVIEW</x:v>
      </x:c>
      <x:c r="E12" s="200" t="str"/>
      <x:c r="F12" s="200" t="str"/>
      <x:c r="G12" s="200" t="n">
        <x:v>118</x:v>
      </x:c>
      <x:c r="H12" s="200" t="str">
        <x:v>Kept in operating income/cost reconstruction</x:v>
      </x:c>
      <x:c r="I12" s="200" t="str">
        <x:v>Note says mainly insurance payments for production losses; cash/recurrence profile not separately disclosed.</x:v>
      </x:c>
      <x:c r="J12" s="200" t="str">
        <x:v>Decide whether any portion is unusual; no unsupported allocation made.</x:v>
      </x:c>
      <x:c r="K12" s="200" t="str">
        <x:v>AR2025 Note 11 p.219</x:v>
      </x:c>
      <x:c r="L12" s="194"/>
      <x:c r="M12" s="194"/>
    </x:row>
    <x:row r="13">
      <x:c r="A13" s="130"/>
      <x:c r="B13" s="194"/>
      <x:c r="C13" s="194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4"/>
    </x:row>
    <x:row r="14">
      <x:c r="A14" s="130"/>
      <x:c r="B14" s="194"/>
      <x:c r="C14" s="194"/>
      <x:c r="D14" s="194"/>
      <x:c r="E14" s="194"/>
      <x:c r="F14" s="194"/>
      <x:c r="G14" s="194"/>
      <x:c r="H14" s="194"/>
      <x:c r="I14" s="194"/>
      <x:c r="J14" s="194"/>
      <x:c r="K14" s="194"/>
      <x:c r="L14" s="194"/>
      <x:c r="M14" s="194"/>
    </x:row>
    <x:row r="15">
      <x:c r="A15" s="130"/>
      <x:c r="B15" s="270" t="str">
        <x:v>Overall status</x:v>
      </x:c>
      <x:c r="C15" s="271" t="str">
        <x:v>DELIVERED WITH REVIEW FLAGS</x:v>
      </x:c>
      <x:c r="D15" s="194"/>
      <x:c r="E15" s="194"/>
      <x:c r="F15" s="194"/>
      <x:c r="G15" s="194"/>
      <x:c r="H15" s="194"/>
      <x:c r="I15" s="194"/>
      <x:c r="J15" s="194"/>
      <x:c r="K15" s="194"/>
      <x:c r="L15" s="194"/>
      <x:c r="M15" s="194"/>
    </x:row>
    <x:row r="16">
      <x:c r="A16" s="130"/>
      <x:c r="B16" s="275" t="str">
        <x:v>NFO perimeter for ROE</x:v>
      </x:c>
      <x:c r="C16" s="275" t="str">
        <x:v>M1-013</x:v>
      </x:c>
      <x:c r="D16" s="275" t="str">
        <x:v>RESOLVED</x:v>
      </x:c>
      <x:c r="E16" s="275"/>
      <x:c r="F16" s="275"/>
      <x:c r="G16" s="275"/>
      <x:c r="H16" s="275" t="str">
        <x:v>NFO = NFP less all non-operating assets, including equity-method investments and held-for-sale net assets.</x:v>
      </x:c>
      <x:c r="I16" s="275" t="str">
        <x:v>Previous workbook kept these assets on the operating side, understating net financial assets.</x:v>
      </x:c>
      <x:c r="J16" s="275" t="str">
        <x:v>Corrected automatically from instructor feedback.</x:v>
      </x:c>
      <x:c r="K16" s="275" t="str">
        <x:v>Session 4/6 + instructor feedback</x:v>
      </x:c>
      <x:c r="L16" s="194"/>
      <x:c r="M16" s="194"/>
    </x:row>
    <x:row r="17">
      <x:c r="A17" s="130"/>
      <x:c r="B17" s="275" t="str">
        <x:v>Management operating-result KPI</x:v>
      </x:c>
      <x:c r="C17" s="275" t="str">
        <x:v>M1-014</x:v>
      </x:c>
      <x:c r="D17" s="275" t="str">
        <x:v>RESOLVED</x:v>
      </x:c>
      <x:c r="E17" s="275"/>
      <x:c r="F17" s="275"/>
      <x:c r="G17" s="275"/>
      <x:c r="H17" s="275" t="str">
        <x:v>Company operating result retained as memo only; recurring [A+B] rebuilt from reported EBIT and identified unusual items.</x:v>
      </x:c>
      <x:c r="I17" s="275" t="str">
        <x:v>Using the non-GAAP operating-result KPI imported management's PPA/special-item adjustments into the course reformulation.</x:v>
      </x:c>
      <x:c r="J17" s="275" t="str">
        <x:v>Corrected automatically from instructor feedback.</x:v>
      </x:c>
      <x:c r="K17" s="275" t="str">
        <x:v>Instructor feedback + Session 2</x:v>
      </x:c>
      <x:c r="L17" s="194"/>
      <x:c r="M17" s="194"/>
    </x:row>
    <x:row r="18">
      <x:c r="A18" s="130"/>
      <x:c r="B18" s="194"/>
      <x:c r="C18" s="194"/>
      <x:c r="D18" s="194"/>
      <x:c r="E18" s="194"/>
      <x:c r="F18" s="194"/>
      <x:c r="G18" s="194"/>
      <x:c r="H18" s="194"/>
      <x:c r="I18" s="194"/>
      <x:c r="J18" s="194"/>
      <x:c r="K18" s="194"/>
      <x:c r="L18" s="194"/>
      <x:c r="M18" s="194"/>
    </x:row>
    <x:row r="19">
      <x:c r="A19" s="130"/>
      <x:c r="B19" s="194"/>
      <x:c r="C19" s="194"/>
      <x:c r="D19" s="194"/>
      <x:c r="E19" s="194"/>
      <x:c r="F19" s="194"/>
      <x:c r="G19" s="194"/>
      <x:c r="H19" s="194"/>
      <x:c r="I19" s="194"/>
      <x:c r="J19" s="194"/>
      <x:c r="K19" s="194"/>
      <x:c r="L19" s="194"/>
      <x:c r="M19" s="194"/>
    </x:row>
    <x:row r="20">
      <x:c r="A20" s="130"/>
      <x:c r="B20" s="194"/>
      <x:c r="C20" s="194"/>
      <x:c r="D20" s="194"/>
      <x:c r="E20" s="194"/>
      <x:c r="F20" s="194"/>
      <x:c r="G20" s="194"/>
      <x:c r="H20" s="194"/>
      <x:c r="I20" s="194"/>
      <x:c r="J20" s="194"/>
      <x:c r="K20" s="194"/>
      <x:c r="L20" s="194"/>
      <x:c r="M20" s="194"/>
    </x:row>
    <x:row r="21">
      <x:c r="A21" s="130"/>
      <x:c r="B21" s="194"/>
      <x:c r="C21" s="194"/>
      <x:c r="D21" s="194"/>
      <x:c r="E21" s="194"/>
      <x:c r="F21" s="194"/>
      <x:c r="G21" s="194"/>
      <x:c r="H21" s="194"/>
      <x:c r="I21" s="194"/>
      <x:c r="J21" s="194"/>
      <x:c r="K21" s="194"/>
      <x:c r="L21" s="194"/>
      <x:c r="M21" s="194"/>
    </x:row>
    <x:row r="22">
      <x:c r="A22" s="130"/>
      <x:c r="B22" s="194"/>
      <x:c r="C22" s="194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4"/>
    </x:row>
    <x:row r="23">
      <x:c r="A23" s="130"/>
      <x:c r="B23" s="194"/>
      <x:c r="C23" s="194"/>
      <x:c r="D23" s="194"/>
      <x:c r="E23" s="194"/>
      <x:c r="F23" s="194"/>
      <x:c r="G23" s="194"/>
      <x:c r="H23" s="194"/>
      <x:c r="I23" s="194"/>
      <x:c r="J23" s="194"/>
      <x:c r="K23" s="194"/>
      <x:c r="L23" s="194"/>
      <x:c r="M23" s="194"/>
    </x:row>
    <x:row r="24">
      <x:c r="A24" s="130"/>
      <x:c r="B24" s="194"/>
      <x:c r="C24" s="194"/>
      <x:c r="D24" s="194"/>
      <x:c r="E24" s="194"/>
      <x:c r="F24" s="194"/>
      <x:c r="G24" s="194"/>
      <x:c r="H24" s="194"/>
      <x:c r="I24" s="194"/>
      <x:c r="J24" s="194"/>
      <x:c r="K24" s="194"/>
      <x:c r="L24" s="194"/>
      <x:c r="M24" s="194"/>
    </x:row>
    <x:row r="25">
      <x:c r="A25" s="130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</x:row>
    <x:row r="26">
      <x:c r="A26" s="130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</x:row>
    <x:row r="27">
      <x:c r="A27" s="130"/>
      <x:c r="B27" s="194"/>
      <x:c r="C27" s="194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4"/>
    </x:row>
    <x:row r="28">
      <x:c r="A28" s="130"/>
      <x:c r="B28" s="194"/>
      <x:c r="C28" s="194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4"/>
    </x:row>
    <x:row r="29">
      <x:c r="A29" s="130"/>
      <x:c r="B29" s="194"/>
      <x:c r="C29" s="194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4"/>
    </x:row>
    <x:row r="30">
      <x:c r="A30" s="130"/>
      <x:c r="B30" s="194"/>
      <x:c r="C30" s="194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4"/>
    </x:row>
    <x:row r="31">
      <x:c r="A31" s="130"/>
      <x:c r="B31" s="194"/>
      <x:c r="C31" s="194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4"/>
    </x:row>
    <x:row r="32">
      <x:c r="A32" s="130"/>
      <x:c r="B32" s="194"/>
      <x:c r="C32" s="194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4"/>
    </x:row>
    <x:row r="33">
      <x:c r="A33" s="130"/>
      <x:c r="B33" s="194"/>
      <x:c r="C33" s="194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4"/>
    </x:row>
    <x:row r="34">
      <x:c r="A34" s="130"/>
      <x:c r="B34" s="194"/>
      <x:c r="C34" s="194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4"/>
    </x:row>
    <x:row r="35">
      <x:c r="A35" s="130"/>
      <x:c r="B35" s="194"/>
      <x:c r="C35" s="194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4"/>
    </x:row>
    <x:row r="36">
      <x:c r="A36" s="130"/>
      <x:c r="B36" s="194"/>
      <x:c r="C36" s="194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4"/>
    </x:row>
    <x:row r="37">
      <x:c r="A37" s="130"/>
      <x:c r="B37" s="194"/>
      <x:c r="C37" s="194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4"/>
    </x:row>
    <x:row r="38">
      <x:c r="A38" s="130"/>
      <x:c r="B38" s="194"/>
      <x:c r="C38" s="194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4"/>
    </x:row>
    <x:row r="39">
      <x:c r="A39" s="130"/>
      <x:c r="B39" s="194"/>
      <x:c r="C39" s="194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4"/>
    </x:row>
    <x:row r="40">
      <x:c r="A40" s="130"/>
      <x:c r="B40" s="194"/>
      <x:c r="C40" s="194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4"/>
    </x:row>
    <x:row r="41">
      <x:c r="A41" s="130"/>
      <x:c r="B41" s="194"/>
      <x:c r="C41" s="194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4"/>
    </x:row>
    <x:row r="42">
      <x:c r="A42" s="130"/>
      <x:c r="B42" s="194"/>
      <x:c r="C42" s="194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4"/>
    </x:row>
    <x:row r="43">
      <x:c r="A43" s="130"/>
      <x:c r="B43" s="194"/>
      <x:c r="C43" s="194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4"/>
    </x:row>
    <x:row r="44">
      <x:c r="A44" s="130"/>
      <x:c r="B44" s="194"/>
      <x:c r="C44" s="194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4"/>
    </x:row>
    <x:row r="45">
      <x:c r="A45" s="130"/>
      <x:c r="B45" s="194"/>
      <x:c r="C45" s="194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4"/>
    </x:row>
    <x:row r="46">
      <x:c r="A46" s="130"/>
      <x:c r="B46" s="194"/>
      <x:c r="C46" s="194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4"/>
    </x:row>
    <x:row r="47">
      <x:c r="A47" s="130"/>
      <x:c r="B47" s="194"/>
      <x:c r="C47" s="194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4"/>
    </x:row>
    <x:row r="48">
      <x:c r="A48" s="130"/>
      <x:c r="B48" s="194"/>
      <x:c r="C48" s="194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4"/>
    </x:row>
    <x:row r="49">
      <x:c r="A49" s="130"/>
      <x:c r="B49" s="194"/>
      <x:c r="C49" s="194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4"/>
    </x:row>
    <x:row r="50">
      <x:c r="A50" s="130"/>
      <x:c r="B50" s="194"/>
      <x:c r="C50" s="194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4"/>
    </x:row>
    <x:row r="51">
      <x:c r="A51" s="130"/>
      <x:c r="B51" s="194"/>
      <x:c r="C51" s="194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4"/>
    </x:row>
    <x:row r="52">
      <x:c r="A52" s="130"/>
      <x:c r="B52" s="194"/>
      <x:c r="C52" s="194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4"/>
    </x:row>
    <x:row r="53">
      <x:c r="A53" s="130"/>
      <x:c r="B53" s="194"/>
      <x:c r="C53" s="194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4"/>
    </x:row>
    <x:row r="54">
      <x:c r="A54" s="130"/>
      <x:c r="B54" s="194"/>
      <x:c r="C54" s="194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4"/>
    </x:row>
    <x:row r="55">
      <x:c r="A55" s="130"/>
      <x:c r="B55" s="194"/>
      <x:c r="C55" s="194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4"/>
    </x:row>
    <x:row r="56">
      <x:c r="A56" s="130"/>
      <x:c r="B56" s="194"/>
      <x:c r="C56" s="194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4"/>
    </x:row>
    <x:row r="57">
      <x:c r="A57" s="130"/>
      <x:c r="B57" s="194"/>
      <x:c r="C57" s="194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4"/>
    </x:row>
    <x:row r="58">
      <x:c r="A58" s="130"/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4"/>
    </x:row>
    <x:row r="59">
      <x:c r="A59" s="130"/>
      <x:c r="B59" s="194"/>
      <x:c r="C59" s="194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4"/>
    </x:row>
    <x:row r="60">
      <x:c r="A60" s="130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</x:row>
    <x:row r="61">
      <x:c r="A61" s="130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</x:row>
    <x:row r="62">
      <x:c r="A62" s="130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</x:row>
    <x:row r="63">
      <x:c r="A63" s="130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</x:row>
    <x:row r="64">
      <x:c r="A64" s="130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</x:row>
    <x:row r="65">
      <x:c r="A65" s="130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</x:row>
    <x:row r="66">
      <x:c r="A66" s="130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</x:row>
    <x:row r="67">
      <x:c r="A67" s="130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</x:row>
    <x:row r="68">
      <x:c r="A68" s="130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</x:row>
    <x:row r="69">
      <x:c r="A69" s="130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</x:row>
    <x:row r="70">
      <x:c r="A70" s="130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</x:row>
    <x:row r="71">
      <x:c r="A71" s="130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</x:row>
    <x:row r="72">
      <x:c r="A72" s="130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</x:row>
    <x:row r="73">
      <x:c r="A73" s="130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</x:row>
    <x:row r="74">
      <x:c r="A74" s="130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</x:row>
    <x:row r="75">
      <x:c r="A75" s="130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</x:row>
    <x:row r="76">
      <x:c r="A76" s="130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</x:row>
    <x:row r="77">
      <x:c r="A77" s="130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</x:row>
    <x:row r="78">
      <x:c r="A78" s="130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</x:row>
    <x:row r="79">
      <x:c r="A79" s="130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</x:row>
    <x:row r="80">
      <x:c r="A80" s="130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</x:row>
    <x:row r="81">
      <x:c r="A81" s="130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</x:row>
    <x:row r="82">
      <x:c r="A82" s="130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</x:row>
    <x:row r="83">
      <x:c r="A83" s="130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</x:row>
    <x:row r="84">
      <x:c r="A84" s="130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</x:row>
    <x:row r="85">
      <x:c r="A85" s="130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</x:row>
    <x:row r="86">
      <x:c r="A86" s="130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</x:row>
    <x:row r="87">
      <x:c r="A87" s="130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</x:row>
    <x:row r="88">
      <x:c r="A88" s="130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</x:row>
    <x:row r="89">
      <x:c r="A89" s="130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</x:row>
    <x:row r="90">
      <x:c r="A90" s="130"/>
      <x:c r="B90" s="194"/>
      <x:c r="C90" s="194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4"/>
    </x:row>
    <x:row r="91">
      <x:c r="A91" s="130"/>
      <x:c r="B91" s="194"/>
      <x:c r="C91" s="194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4"/>
    </x:row>
    <x:row r="92">
      <x:c r="A92" s="130"/>
      <x:c r="B92" s="194"/>
      <x:c r="C92" s="194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4"/>
    </x:row>
    <x:row r="93">
      <x:c r="A93" s="130"/>
      <x:c r="B93" s="194"/>
      <x:c r="C93" s="194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4"/>
    </x:row>
    <x:row r="94">
      <x:c r="A94" s="130"/>
      <x:c r="B94" s="194"/>
      <x:c r="C94" s="194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4"/>
    </x:row>
    <x:row r="95">
      <x:c r="A95" s="130"/>
      <x:c r="B95" s="194"/>
      <x:c r="C95" s="194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4"/>
    </x:row>
    <x:row r="96">
      <x:c r="A96" s="130"/>
      <x:c r="B96" s="194"/>
      <x:c r="C96" s="194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4"/>
    </x:row>
    <x:row r="97">
      <x:c r="A97" s="130"/>
      <x:c r="B97" s="194"/>
      <x:c r="C97" s="194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4"/>
    </x:row>
    <x:row r="98">
      <x:c r="A98" s="130"/>
      <x:c r="B98" s="194"/>
      <x:c r="C98" s="194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4"/>
    </x:row>
    <x:row r="99">
      <x:c r="A99" s="130"/>
      <x:c r="B99" s="194"/>
      <x:c r="C99" s="194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4"/>
    </x:row>
    <x:row r="100">
      <x:c r="A100" s="130"/>
      <x:c r="B100" s="194"/>
      <x:c r="C100" s="194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4"/>
    </x:row>
    <x:row r="101">
      <x:c r="A101" s="130"/>
      <x:c r="B101" s="194"/>
      <x:c r="C101" s="194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4"/>
    </x:row>
    <x:row r="102">
      <x:c r="A102" s="130"/>
      <x:c r="B102" s="194"/>
      <x:c r="C102" s="194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4"/>
    </x:row>
    <x:row r="103">
      <x:c r="A103" s="130"/>
      <x:c r="B103" s="194"/>
      <x:c r="C103" s="194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4"/>
    </x:row>
    <x:row r="104">
      <x:c r="A104" s="130"/>
      <x:c r="B104" s="194"/>
      <x:c r="C104" s="194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4"/>
    </x:row>
    <x:row r="105">
      <x:c r="A105" s="130"/>
      <x:c r="B105" s="194"/>
      <x:c r="C105" s="194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4"/>
    </x:row>
    <x:row r="106">
      <x:c r="A106" s="130"/>
      <x:c r="B106" s="194"/>
      <x:c r="C106" s="194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4"/>
    </x:row>
    <x:row r="107">
      <x:c r="A107" s="130"/>
      <x:c r="B107" s="194"/>
      <x:c r="C107" s="194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4"/>
    </x:row>
    <x:row r="108">
      <x:c r="A108" s="130"/>
      <x:c r="B108" s="194"/>
      <x:c r="C108" s="194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4"/>
    </x:row>
    <x:row r="109">
      <x:c r="A109" s="130"/>
      <x:c r="B109" s="194"/>
      <x:c r="C109" s="194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4"/>
    </x:row>
    <x:row r="110">
      <x:c r="A110" s="130"/>
      <x:c r="B110" s="194"/>
      <x:c r="C110" s="194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4"/>
    </x:row>
    <x:row r="111">
      <x:c r="A111" s="130"/>
      <x:c r="B111" s="194"/>
      <x:c r="C111" s="194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4"/>
    </x:row>
    <x:row r="112">
      <x:c r="A112" s="130"/>
      <x:c r="B112" s="194"/>
      <x:c r="C112" s="194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4"/>
    </x:row>
    <x:row r="113">
      <x:c r="A113" s="130"/>
      <x:c r="B113" s="194"/>
      <x:c r="C113" s="194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4"/>
    </x:row>
    <x:row r="114">
      <x:c r="A114" s="130"/>
      <x:c r="B114" s="194"/>
      <x:c r="C114" s="194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4"/>
    </x:row>
    <x:row r="115">
      <x:c r="A115" s="130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</x:row>
    <x:row r="116">
      <x:c r="A116" s="130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</x:row>
    <x:row r="117">
      <x:c r="A117" s="130"/>
      <x:c r="B117" s="194"/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</x:row>
    <x:row r="118">
      <x:c r="A118" s="130"/>
      <x:c r="B118" s="194"/>
      <x:c r="C118" s="194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4"/>
    </x:row>
    <x:row r="119">
      <x:c r="A119" s="130"/>
      <x:c r="B119" s="194"/>
      <x:c r="C119" s="194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4"/>
    </x:row>
    <x:row r="120">
      <x:c r="A120" s="130"/>
      <x:c r="B120" s="194"/>
      <x:c r="C120" s="194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4"/>
    </x:row>
    <x:row r="121">
      <x:c r="A121" s="130"/>
      <x:c r="B121" s="194"/>
      <x:c r="C121" s="194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4"/>
    </x:row>
    <x:row r="122">
      <x:c r="A122" s="130"/>
      <x:c r="B122" s="194"/>
      <x:c r="C122" s="194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4"/>
    </x:row>
    <x:row r="123">
      <x:c r="A123" s="130"/>
      <x:c r="B123" s="194"/>
      <x:c r="C123" s="194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4"/>
    </x:row>
    <x:row r="124">
      <x:c r="A124" s="130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</x:row>
    <x:row r="125">
      <x:c r="A125" s="130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</x:row>
    <x:row r="126">
      <x:c r="A126" s="130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</x:row>
    <x:row r="127">
      <x:c r="A127" s="130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</x:row>
    <x:row r="128">
      <x:c r="A128" s="130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</x:row>
    <x:row r="129">
      <x:c r="A129" s="130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</x:row>
    <x:row r="130">
      <x:c r="A130" s="130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</x:row>
    <x:row r="131">
      <x:c r="A131" s="130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</x:row>
    <x:row r="132">
      <x:c r="A132" s="130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</x:row>
    <x:row r="133">
      <x:c r="A133" s="130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</x:row>
    <x:row r="134">
      <x:c r="A134" s="130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</x:row>
    <x:row r="135">
      <x:c r="A135" s="130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</x:row>
    <x:row r="136">
      <x:c r="A136" s="130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</x:row>
    <x:row r="137">
      <x:c r="A137" s="130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</x:row>
    <x:row r="138">
      <x:c r="A138" s="130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</x:row>
    <x:row r="139">
      <x:c r="A139" s="130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</x:row>
    <x:row r="140">
      <x:c r="A140" s="130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</x:row>
    <x:row r="141">
      <x:c r="A141" s="130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</x:row>
    <x:row r="142">
      <x:c r="A142" s="130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</x:row>
    <x:row r="143">
      <x:c r="A143" s="130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</x:row>
    <x:row r="144">
      <x:c r="A144" s="130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</x:row>
    <x:row r="145">
      <x:c r="A145" s="130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</x:row>
    <x:row r="146">
      <x:c r="A146" s="130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</x:row>
    <x:row r="147">
      <x:c r="A147" s="130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</x:row>
    <x:row r="148">
      <x:c r="A148" s="130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</x:row>
    <x:row r="149">
      <x:c r="A149" s="130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</x:row>
    <x:row r="150">
      <x:c r="A150" s="130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</x:row>
    <x:row r="151">
      <x:c r="A151" s="130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</x:row>
    <x:row r="152">
      <x:c r="A152" s="130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</x:row>
    <x:row r="153">
      <x:c r="A153" s="130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</x:row>
    <x:row r="154">
      <x:c r="A154" s="130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</x:row>
    <x:row r="155">
      <x:c r="A155" s="130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</x:row>
    <x:row r="156">
      <x:c r="A156" s="130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</x:row>
    <x:row r="157">
      <x:c r="A157" s="130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</x:row>
    <x:row r="158">
      <x:c r="A158" s="130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</x:row>
    <x:row r="159">
      <x:c r="A159" s="130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</x:row>
    <x:row r="160">
      <x:c r="A160" s="130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</x:row>
    <x:row r="161">
      <x:c r="A161" s="130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</x:row>
    <x:row r="162">
      <x:c r="A162" s="130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</x:row>
    <x:row r="163">
      <x:c r="A163" s="130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</x:row>
    <x:row r="164">
      <x:c r="A164" s="130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</x:row>
    <x:row r="165">
      <x:c r="A165" s="130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</x:row>
    <x:row r="166">
      <x:c r="A166" s="130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</x:row>
    <x:row r="167">
      <x:c r="A167" s="130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</x:row>
    <x:row r="168">
      <x:c r="A168" s="130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</x:row>
    <x:row r="169">
      <x:c r="A169" s="130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</x:row>
    <x:row r="170">
      <x:c r="A170" s="130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</x:row>
    <x:row r="171">
      <x:c r="A171" s="130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</x:row>
    <x:row r="172">
      <x:c r="A172" s="130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</x:row>
    <x:row r="173">
      <x:c r="A173" s="130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</x:row>
    <x:row r="174">
      <x:c r="A174" s="130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</x:row>
    <x:row r="175">
      <x:c r="A175" s="130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</x:row>
    <x:row r="176">
      <x:c r="A176" s="130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</x:row>
    <x:row r="177">
      <x:c r="A177" s="130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</x:row>
    <x:row r="178">
      <x:c r="A178" s="130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</x:row>
    <x:row r="179">
      <x:c r="A179" s="130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</x:row>
    <x:row r="180">
      <x:c r="A180" s="130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</x:row>
    <x:row r="181">
      <x:c r="A181" s="130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</x:row>
    <x:row r="182">
      <x:c r="A182" s="130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</x:row>
    <x:row r="183">
      <x:c r="A183" s="130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</x:row>
    <x:row r="184">
      <x:c r="A184" s="130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</x:row>
    <x:row r="185">
      <x:c r="A185" s="130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</x:row>
    <x:row r="186">
      <x:c r="A186" s="130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</x:row>
    <x:row r="187">
      <x:c r="A187" s="130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</x:row>
    <x:row r="188">
      <x:c r="A188" s="130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</x:row>
    <x:row r="189">
      <x:c r="A189" s="130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</x:row>
    <x:row r="190">
      <x:c r="A190" s="130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</x:row>
    <x:row r="191">
      <x:c r="A191" s="130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</x:row>
    <x:row r="192">
      <x:c r="A192" s="130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</x:row>
    <x:row r="193">
      <x:c r="A193" s="130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</x:row>
    <x:row r="194">
      <x:c r="A194" s="130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</x:row>
    <x:row r="195">
      <x:c r="A195" s="130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</x:row>
    <x:row r="196">
      <x:c r="A196" s="130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</x:row>
    <x:row r="197">
      <x:c r="A197" s="130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</x:row>
    <x:row r="198">
      <x:c r="A198" s="130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</x:row>
    <x:row r="199">
      <x:c r="A199" s="130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</x:row>
    <x:row r="200">
      <x:c r="A200" s="130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</x:row>
    <x:row r="201">
      <x:c r="A201" s="130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</x:row>
    <x:row r="202">
      <x:c r="A202" s="130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</x:row>
    <x:row r="203">
      <x:c r="A203" s="130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</x:row>
    <x:row r="204">
      <x:c r="A204" s="130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</x:row>
    <x:row r="205">
      <x:c r="A205" s="130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</x:row>
    <x:row r="206">
      <x:c r="A206" s="130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</x:row>
    <x:row r="207">
      <x:c r="A207" s="130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</x:row>
    <x:row r="208">
      <x:c r="A208" s="130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</x:row>
    <x:row r="209">
      <x:c r="A209" s="130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</x:row>
    <x:row r="210">
      <x:c r="A210" s="130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</x:row>
    <x:row r="211">
      <x:c r="A211" s="130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</x:row>
    <x:row r="212">
      <x:c r="A212" s="130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</x:row>
    <x:row r="213">
      <x:c r="A213" s="130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</x:row>
    <x:row r="214">
      <x:c r="A214" s="130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</x:row>
    <x:row r="215">
      <x:c r="A215" s="130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</x:row>
    <x:row r="216">
      <x:c r="A216" s="130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</x:row>
    <x:row r="217">
      <x:c r="A217" s="130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</x:row>
    <x:row r="218">
      <x:c r="A218" s="130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</x:row>
    <x:row r="219">
      <x:c r="A219" s="130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</x:row>
    <x:row r="220">
      <x:c r="A220" s="130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</x:row>
    <x:row r="221">
      <x:c r="A221" s="130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</x:row>
    <x:row r="222">
      <x:c r="A222" s="130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</x:row>
    <x:row r="223">
      <x:c r="A223" s="130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</x:row>
    <x:row r="224">
      <x:c r="A224" s="130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</x:row>
    <x:row r="225">
      <x:c r="A225" s="130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</x:row>
    <x:row r="226">
      <x:c r="A226" s="130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</x:row>
    <x:row r="227">
      <x:c r="A227" s="130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</x:row>
    <x:row r="228">
      <x:c r="A228" s="130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</x:row>
    <x:row r="229">
      <x:c r="A229" s="130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</x:row>
    <x:row r="230">
      <x:c r="A230" s="130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</x:row>
    <x:row r="231">
      <x:c r="A231" s="130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</x:row>
    <x:row r="232">
      <x:c r="A232" s="130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</x:row>
    <x:row r="233">
      <x:c r="A233" s="130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</x:row>
    <x:row r="234">
      <x:c r="A234" s="130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</x:row>
    <x:row r="235">
      <x:c r="A235" s="130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</x:row>
    <x:row r="236">
      <x:c r="A236" s="130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</x:row>
    <x:row r="237">
      <x:c r="A237" s="130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</x:row>
    <x:row r="238">
      <x:c r="A238" s="130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</x:row>
    <x:row r="239">
      <x:c r="A239" s="130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</x:row>
    <x:row r="240">
      <x:c r="A240" s="130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</x:row>
    <x:row r="241">
      <x:c r="A241" s="130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</x:row>
    <x:row r="242">
      <x:c r="A242" s="130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</x:row>
    <x:row r="243">
      <x:c r="A243" s="130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</x:row>
    <x:row r="244">
      <x:c r="A244" s="130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</x:row>
    <x:row r="245">
      <x:c r="A245" s="130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</x:row>
    <x:row r="246">
      <x:c r="A246" s="130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</x:row>
    <x:row r="247">
      <x:c r="A247" s="130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</x:row>
    <x:row r="248">
      <x:c r="A248" s="130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</x:row>
    <x:row r="249">
      <x:c r="A249" s="130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</x:row>
    <x:row r="250">
      <x:c r="A250" s="130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</x:row>
    <x:row r="251">
      <x:c r="A251" s="130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</x:row>
    <x:row r="252">
      <x:c r="A252" s="130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</x:row>
    <x:row r="253">
      <x:c r="A253" s="130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30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</x:row>
    <x:row r="255">
      <x:c r="A255" s="130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</x:row>
    <x:row r="256">
      <x:c r="A256" s="130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</x:row>
    <x:row r="257">
      <x:c r="A257" s="130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</x:row>
    <x:row r="258">
      <x:c r="A258" s="130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</x:row>
    <x:row r="259">
      <x:c r="A259" s="130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</x:row>
    <x:row r="260">
      <x:c r="A260" s="130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</x:row>
    <x:row r="261">
      <x:c r="A261" s="130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</x:row>
    <x:row r="262">
      <x:c r="A262" s="130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</x:row>
    <x:row r="263">
      <x:c r="A263" s="130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</x:row>
    <x:row r="264">
      <x:c r="A264" s="130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</x:row>
    <x:row r="265">
      <x:c r="A265" s="130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</x:row>
    <x:row r="266">
      <x:c r="A266" s="130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</x:row>
    <x:row r="267">
      <x:c r="A267" s="130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</x:row>
    <x:row r="268">
      <x:c r="A268" s="130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</x:row>
    <x:row r="269">
      <x:c r="A269" s="130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</x:row>
    <x:row r="270">
      <x:c r="A270" s="130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</x:row>
    <x:row r="271">
      <x:c r="A271" s="130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</x:row>
    <x:row r="272">
      <x:c r="A272" s="130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</x:row>
    <x:row r="273">
      <x:c r="A273" s="130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</x:row>
    <x:row r="274">
      <x:c r="A274" s="130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</x:row>
    <x:row r="275">
      <x:c r="A275" s="130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</x:row>
    <x:row r="276">
      <x:c r="A276" s="130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</x:row>
    <x:row r="277">
      <x:c r="A277" s="130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</x:row>
    <x:row r="278">
      <x:c r="A278" s="130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</x:row>
    <x:row r="279">
      <x:c r="A279" s="130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</x:row>
    <x:row r="280">
      <x:c r="A280" s="130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</x:row>
    <x:row r="281">
      <x:c r="A281" s="130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</x:row>
    <x:row r="282">
      <x:c r="A282" s="130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</x:row>
    <x:row r="283">
      <x:c r="A283" s="130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</x:row>
    <x:row r="284">
      <x:c r="A284" s="130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</x:row>
    <x:row r="285">
      <x:c r="A285" s="130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</x:row>
    <x:row r="286">
      <x:c r="A286" s="130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</x:row>
    <x:row r="287">
      <x:c r="A287" s="130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</x:row>
    <x:row r="288">
      <x:c r="A288" s="130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</x:row>
    <x:row r="289">
      <x:c r="A289" s="130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</x:row>
    <x:row r="290">
      <x:c r="A290" s="130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</x:row>
    <x:row r="291">
      <x:c r="A291" s="130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</x:row>
    <x:row r="292">
      <x:c r="A292" s="130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</x:row>
    <x:row r="293">
      <x:c r="A293" s="130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</x:row>
    <x:row r="294">
      <x:c r="A294" s="130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</x:row>
    <x:row r="295">
      <x:c r="A295" s="130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</x:row>
    <x:row r="296">
      <x:c r="A296" s="130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</x:row>
    <x:row r="297">
      <x:c r="A297" s="130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</x:row>
    <x:row r="298">
      <x:c r="A298" s="130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</x:row>
    <x:row r="299">
      <x:c r="A299" s="130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</x:row>
    <x:row r="300">
      <x:c r="A300" s="130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</x:row>
    <x:row r="301">
      <x:c r="A301" s="130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</x:row>
    <x:row r="302">
      <x:c r="A302" s="130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</x:row>
    <x:row r="303">
      <x:c r="A303" s="130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</x:row>
    <x:row r="304">
      <x:c r="A304" s="130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</x:row>
    <x:row r="305">
      <x:c r="A305" s="130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</x:row>
    <x:row r="306">
      <x:c r="A306" s="130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</x:row>
    <x:row r="307">
      <x:c r="A307" s="130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</x:row>
    <x:row r="308">
      <x:c r="A308" s="130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</x:row>
    <x:row r="309">
      <x:c r="A309" s="130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</x:row>
    <x:row r="310">
      <x:c r="A310" s="130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</x:row>
    <x:row r="311">
      <x:c r="A311" s="130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</x:row>
    <x:row r="312">
      <x:c r="A312" s="130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</x:row>
    <x:row r="313">
      <x:c r="A313" s="130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</x:row>
    <x:row r="314">
      <x:c r="A314" s="130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</x:row>
    <x:row r="315">
      <x:c r="A315" s="130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</x:row>
    <x:row r="316">
      <x:c r="A316" s="130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</x:row>
    <x:row r="317">
      <x:c r="A317" s="130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</x:row>
    <x:row r="318">
      <x:c r="A318" s="130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</x:row>
    <x:row r="319">
      <x:c r="A319" s="130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</x:row>
    <x:row r="320">
      <x:c r="A320" s="130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</x:row>
    <x:row r="321">
      <x:c r="A321" s="130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</x:row>
    <x:row r="322">
      <x:c r="A322" s="130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</x:row>
    <x:row r="323">
      <x:c r="A323" s="130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</x:row>
    <x:row r="324">
      <x:c r="A324" s="130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</x:row>
    <x:row r="325">
      <x:c r="A325" s="130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</x:row>
    <x:row r="326">
      <x:c r="A326" s="130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</x:row>
    <x:row r="327">
      <x:c r="A327" s="130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</x:row>
    <x:row r="328">
      <x:c r="A328" s="130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</x:row>
    <x:row r="329">
      <x:c r="A329" s="130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</x:row>
    <x:row r="330">
      <x:c r="A330" s="130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</x:row>
    <x:row r="331">
      <x:c r="A331" s="130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</x:row>
    <x:row r="332">
      <x:c r="A332" s="130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</x:row>
    <x:row r="333">
      <x:c r="A333" s="130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</x:row>
    <x:row r="334">
      <x:c r="A334" s="130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</x:row>
    <x:row r="335">
      <x:c r="A335" s="130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</x:row>
    <x:row r="336">
      <x:c r="A336" s="130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</x:row>
    <x:row r="337">
      <x:c r="A337" s="130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</x:row>
    <x:row r="338">
      <x:c r="A338" s="130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</x:row>
    <x:row r="339">
      <x:c r="A339" s="130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</x:row>
    <x:row r="340">
      <x:c r="A340" s="130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</x:row>
    <x:row r="341">
      <x:c r="A341" s="130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</x:row>
    <x:row r="342">
      <x:c r="A342" s="130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</x:row>
    <x:row r="343">
      <x:c r="A343" s="130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</x:row>
    <x:row r="344">
      <x:c r="A344" s="130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</x:row>
    <x:row r="345">
      <x:c r="A345" s="130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</x:row>
    <x:row r="346">
      <x:c r="A346" s="130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</x:row>
    <x:row r="347">
      <x:c r="A347" s="130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</x:row>
    <x:row r="348">
      <x:c r="A348" s="130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</x:row>
    <x:row r="349">
      <x:c r="A349" s="130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</x:row>
    <x:row r="350">
      <x:c r="A350" s="130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</x:row>
    <x:row r="351">
      <x:c r="A351" s="130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</x:row>
    <x:row r="352">
      <x:c r="A352" s="130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</x:row>
    <x:row r="353">
      <x:c r="A353" s="130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</x:row>
    <x:row r="354">
      <x:c r="A354" s="130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</x:row>
    <x:row r="355">
      <x:c r="A355" s="130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</x:row>
    <x:row r="356">
      <x:c r="A356" s="130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</x:row>
    <x:row r="357">
      <x:c r="A357" s="130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</x:row>
    <x:row r="358">
      <x:c r="A358" s="130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</x:row>
    <x:row r="359">
      <x:c r="A359" s="130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</x:row>
    <x:row r="360">
      <x:c r="A360" s="130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</x:row>
    <x:row r="361">
      <x:c r="A361" s="130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</x:row>
    <x:row r="362">
      <x:c r="A362" s="130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</x:row>
    <x:row r="363">
      <x:c r="A363" s="130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</x:row>
    <x:row r="364">
      <x:c r="A364" s="130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</x:row>
    <x:row r="365">
      <x:c r="A365" s="130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</x:row>
    <x:row r="366">
      <x:c r="A366" s="130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</x:row>
    <x:row r="367">
      <x:c r="A367" s="130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</x:row>
    <x:row r="368">
      <x:c r="A368" s="130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</x:row>
    <x:row r="369">
      <x:c r="A369" s="130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</x:row>
    <x:row r="370">
      <x:c r="A370" s="130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</x:row>
    <x:row r="371">
      <x:c r="A371" s="130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</x:row>
    <x:row r="372">
      <x:c r="A372" s="130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</x:row>
    <x:row r="373">
      <x:c r="A373" s="130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</x:row>
    <x:row r="374">
      <x:c r="A374" s="130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</x:row>
    <x:row r="375">
      <x:c r="A375" s="130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</x:row>
    <x:row r="376">
      <x:c r="A376" s="130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</x:row>
    <x:row r="377">
      <x:c r="A377" s="130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</x:row>
    <x:row r="378">
      <x:c r="A378" s="130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</x:row>
    <x:row r="379">
      <x:c r="A379" s="130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</x:row>
    <x:row r="380">
      <x:c r="A380" s="130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</x:row>
    <x:row r="381">
      <x:c r="A381" s="130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</x:row>
    <x:row r="382">
      <x:c r="A382" s="130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</x:row>
    <x:row r="383">
      <x:c r="A383" s="130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</x:row>
    <x:row r="384">
      <x:c r="A384" s="130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</x:row>
    <x:row r="385">
      <x:c r="A385" s="130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</x:row>
    <x:row r="386">
      <x:c r="A386" s="130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</x:row>
    <x:row r="387">
      <x:c r="A387" s="130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</x:row>
    <x:row r="388">
      <x:c r="A388" s="130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</x:row>
    <x:row r="389">
      <x:c r="A389" s="130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</x:row>
    <x:row r="390">
      <x:c r="A390" s="130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</x:row>
    <x:row r="391">
      <x:c r="A391" s="130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</x:row>
    <x:row r="392">
      <x:c r="A392" s="130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</x:row>
    <x:row r="393">
      <x:c r="A393" s="130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</x:row>
    <x:row r="394">
      <x:c r="A394" s="130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</x:row>
    <x:row r="395">
      <x:c r="A395" s="130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</x:row>
    <x:row r="396">
      <x:c r="A396" s="130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</x:row>
    <x:row r="397">
      <x:c r="A397" s="130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</x:row>
    <x:row r="398">
      <x:c r="A398" s="130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</x:row>
    <x:row r="399">
      <x:c r="A399" s="130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</x:row>
    <x:row r="400">
      <x:c r="A400" s="130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</x:row>
    <x:row r="401">
      <x:c r="A401" s="130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</x:row>
    <x:row r="402">
      <x:c r="A402" s="130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</x:row>
    <x:row r="403">
      <x:c r="A403" s="130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</x:row>
    <x:row r="404">
      <x:c r="A404" s="130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</x:row>
    <x:row r="405">
      <x:c r="A405" s="130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</x:row>
    <x:row r="406">
      <x:c r="A406" s="130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</x:row>
    <x:row r="407">
      <x:c r="A407" s="130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</x:row>
    <x:row r="408">
      <x:c r="A408" s="130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</x:row>
    <x:row r="409">
      <x:c r="A409" s="130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</x:row>
    <x:row r="410">
      <x:c r="A410" s="130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</x:row>
    <x:row r="411">
      <x:c r="A411" s="130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</x:row>
    <x:row r="412">
      <x:c r="A412" s="130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</x:row>
    <x:row r="413">
      <x:c r="A413" s="130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</x:row>
    <x:row r="414">
      <x:c r="A414" s="130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</x:row>
    <x:row r="415">
      <x:c r="A415" s="130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</x:row>
    <x:row r="416">
      <x:c r="A416" s="130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</x:row>
    <x:row r="417">
      <x:c r="A417" s="130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</x:row>
    <x:row r="418">
      <x:c r="A418" s="130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</x:row>
    <x:row r="419">
      <x:c r="A419" s="130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</x:row>
    <x:row r="420">
      <x:c r="A420" s="130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</x:row>
    <x:row r="421">
      <x:c r="A421" s="130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</x:row>
    <x:row r="422">
      <x:c r="A422" s="130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</x:row>
    <x:row r="423">
      <x:c r="A423" s="130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</x:row>
    <x:row r="424">
      <x:c r="A424" s="130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</x:row>
    <x:row r="425">
      <x:c r="A425" s="130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</x:row>
    <x:row r="426">
      <x:c r="A426" s="130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</x:row>
    <x:row r="427">
      <x:c r="A427" s="130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</x:row>
    <x:row r="428">
      <x:c r="A428" s="130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</x:row>
    <x:row r="429">
      <x:c r="A429" s="130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</x:row>
    <x:row r="430">
      <x:c r="A430" s="130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</x:row>
    <x:row r="431">
      <x:c r="A431" s="130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</x:row>
    <x:row r="432">
      <x:c r="A432" s="130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</x:row>
    <x:row r="433">
      <x:c r="A433" s="130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</x:row>
    <x:row r="434">
      <x:c r="A434" s="130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</x:row>
    <x:row r="435">
      <x:c r="A435" s="130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</x:row>
    <x:row r="436">
      <x:c r="A436" s="130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</x:row>
    <x:row r="437">
      <x:c r="A437" s="130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</x:row>
    <x:row r="438">
      <x:c r="A438" s="130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</x:row>
    <x:row r="439">
      <x:c r="A439" s="130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</x:row>
    <x:row r="440">
      <x:c r="A440" s="130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</x:row>
    <x:row r="441">
      <x:c r="A441" s="130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</x:row>
    <x:row r="442">
      <x:c r="A442" s="130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</x:row>
    <x:row r="443">
      <x:c r="A443" s="130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</x:row>
    <x:row r="444">
      <x:c r="A444" s="130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</x:row>
    <x:row r="445">
      <x:c r="A445" s="130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</x:row>
    <x:row r="446">
      <x:c r="A446" s="130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</x:row>
    <x:row r="447">
      <x:c r="A447" s="130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</x:row>
    <x:row r="448">
      <x:c r="A448" s="130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</x:row>
    <x:row r="449">
      <x:c r="A449" s="130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</x:row>
    <x:row r="450">
      <x:c r="A450" s="130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</x:row>
    <x:row r="451">
      <x:c r="A451" s="130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</x:row>
    <x:row r="452">
      <x:c r="A452" s="130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</x:row>
    <x:row r="453">
      <x:c r="A453" s="130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</x:row>
    <x:row r="454">
      <x:c r="A454" s="130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</x:row>
    <x:row r="455">
      <x:c r="A455" s="130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</x:row>
    <x:row r="456">
      <x:c r="A456" s="130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</x:row>
    <x:row r="457">
      <x:c r="A457" s="130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</x:row>
    <x:row r="458">
      <x:c r="A458" s="130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</x:row>
    <x:row r="459">
      <x:c r="A459" s="130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</x:row>
    <x:row r="460">
      <x:c r="A460" s="130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</x:row>
    <x:row r="461">
      <x:c r="A461" s="130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</x:row>
    <x:row r="462">
      <x:c r="A462" s="130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</x:row>
    <x:row r="463">
      <x:c r="A463" s="130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</x:row>
    <x:row r="464">
      <x:c r="A464" s="130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</x:row>
    <x:row r="465">
      <x:c r="A465" s="130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</x:row>
    <x:row r="466">
      <x:c r="A466" s="130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</x:row>
    <x:row r="467">
      <x:c r="A467" s="130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</x:row>
    <x:row r="468">
      <x:c r="A468" s="130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</x:row>
    <x:row r="469">
      <x:c r="A469" s="130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</x:row>
    <x:row r="470">
      <x:c r="A470" s="130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</x:row>
    <x:row r="471">
      <x:c r="A471" s="130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</x:row>
    <x:row r="472">
      <x:c r="A472" s="130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</x:row>
    <x:row r="473">
      <x:c r="A473" s="130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</x:row>
    <x:row r="474">
      <x:c r="A474" s="130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</x:row>
    <x:row r="475">
      <x:c r="A475" s="130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</x:row>
    <x:row r="476">
      <x:c r="A476" s="130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</x:row>
    <x:row r="477">
      <x:c r="A477" s="130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</x:row>
    <x:row r="478">
      <x:c r="A478" s="130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</x:row>
    <x:row r="479">
      <x:c r="A479" s="130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</x:row>
    <x:row r="480">
      <x:c r="A480" s="130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</x:row>
    <x:row r="481">
      <x:c r="A481" s="130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</x:row>
    <x:row r="482">
      <x:c r="A482" s="130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</x:row>
    <x:row r="483">
      <x:c r="A483" s="130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</x:row>
    <x:row r="484">
      <x:c r="A484" s="130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</x:row>
    <x:row r="485">
      <x:c r="A485" s="130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</x:row>
    <x:row r="486">
      <x:c r="A486" s="130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</x:row>
    <x:row r="487">
      <x:c r="A487" s="130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</x:row>
    <x:row r="488">
      <x:c r="A488" s="130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</x:row>
    <x:row r="489">
      <x:c r="A489" s="130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</x:row>
    <x:row r="490">
      <x:c r="A490" s="130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</x:row>
    <x:row r="491">
      <x:c r="A491" s="130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</x:row>
    <x:row r="492">
      <x:c r="A492" s="130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</x:row>
    <x:row r="493">
      <x:c r="A493" s="130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</x:row>
    <x:row r="494">
      <x:c r="A494" s="130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</x:row>
    <x:row r="495">
      <x:c r="A495" s="130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</x:row>
    <x:row r="496">
      <x:c r="A496" s="130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</x:row>
    <x:row r="497">
      <x:c r="A497" s="130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</x:row>
    <x:row r="498">
      <x:c r="A498" s="130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</x:row>
    <x:row r="499">
      <x:c r="A499" s="130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</x:row>
    <x:row r="500">
      <x:c r="A500" s="130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</x:row>
    <x:row r="501">
      <x:c r="A501" s="130"/>
      <x:c r="B501" s="194"/>
      <x:c r="C501" s="194"/>
      <x:c r="D501" s="194"/>
      <x:c r="E501" s="194"/>
      <x:c r="F501" s="194"/>
      <x:c r="G501" s="194"/>
      <x:c r="H501" s="194"/>
      <x:c r="I501" s="194"/>
      <x:c r="J501" s="194"/>
      <x:c r="K501" s="194"/>
      <x:c r="L501" s="194"/>
      <x:c r="M501" s="194"/>
    </x:row>
    <x:row r="502">
      <x:c r="A502" s="130"/>
      <x:c r="B502" s="194"/>
      <x:c r="C502" s="194"/>
      <x:c r="D502" s="194"/>
      <x:c r="E502" s="194"/>
      <x:c r="F502" s="194"/>
      <x:c r="G502" s="194"/>
      <x:c r="H502" s="194"/>
      <x:c r="I502" s="194"/>
      <x:c r="J502" s="194"/>
      <x:c r="K502" s="194"/>
      <x:c r="L502" s="194"/>
      <x:c r="M502" s="194"/>
    </x:row>
    <x:row r="503">
      <x:c r="A503" s="130"/>
      <x:c r="B503" s="194"/>
      <x:c r="C503" s="194"/>
      <x:c r="D503" s="194"/>
      <x:c r="E503" s="194"/>
      <x:c r="F503" s="194"/>
      <x:c r="G503" s="194"/>
      <x:c r="H503" s="194"/>
      <x:c r="I503" s="194"/>
      <x:c r="J503" s="194"/>
      <x:c r="K503" s="194"/>
      <x:c r="L503" s="194"/>
      <x:c r="M503" s="194"/>
    </x:row>
    <x:row r="504">
      <x:c r="A504" s="130"/>
      <x:c r="B504" s="194"/>
      <x:c r="C504" s="194"/>
      <x:c r="D504" s="194"/>
      <x:c r="E504" s="194"/>
      <x:c r="F504" s="194"/>
      <x:c r="G504" s="194"/>
      <x:c r="H504" s="194"/>
      <x:c r="I504" s="194"/>
      <x:c r="J504" s="194"/>
      <x:c r="K504" s="194"/>
      <x:c r="L504" s="194"/>
      <x:c r="M504" s="194"/>
    </x:row>
    <x:row r="505">
      <x:c r="A505" s="130"/>
      <x:c r="B505" s="194"/>
      <x:c r="C505" s="194"/>
      <x:c r="D505" s="194"/>
      <x:c r="E505" s="194"/>
      <x:c r="F505" s="194"/>
      <x:c r="G505" s="194"/>
      <x:c r="H505" s="194"/>
      <x:c r="I505" s="194"/>
      <x:c r="J505" s="194"/>
      <x:c r="K505" s="194"/>
      <x:c r="L505" s="194"/>
      <x:c r="M505" s="194"/>
    </x:row>
    <x:row r="506">
      <x:c r="A506" s="130"/>
      <x:c r="B506" s="194"/>
      <x:c r="C506" s="194"/>
      <x:c r="D506" s="194"/>
      <x:c r="E506" s="194"/>
      <x:c r="F506" s="194"/>
      <x:c r="G506" s="194"/>
      <x:c r="H506" s="194"/>
      <x:c r="I506" s="194"/>
      <x:c r="J506" s="194"/>
      <x:c r="K506" s="194"/>
      <x:c r="L506" s="194"/>
      <x:c r="M506" s="194"/>
    </x:row>
    <x:row r="507">
      <x:c r="A507" s="130"/>
      <x:c r="B507" s="194"/>
      <x:c r="C507" s="194"/>
      <x:c r="D507" s="194"/>
      <x:c r="E507" s="194"/>
      <x:c r="F507" s="194"/>
      <x:c r="G507" s="194"/>
      <x:c r="H507" s="194"/>
      <x:c r="I507" s="194"/>
      <x:c r="J507" s="194"/>
      <x:c r="K507" s="194"/>
      <x:c r="L507" s="194"/>
      <x:c r="M507" s="194"/>
    </x:row>
    <x:row r="508">
      <x:c r="A508" s="130"/>
      <x:c r="B508" s="194"/>
      <x:c r="C508" s="194"/>
      <x:c r="D508" s="194"/>
      <x:c r="E508" s="194"/>
      <x:c r="F508" s="194"/>
      <x:c r="G508" s="194"/>
      <x:c r="H508" s="194"/>
      <x:c r="I508" s="194"/>
      <x:c r="J508" s="194"/>
      <x:c r="K508" s="194"/>
      <x:c r="L508" s="194"/>
      <x:c r="M508" s="194"/>
    </x:row>
    <x:row r="509">
      <x:c r="A509" s="130"/>
      <x:c r="B509" s="194"/>
      <x:c r="C509" s="194"/>
      <x:c r="D509" s="194"/>
      <x:c r="E509" s="194"/>
      <x:c r="F509" s="194"/>
      <x:c r="G509" s="194"/>
      <x:c r="H509" s="194"/>
      <x:c r="I509" s="194"/>
      <x:c r="J509" s="194"/>
      <x:c r="K509" s="194"/>
      <x:c r="L509" s="194"/>
      <x:c r="M509" s="194"/>
    </x:row>
    <x:row r="510">
      <x:c r="A510" s="130"/>
      <x:c r="B510" s="194"/>
      <x:c r="C510" s="194"/>
      <x:c r="D510" s="194"/>
      <x:c r="E510" s="194"/>
      <x:c r="F510" s="194"/>
      <x:c r="G510" s="194"/>
      <x:c r="H510" s="194"/>
      <x:c r="I510" s="194"/>
      <x:c r="J510" s="194"/>
      <x:c r="K510" s="194"/>
      <x:c r="L510" s="194"/>
      <x:c r="M510" s="194"/>
    </x:row>
    <x:row r="511">
      <x:c r="A511" s="130"/>
      <x:c r="B511" s="194"/>
      <x:c r="C511" s="194"/>
      <x:c r="D511" s="194"/>
      <x:c r="E511" s="194"/>
      <x:c r="F511" s="194"/>
      <x:c r="G511" s="194"/>
      <x:c r="H511" s="194"/>
      <x:c r="I511" s="194"/>
      <x:c r="J511" s="194"/>
      <x:c r="K511" s="194"/>
      <x:c r="L511" s="194"/>
      <x:c r="M511" s="194"/>
    </x:row>
    <x:row r="512">
      <x:c r="A512" s="130"/>
      <x:c r="B512" s="194"/>
      <x:c r="C512" s="194"/>
      <x:c r="D512" s="194"/>
      <x:c r="E512" s="194"/>
      <x:c r="F512" s="194"/>
      <x:c r="G512" s="194"/>
      <x:c r="H512" s="194"/>
      <x:c r="I512" s="194"/>
      <x:c r="J512" s="194"/>
      <x:c r="K512" s="194"/>
      <x:c r="L512" s="194"/>
      <x:c r="M512" s="194"/>
    </x:row>
    <x:row r="513">
      <x:c r="A513" s="130"/>
      <x:c r="B513" s="194"/>
      <x:c r="C513" s="194"/>
      <x:c r="D513" s="194"/>
      <x:c r="E513" s="194"/>
      <x:c r="F513" s="194"/>
      <x:c r="G513" s="194"/>
      <x:c r="H513" s="194"/>
      <x:c r="I513" s="194"/>
      <x:c r="J513" s="194"/>
      <x:c r="K513" s="194"/>
      <x:c r="L513" s="194"/>
      <x:c r="M513" s="194"/>
    </x:row>
    <x:row r="514">
      <x:c r="A514" s="130"/>
      <x:c r="B514" s="194"/>
      <x:c r="C514" s="194"/>
      <x:c r="D514" s="194"/>
      <x:c r="E514" s="194"/>
      <x:c r="F514" s="194"/>
      <x:c r="G514" s="194"/>
      <x:c r="H514" s="194"/>
      <x:c r="I514" s="194"/>
      <x:c r="J514" s="194"/>
      <x:c r="K514" s="194"/>
      <x:c r="L514" s="194"/>
      <x:c r="M514" s="194"/>
    </x:row>
    <x:row r="515">
      <x:c r="A515" s="130"/>
      <x:c r="B515" s="194"/>
      <x:c r="C515" s="194"/>
      <x:c r="D515" s="194"/>
      <x:c r="E515" s="194"/>
      <x:c r="F515" s="194"/>
      <x:c r="G515" s="194"/>
      <x:c r="H515" s="194"/>
      <x:c r="I515" s="194"/>
      <x:c r="J515" s="194"/>
      <x:c r="K515" s="194"/>
      <x:c r="L515" s="194"/>
      <x:c r="M515" s="194"/>
    </x:row>
    <x:row r="516">
      <x:c r="A516" s="130"/>
      <x:c r="B516" s="194"/>
      <x:c r="C516" s="194"/>
      <x:c r="D516" s="194"/>
      <x:c r="E516" s="194"/>
      <x:c r="F516" s="194"/>
      <x:c r="G516" s="194"/>
      <x:c r="H516" s="194"/>
      <x:c r="I516" s="194"/>
      <x:c r="J516" s="194"/>
      <x:c r="K516" s="194"/>
      <x:c r="L516" s="194"/>
      <x:c r="M516" s="194"/>
    </x:row>
    <x:row r="517">
      <x:c r="A517" s="130"/>
      <x:c r="B517" s="194"/>
      <x:c r="C517" s="194"/>
      <x:c r="D517" s="194"/>
      <x:c r="E517" s="194"/>
      <x:c r="F517" s="194"/>
      <x:c r="G517" s="194"/>
      <x:c r="H517" s="194"/>
      <x:c r="I517" s="194"/>
      <x:c r="J517" s="194"/>
      <x:c r="K517" s="194"/>
      <x:c r="L517" s="194"/>
      <x:c r="M517" s="194"/>
    </x:row>
    <x:row r="518">
      <x:c r="A518" s="130"/>
      <x:c r="B518" s="194"/>
      <x:c r="C518" s="194"/>
      <x:c r="D518" s="194"/>
      <x:c r="E518" s="194"/>
      <x:c r="F518" s="194"/>
      <x:c r="G518" s="194"/>
      <x:c r="H518" s="194"/>
      <x:c r="I518" s="194"/>
      <x:c r="J518" s="194"/>
      <x:c r="K518" s="194"/>
      <x:c r="L518" s="194"/>
      <x:c r="M518" s="194"/>
    </x:row>
    <x:row r="519">
      <x:c r="A519" s="130"/>
      <x:c r="B519" s="194"/>
      <x:c r="C519" s="194"/>
      <x:c r="D519" s="194"/>
      <x:c r="E519" s="194"/>
      <x:c r="F519" s="194"/>
      <x:c r="G519" s="194"/>
      <x:c r="H519" s="194"/>
      <x:c r="I519" s="194"/>
      <x:c r="J519" s="194"/>
      <x:c r="K519" s="194"/>
      <x:c r="L519" s="194"/>
      <x:c r="M519" s="194"/>
    </x:row>
    <x:row r="520">
      <x:c r="A520" s="130"/>
      <x:c r="B520" s="194"/>
      <x:c r="C520" s="194"/>
      <x:c r="D520" s="194"/>
      <x:c r="E520" s="194"/>
      <x:c r="F520" s="194"/>
      <x:c r="G520" s="194"/>
      <x:c r="H520" s="194"/>
      <x:c r="I520" s="194"/>
      <x:c r="J520" s="194"/>
      <x:c r="K520" s="194"/>
      <x:c r="L520" s="194"/>
      <x:c r="M520" s="194"/>
    </x:row>
    <x:row r="521">
      <x:c r="A521" s="130"/>
      <x:c r="B521" s="194"/>
      <x:c r="C521" s="194"/>
      <x:c r="D521" s="194"/>
      <x:c r="E521" s="194"/>
      <x:c r="F521" s="194"/>
      <x:c r="G521" s="194"/>
      <x:c r="H521" s="194"/>
      <x:c r="I521" s="194"/>
      <x:c r="J521" s="194"/>
      <x:c r="K521" s="194"/>
      <x:c r="L521" s="194"/>
      <x:c r="M521" s="194"/>
    </x:row>
    <x:row r="522">
      <x:c r="A522" s="130"/>
      <x:c r="B522" s="194"/>
      <x:c r="C522" s="194"/>
      <x:c r="D522" s="194"/>
      <x:c r="E522" s="194"/>
      <x:c r="F522" s="194"/>
      <x:c r="G522" s="194"/>
      <x:c r="H522" s="194"/>
      <x:c r="I522" s="194"/>
      <x:c r="J522" s="194"/>
      <x:c r="K522" s="194"/>
      <x:c r="L522" s="194"/>
      <x:c r="M522" s="194"/>
    </x:row>
    <x:row r="523">
      <x:c r="A523" s="130"/>
      <x:c r="B523" s="194"/>
      <x:c r="C523" s="194"/>
      <x:c r="D523" s="194"/>
      <x:c r="E523" s="194"/>
      <x:c r="F523" s="194"/>
      <x:c r="G523" s="194"/>
      <x:c r="H523" s="194"/>
      <x:c r="I523" s="194"/>
      <x:c r="J523" s="194"/>
      <x:c r="K523" s="194"/>
      <x:c r="L523" s="194"/>
      <x:c r="M523" s="194"/>
    </x:row>
    <x:row r="524">
      <x:c r="A524" s="130"/>
      <x:c r="B524" s="194"/>
      <x:c r="C524" s="194"/>
      <x:c r="D524" s="194"/>
      <x:c r="E524" s="194"/>
      <x:c r="F524" s="194"/>
      <x:c r="G524" s="194"/>
      <x:c r="H524" s="194"/>
      <x:c r="I524" s="194"/>
      <x:c r="J524" s="194"/>
      <x:c r="K524" s="194"/>
      <x:c r="L524" s="194"/>
      <x:c r="M524" s="194"/>
    </x:row>
    <x:row r="525">
      <x:c r="A525" s="130"/>
      <x:c r="B525" s="194"/>
      <x:c r="C525" s="194"/>
      <x:c r="D525" s="194"/>
      <x:c r="E525" s="194"/>
      <x:c r="F525" s="194"/>
      <x:c r="G525" s="194"/>
      <x:c r="H525" s="194"/>
      <x:c r="I525" s="194"/>
      <x:c r="J525" s="194"/>
      <x:c r="K525" s="194"/>
      <x:c r="L525" s="194"/>
      <x:c r="M525" s="194"/>
    </x:row>
    <x:row r="526">
      <x:c r="A526" s="130"/>
      <x:c r="B526" s="194"/>
      <x:c r="C526" s="194"/>
      <x:c r="D526" s="194"/>
      <x:c r="E526" s="194"/>
      <x:c r="F526" s="194"/>
      <x:c r="G526" s="194"/>
      <x:c r="H526" s="194"/>
      <x:c r="I526" s="194"/>
      <x:c r="J526" s="194"/>
      <x:c r="K526" s="194"/>
      <x:c r="L526" s="194"/>
      <x:c r="M526" s="194"/>
    </x:row>
    <x:row r="527">
      <x:c r="A527" s="130"/>
      <x:c r="B527" s="194"/>
      <x:c r="C527" s="194"/>
      <x:c r="D527" s="194"/>
      <x:c r="E527" s="194"/>
      <x:c r="F527" s="194"/>
      <x:c r="G527" s="194"/>
      <x:c r="H527" s="194"/>
      <x:c r="I527" s="194"/>
      <x:c r="J527" s="194"/>
      <x:c r="K527" s="194"/>
      <x:c r="L527" s="194"/>
      <x:c r="M527" s="194"/>
    </x:row>
    <x:row r="528">
      <x:c r="A528" s="130"/>
      <x:c r="B528" s="194"/>
      <x:c r="C528" s="194"/>
      <x:c r="D528" s="194"/>
      <x:c r="E528" s="194"/>
      <x:c r="F528" s="194"/>
      <x:c r="G528" s="194"/>
      <x:c r="H528" s="194"/>
      <x:c r="I528" s="194"/>
      <x:c r="J528" s="194"/>
      <x:c r="K528" s="194"/>
      <x:c r="L528" s="194"/>
      <x:c r="M528" s="194"/>
    </x:row>
    <x:row r="529">
      <x:c r="A529" s="130"/>
      <x:c r="B529" s="194"/>
      <x:c r="C529" s="194"/>
      <x:c r="D529" s="194"/>
      <x:c r="E529" s="194"/>
      <x:c r="F529" s="194"/>
      <x:c r="G529" s="194"/>
      <x:c r="H529" s="194"/>
      <x:c r="I529" s="194"/>
      <x:c r="J529" s="194"/>
      <x:c r="K529" s="194"/>
      <x:c r="L529" s="194"/>
      <x:c r="M529" s="194"/>
    </x:row>
    <x:row r="530">
      <x:c r="A530" s="130"/>
      <x:c r="B530" s="194"/>
      <x:c r="C530" s="194"/>
      <x:c r="D530" s="194"/>
      <x:c r="E530" s="194"/>
      <x:c r="F530" s="194"/>
      <x:c r="G530" s="194"/>
      <x:c r="H530" s="194"/>
      <x:c r="I530" s="194"/>
      <x:c r="J530" s="194"/>
      <x:c r="K530" s="194"/>
      <x:c r="L530" s="194"/>
      <x:c r="M530" s="194"/>
    </x:row>
    <x:row r="531">
      <x:c r="A531" s="130"/>
      <x:c r="B531" s="194"/>
      <x:c r="C531" s="194"/>
      <x:c r="D531" s="194"/>
      <x:c r="E531" s="194"/>
      <x:c r="F531" s="194"/>
      <x:c r="G531" s="194"/>
      <x:c r="H531" s="194"/>
      <x:c r="I531" s="194"/>
      <x:c r="J531" s="194"/>
      <x:c r="K531" s="194"/>
      <x:c r="L531" s="194"/>
      <x:c r="M531" s="194"/>
    </x:row>
    <x:row r="532">
      <x:c r="A532" s="130"/>
      <x:c r="B532" s="194"/>
      <x:c r="C532" s="194"/>
      <x:c r="D532" s="194"/>
      <x:c r="E532" s="194"/>
      <x:c r="F532" s="194"/>
      <x:c r="G532" s="194"/>
      <x:c r="H532" s="194"/>
      <x:c r="I532" s="194"/>
      <x:c r="J532" s="194"/>
      <x:c r="K532" s="194"/>
      <x:c r="L532" s="194"/>
      <x:c r="M532" s="194"/>
    </x:row>
    <x:row r="533">
      <x:c r="A533" s="130"/>
      <x:c r="B533" s="194"/>
      <x:c r="C533" s="194"/>
      <x:c r="D533" s="194"/>
      <x:c r="E533" s="194"/>
      <x:c r="F533" s="194"/>
      <x:c r="G533" s="194"/>
      <x:c r="H533" s="194"/>
      <x:c r="I533" s="194"/>
      <x:c r="J533" s="194"/>
      <x:c r="K533" s="194"/>
      <x:c r="L533" s="194"/>
      <x:c r="M533" s="194"/>
    </x:row>
    <x:row r="534">
      <x:c r="A534" s="130"/>
      <x:c r="B534" s="194"/>
      <x:c r="C534" s="194"/>
      <x:c r="D534" s="194"/>
      <x:c r="E534" s="194"/>
      <x:c r="F534" s="194"/>
      <x:c r="G534" s="194"/>
      <x:c r="H534" s="194"/>
      <x:c r="I534" s="194"/>
      <x:c r="J534" s="194"/>
      <x:c r="K534" s="194"/>
      <x:c r="L534" s="194"/>
      <x:c r="M534" s="194"/>
    </x:row>
    <x:row r="535">
      <x:c r="A535" s="130"/>
      <x:c r="B535" s="194"/>
      <x:c r="C535" s="194"/>
      <x:c r="D535" s="194"/>
      <x:c r="E535" s="194"/>
      <x:c r="F535" s="194"/>
      <x:c r="G535" s="194"/>
      <x:c r="H535" s="194"/>
      <x:c r="I535" s="194"/>
      <x:c r="J535" s="194"/>
      <x:c r="K535" s="194"/>
      <x:c r="L535" s="194"/>
      <x:c r="M535" s="194"/>
    </x:row>
    <x:row r="536">
      <x:c r="A536" s="130"/>
      <x:c r="B536" s="194"/>
      <x:c r="C536" s="194"/>
      <x:c r="D536" s="194"/>
      <x:c r="E536" s="194"/>
      <x:c r="F536" s="194"/>
      <x:c r="G536" s="194"/>
      <x:c r="H536" s="194"/>
      <x:c r="I536" s="194"/>
      <x:c r="J536" s="194"/>
      <x:c r="K536" s="194"/>
      <x:c r="L536" s="194"/>
      <x:c r="M536" s="194"/>
    </x:row>
    <x:row r="537">
      <x:c r="A537" s="130"/>
      <x:c r="B537" s="194"/>
      <x:c r="C537" s="194"/>
      <x:c r="D537" s="194"/>
      <x:c r="E537" s="194"/>
      <x:c r="F537" s="194"/>
      <x:c r="G537" s="194"/>
      <x:c r="H537" s="194"/>
      <x:c r="I537" s="194"/>
      <x:c r="J537" s="194"/>
      <x:c r="K537" s="194"/>
      <x:c r="L537" s="194"/>
      <x:c r="M537" s="194"/>
    </x:row>
    <x:row r="538">
      <x:c r="A538" s="130"/>
      <x:c r="B538" s="194"/>
      <x:c r="C538" s="194"/>
      <x:c r="D538" s="194"/>
      <x:c r="E538" s="194"/>
      <x:c r="F538" s="194"/>
      <x:c r="G538" s="194"/>
      <x:c r="H538" s="194"/>
      <x:c r="I538" s="194"/>
      <x:c r="J538" s="194"/>
      <x:c r="K538" s="194"/>
      <x:c r="L538" s="194"/>
      <x:c r="M538" s="194"/>
    </x:row>
    <x:row r="539">
      <x:c r="A539" s="130"/>
      <x:c r="B539" s="194"/>
      <x:c r="C539" s="194"/>
      <x:c r="D539" s="194"/>
      <x:c r="E539" s="194"/>
      <x:c r="F539" s="194"/>
      <x:c r="G539" s="194"/>
      <x:c r="H539" s="194"/>
      <x:c r="I539" s="194"/>
      <x:c r="J539" s="194"/>
      <x:c r="K539" s="194"/>
      <x:c r="L539" s="194"/>
      <x:c r="M539" s="194"/>
    </x:row>
    <x:row r="540">
      <x:c r="A540" s="130"/>
      <x:c r="B540" s="194"/>
      <x:c r="C540" s="194"/>
      <x:c r="D540" s="194"/>
      <x:c r="E540" s="194"/>
      <x:c r="F540" s="194"/>
      <x:c r="G540" s="194"/>
      <x:c r="H540" s="194"/>
      <x:c r="I540" s="194"/>
      <x:c r="J540" s="194"/>
      <x:c r="K540" s="194"/>
      <x:c r="L540" s="194"/>
      <x:c r="M540" s="194"/>
    </x:row>
    <x:row r="541">
      <x:c r="A541" s="130"/>
      <x:c r="B541" s="194"/>
      <x:c r="C541" s="194"/>
      <x:c r="D541" s="194"/>
      <x:c r="E541" s="194"/>
      <x:c r="F541" s="194"/>
      <x:c r="G541" s="194"/>
      <x:c r="H541" s="194"/>
      <x:c r="I541" s="194"/>
      <x:c r="J541" s="194"/>
      <x:c r="K541" s="194"/>
      <x:c r="L541" s="194"/>
      <x:c r="M541" s="194"/>
    </x:row>
    <x:row r="542">
      <x:c r="A542" s="130"/>
      <x:c r="B542" s="194"/>
      <x:c r="C542" s="194"/>
      <x:c r="D542" s="194"/>
      <x:c r="E542" s="194"/>
      <x:c r="F542" s="194"/>
      <x:c r="G542" s="194"/>
      <x:c r="H542" s="194"/>
      <x:c r="I542" s="194"/>
      <x:c r="J542" s="194"/>
      <x:c r="K542" s="194"/>
      <x:c r="L542" s="194"/>
      <x:c r="M542" s="194"/>
    </x:row>
    <x:row r="543">
      <x:c r="A543" s="130"/>
      <x:c r="B543" s="194"/>
      <x:c r="C543" s="194"/>
      <x:c r="D543" s="194"/>
      <x:c r="E543" s="194"/>
      <x:c r="F543" s="194"/>
      <x:c r="G543" s="194"/>
      <x:c r="H543" s="194"/>
      <x:c r="I543" s="194"/>
      <x:c r="J543" s="194"/>
      <x:c r="K543" s="194"/>
      <x:c r="L543" s="194"/>
      <x:c r="M543" s="194"/>
    </x:row>
    <x:row r="544">
      <x:c r="A544" s="130"/>
      <x:c r="B544" s="194"/>
      <x:c r="C544" s="194"/>
      <x:c r="D544" s="194"/>
      <x:c r="E544" s="194"/>
      <x:c r="F544" s="194"/>
      <x:c r="G544" s="194"/>
      <x:c r="H544" s="194"/>
      <x:c r="I544" s="194"/>
      <x:c r="J544" s="194"/>
      <x:c r="K544" s="194"/>
      <x:c r="L544" s="194"/>
      <x:c r="M544" s="194"/>
    </x:row>
    <x:row r="545">
      <x:c r="A545" s="130"/>
      <x:c r="B545" s="194"/>
      <x:c r="C545" s="194"/>
      <x:c r="D545" s="194"/>
      <x:c r="E545" s="194"/>
      <x:c r="F545" s="194"/>
      <x:c r="G545" s="194"/>
      <x:c r="H545" s="194"/>
      <x:c r="I545" s="194"/>
      <x:c r="J545" s="194"/>
      <x:c r="K545" s="194"/>
      <x:c r="L545" s="194"/>
      <x:c r="M545" s="194"/>
    </x:row>
    <x:row r="546">
      <x:c r="A546" s="130"/>
      <x:c r="B546" s="194"/>
      <x:c r="C546" s="194"/>
      <x:c r="D546" s="194"/>
      <x:c r="E546" s="194"/>
      <x:c r="F546" s="194"/>
      <x:c r="G546" s="194"/>
      <x:c r="H546" s="194"/>
      <x:c r="I546" s="194"/>
      <x:c r="J546" s="194"/>
      <x:c r="K546" s="194"/>
      <x:c r="L546" s="194"/>
      <x:c r="M546" s="194"/>
    </x:row>
    <x:row r="547">
      <x:c r="A547" s="130"/>
      <x:c r="B547" s="194"/>
      <x:c r="C547" s="194"/>
      <x:c r="D547" s="194"/>
      <x:c r="E547" s="194"/>
      <x:c r="F547" s="194"/>
      <x:c r="G547" s="194"/>
      <x:c r="H547" s="194"/>
      <x:c r="I547" s="194"/>
      <x:c r="J547" s="194"/>
      <x:c r="K547" s="194"/>
      <x:c r="L547" s="194"/>
      <x:c r="M547" s="194"/>
    </x:row>
    <x:row r="548">
      <x:c r="A548" s="130"/>
      <x:c r="B548" s="194"/>
      <x:c r="C548" s="194"/>
      <x:c r="D548" s="194"/>
      <x:c r="E548" s="194"/>
      <x:c r="F548" s="194"/>
      <x:c r="G548" s="194"/>
      <x:c r="H548" s="194"/>
      <x:c r="I548" s="194"/>
      <x:c r="J548" s="194"/>
      <x:c r="K548" s="194"/>
      <x:c r="L548" s="194"/>
      <x:c r="M548" s="194"/>
    </x:row>
    <x:row r="549">
      <x:c r="A549" s="130"/>
      <x:c r="B549" s="194"/>
      <x:c r="C549" s="194"/>
      <x:c r="D549" s="194"/>
      <x:c r="E549" s="194"/>
      <x:c r="F549" s="194"/>
      <x:c r="G549" s="194"/>
      <x:c r="H549" s="194"/>
      <x:c r="I549" s="194"/>
      <x:c r="J549" s="194"/>
      <x:c r="K549" s="194"/>
      <x:c r="L549" s="194"/>
      <x:c r="M549" s="194"/>
    </x:row>
    <x:row r="550">
      <x:c r="A550" s="130"/>
      <x:c r="B550" s="194"/>
      <x:c r="C550" s="194"/>
      <x:c r="D550" s="194"/>
      <x:c r="E550" s="194"/>
      <x:c r="F550" s="194"/>
      <x:c r="G550" s="194"/>
      <x:c r="H550" s="194"/>
      <x:c r="I550" s="194"/>
      <x:c r="J550" s="194"/>
      <x:c r="K550" s="194"/>
      <x:c r="L550" s="194"/>
      <x:c r="M550" s="194"/>
    </x:row>
    <x:row r="551">
      <x:c r="A551" s="130"/>
      <x:c r="B551" s="194"/>
      <x:c r="C551" s="194"/>
      <x:c r="D551" s="194"/>
      <x:c r="E551" s="194"/>
      <x:c r="F551" s="194"/>
      <x:c r="G551" s="194"/>
      <x:c r="H551" s="194"/>
      <x:c r="I551" s="194"/>
      <x:c r="J551" s="194"/>
      <x:c r="K551" s="194"/>
      <x:c r="L551" s="194"/>
      <x:c r="M551" s="194"/>
    </x:row>
    <x:row r="552">
      <x:c r="A552" s="130"/>
      <x:c r="B552" s="194"/>
      <x:c r="C552" s="194"/>
      <x:c r="D552" s="194"/>
      <x:c r="E552" s="194"/>
      <x:c r="F552" s="194"/>
      <x:c r="G552" s="194"/>
      <x:c r="H552" s="194"/>
      <x:c r="I552" s="194"/>
      <x:c r="J552" s="194"/>
      <x:c r="K552" s="194"/>
      <x:c r="L552" s="194"/>
      <x:c r="M552" s="194"/>
    </x:row>
    <x:row r="553">
      <x:c r="A553" s="130"/>
      <x:c r="B553" s="194"/>
      <x:c r="C553" s="194"/>
      <x:c r="D553" s="194"/>
      <x:c r="E553" s="194"/>
      <x:c r="F553" s="194"/>
      <x:c r="G553" s="194"/>
      <x:c r="H553" s="194"/>
      <x:c r="I553" s="194"/>
      <x:c r="J553" s="194"/>
      <x:c r="K553" s="194"/>
      <x:c r="L553" s="194"/>
      <x:c r="M553" s="194"/>
    </x:row>
    <x:row r="554">
      <x:c r="A554" s="130"/>
      <x:c r="B554" s="194"/>
      <x:c r="C554" s="194"/>
      <x:c r="D554" s="194"/>
      <x:c r="E554" s="194"/>
      <x:c r="F554" s="194"/>
      <x:c r="G554" s="194"/>
      <x:c r="H554" s="194"/>
      <x:c r="I554" s="194"/>
      <x:c r="J554" s="194"/>
      <x:c r="K554" s="194"/>
      <x:c r="L554" s="194"/>
      <x:c r="M554" s="194"/>
    </x:row>
    <x:row r="555">
      <x:c r="A555" s="130"/>
      <x:c r="B555" s="194"/>
      <x:c r="C555" s="194"/>
      <x:c r="D555" s="194"/>
      <x:c r="E555" s="194"/>
      <x:c r="F555" s="194"/>
      <x:c r="G555" s="194"/>
      <x:c r="H555" s="194"/>
      <x:c r="I555" s="194"/>
      <x:c r="J555" s="194"/>
      <x:c r="K555" s="194"/>
      <x:c r="L555" s="194"/>
      <x:c r="M555" s="194"/>
    </x:row>
    <x:row r="556">
      <x:c r="A556" s="130"/>
      <x:c r="B556" s="194"/>
      <x:c r="C556" s="194"/>
      <x:c r="D556" s="194"/>
      <x:c r="E556" s="194"/>
      <x:c r="F556" s="194"/>
      <x:c r="G556" s="194"/>
      <x:c r="H556" s="194"/>
      <x:c r="I556" s="194"/>
      <x:c r="J556" s="194"/>
      <x:c r="K556" s="194"/>
      <x:c r="L556" s="194"/>
      <x:c r="M556" s="194"/>
    </x:row>
    <x:row r="557">
      <x:c r="A557" s="130"/>
      <x:c r="B557" s="194"/>
      <x:c r="C557" s="194"/>
      <x:c r="D557" s="194"/>
      <x:c r="E557" s="194"/>
      <x:c r="F557" s="194"/>
      <x:c r="G557" s="194"/>
      <x:c r="H557" s="194"/>
      <x:c r="I557" s="194"/>
      <x:c r="J557" s="194"/>
      <x:c r="K557" s="194"/>
      <x:c r="L557" s="194"/>
      <x:c r="M557" s="194"/>
    </x:row>
    <x:row r="558">
      <x:c r="A558" s="130"/>
      <x:c r="B558" s="194"/>
      <x:c r="C558" s="194"/>
      <x:c r="D558" s="194"/>
      <x:c r="E558" s="194"/>
      <x:c r="F558" s="194"/>
      <x:c r="G558" s="194"/>
      <x:c r="H558" s="194"/>
      <x:c r="I558" s="194"/>
      <x:c r="J558" s="194"/>
      <x:c r="K558" s="194"/>
      <x:c r="L558" s="194"/>
      <x:c r="M558" s="194"/>
    </x:row>
    <x:row r="559">
      <x:c r="A559" s="130"/>
      <x:c r="B559" s="194"/>
      <x:c r="C559" s="194"/>
      <x:c r="D559" s="194"/>
      <x:c r="E559" s="194"/>
      <x:c r="F559" s="194"/>
      <x:c r="G559" s="194"/>
      <x:c r="H559" s="194"/>
      <x:c r="I559" s="194"/>
      <x:c r="J559" s="194"/>
      <x:c r="K559" s="194"/>
      <x:c r="L559" s="194"/>
      <x:c r="M559" s="194"/>
    </x:row>
    <x:row r="560">
      <x:c r="A560" s="130"/>
      <x:c r="B560" s="194"/>
      <x:c r="C560" s="194"/>
      <x:c r="D560" s="194"/>
      <x:c r="E560" s="194"/>
      <x:c r="F560" s="194"/>
      <x:c r="G560" s="194"/>
      <x:c r="H560" s="194"/>
      <x:c r="I560" s="194"/>
      <x:c r="J560" s="194"/>
      <x:c r="K560" s="194"/>
      <x:c r="L560" s="194"/>
      <x:c r="M560" s="194"/>
    </x:row>
    <x:row r="561">
      <x:c r="A561" s="130"/>
      <x:c r="B561" s="194"/>
      <x:c r="C561" s="194"/>
      <x:c r="D561" s="194"/>
      <x:c r="E561" s="194"/>
      <x:c r="F561" s="194"/>
      <x:c r="G561" s="194"/>
      <x:c r="H561" s="194"/>
      <x:c r="I561" s="194"/>
      <x:c r="J561" s="194"/>
      <x:c r="K561" s="194"/>
      <x:c r="L561" s="194"/>
      <x:c r="M561" s="194"/>
    </x:row>
    <x:row r="562">
      <x:c r="A562" s="130"/>
      <x:c r="B562" s="194"/>
      <x:c r="C562" s="194"/>
      <x:c r="D562" s="194"/>
      <x:c r="E562" s="194"/>
      <x:c r="F562" s="194"/>
      <x:c r="G562" s="194"/>
      <x:c r="H562" s="194"/>
      <x:c r="I562" s="194"/>
      <x:c r="J562" s="194"/>
      <x:c r="K562" s="194"/>
      <x:c r="L562" s="194"/>
      <x:c r="M562" s="194"/>
    </x:row>
    <x:row r="563">
      <x:c r="A563" s="130"/>
      <x:c r="B563" s="194"/>
      <x:c r="C563" s="194"/>
      <x:c r="D563" s="194"/>
      <x:c r="E563" s="194"/>
      <x:c r="F563" s="194"/>
      <x:c r="G563" s="194"/>
      <x:c r="H563" s="194"/>
      <x:c r="I563" s="194"/>
      <x:c r="J563" s="194"/>
      <x:c r="K563" s="194"/>
      <x:c r="L563" s="194"/>
      <x:c r="M563" s="194"/>
    </x:row>
    <x:row r="564">
      <x:c r="A564" s="130"/>
      <x:c r="B564" s="194"/>
      <x:c r="C564" s="194"/>
      <x:c r="D564" s="194"/>
      <x:c r="E564" s="194"/>
      <x:c r="F564" s="194"/>
      <x:c r="G564" s="194"/>
      <x:c r="H564" s="194"/>
      <x:c r="I564" s="194"/>
      <x:c r="J564" s="194"/>
      <x:c r="K564" s="194"/>
      <x:c r="L564" s="194"/>
      <x:c r="M564" s="194"/>
    </x:row>
    <x:row r="565">
      <x:c r="A565" s="130"/>
      <x:c r="B565" s="194"/>
      <x:c r="C565" s="194"/>
      <x:c r="D565" s="194"/>
      <x:c r="E565" s="194"/>
      <x:c r="F565" s="194"/>
      <x:c r="G565" s="194"/>
      <x:c r="H565" s="194"/>
      <x:c r="I565" s="194"/>
      <x:c r="J565" s="194"/>
      <x:c r="K565" s="194"/>
      <x:c r="L565" s="194"/>
      <x:c r="M565" s="194"/>
    </x:row>
    <x:row r="566">
      <x:c r="A566" s="130"/>
      <x:c r="B566" s="194"/>
      <x:c r="C566" s="194"/>
      <x:c r="D566" s="194"/>
      <x:c r="E566" s="194"/>
      <x:c r="F566" s="194"/>
      <x:c r="G566" s="194"/>
      <x:c r="H566" s="194"/>
      <x:c r="I566" s="194"/>
      <x:c r="J566" s="194"/>
      <x:c r="K566" s="194"/>
      <x:c r="L566" s="194"/>
      <x:c r="M566" s="194"/>
    </x:row>
    <x:row r="567">
      <x:c r="A567" s="130"/>
      <x:c r="B567" s="194"/>
      <x:c r="C567" s="194"/>
      <x:c r="D567" s="194"/>
      <x:c r="E567" s="194"/>
      <x:c r="F567" s="194"/>
      <x:c r="G567" s="194"/>
      <x:c r="H567" s="194"/>
      <x:c r="I567" s="194"/>
      <x:c r="J567" s="194"/>
      <x:c r="K567" s="194"/>
      <x:c r="L567" s="194"/>
      <x:c r="M567" s="194"/>
    </x:row>
    <x:row r="568">
      <x:c r="A568" s="130"/>
      <x:c r="B568" s="194"/>
      <x:c r="C568" s="194"/>
      <x:c r="D568" s="194"/>
      <x:c r="E568" s="194"/>
      <x:c r="F568" s="194"/>
      <x:c r="G568" s="194"/>
      <x:c r="H568" s="194"/>
      <x:c r="I568" s="194"/>
      <x:c r="J568" s="194"/>
      <x:c r="K568" s="194"/>
      <x:c r="L568" s="194"/>
      <x:c r="M568" s="194"/>
    </x:row>
    <x:row r="569">
      <x:c r="A569" s="130"/>
      <x:c r="B569" s="194"/>
      <x:c r="C569" s="194"/>
      <x:c r="D569" s="194"/>
      <x:c r="E569" s="194"/>
      <x:c r="F569" s="194"/>
      <x:c r="G569" s="194"/>
      <x:c r="H569" s="194"/>
      <x:c r="I569" s="194"/>
      <x:c r="J569" s="194"/>
      <x:c r="K569" s="194"/>
      <x:c r="L569" s="194"/>
      <x:c r="M569" s="194"/>
    </x:row>
    <x:row r="570">
      <x:c r="A570" s="130"/>
      <x:c r="B570" s="194"/>
      <x:c r="C570" s="194"/>
      <x:c r="D570" s="194"/>
      <x:c r="E570" s="194"/>
      <x:c r="F570" s="194"/>
      <x:c r="G570" s="194"/>
      <x:c r="H570" s="194"/>
      <x:c r="I570" s="194"/>
      <x:c r="J570" s="194"/>
      <x:c r="K570" s="194"/>
      <x:c r="L570" s="194"/>
      <x:c r="M570" s="194"/>
    </x:row>
    <x:row r="571">
      <x:c r="A571" s="130"/>
      <x:c r="B571" s="194"/>
      <x:c r="C571" s="194"/>
      <x:c r="D571" s="194"/>
      <x:c r="E571" s="194"/>
      <x:c r="F571" s="194"/>
      <x:c r="G571" s="194"/>
      <x:c r="H571" s="194"/>
      <x:c r="I571" s="194"/>
      <x:c r="J571" s="194"/>
      <x:c r="K571" s="194"/>
      <x:c r="L571" s="194"/>
      <x:c r="M571" s="194"/>
    </x:row>
    <x:row r="572">
      <x:c r="A572" s="130"/>
      <x:c r="B572" s="194"/>
      <x:c r="C572" s="194"/>
      <x:c r="D572" s="194"/>
      <x:c r="E572" s="194"/>
      <x:c r="F572" s="194"/>
      <x:c r="G572" s="194"/>
      <x:c r="H572" s="194"/>
      <x:c r="I572" s="194"/>
      <x:c r="J572" s="194"/>
      <x:c r="K572" s="194"/>
      <x:c r="L572" s="194"/>
      <x:c r="M572" s="194"/>
    </x:row>
    <x:row r="573">
      <x:c r="A573" s="130"/>
      <x:c r="B573" s="194"/>
      <x:c r="C573" s="194"/>
      <x:c r="D573" s="194"/>
      <x:c r="E573" s="194"/>
      <x:c r="F573" s="194"/>
      <x:c r="G573" s="194"/>
      <x:c r="H573" s="194"/>
      <x:c r="I573" s="194"/>
      <x:c r="J573" s="194"/>
      <x:c r="K573" s="194"/>
      <x:c r="L573" s="194"/>
      <x:c r="M573" s="194"/>
    </x:row>
    <x:row r="574">
      <x:c r="A574" s="130"/>
      <x:c r="B574" s="194"/>
      <x:c r="C574" s="194"/>
      <x:c r="D574" s="194"/>
      <x:c r="E574" s="194"/>
      <x:c r="F574" s="194"/>
      <x:c r="G574" s="194"/>
      <x:c r="H574" s="194"/>
      <x:c r="I574" s="194"/>
      <x:c r="J574" s="194"/>
      <x:c r="K574" s="194"/>
      <x:c r="L574" s="194"/>
      <x:c r="M574" s="194"/>
    </x:row>
    <x:row r="575">
      <x:c r="A575" s="130"/>
      <x:c r="B575" s="194"/>
      <x:c r="C575" s="194"/>
      <x:c r="D575" s="194"/>
      <x:c r="E575" s="194"/>
      <x:c r="F575" s="194"/>
      <x:c r="G575" s="194"/>
      <x:c r="H575" s="194"/>
      <x:c r="I575" s="194"/>
      <x:c r="J575" s="194"/>
      <x:c r="K575" s="194"/>
      <x:c r="L575" s="194"/>
      <x:c r="M575" s="194"/>
    </x:row>
    <x:row r="576">
      <x:c r="A576" s="130"/>
      <x:c r="B576" s="194"/>
      <x:c r="C576" s="194"/>
      <x:c r="D576" s="194"/>
      <x:c r="E576" s="194"/>
      <x:c r="F576" s="194"/>
      <x:c r="G576" s="194"/>
      <x:c r="H576" s="194"/>
      <x:c r="I576" s="194"/>
      <x:c r="J576" s="194"/>
      <x:c r="K576" s="194"/>
      <x:c r="L576" s="194"/>
      <x:c r="M576" s="194"/>
    </x:row>
    <x:row r="577">
      <x:c r="A577" s="130"/>
      <x:c r="B577" s="194"/>
      <x:c r="C577" s="194"/>
      <x:c r="D577" s="194"/>
      <x:c r="E577" s="194"/>
      <x:c r="F577" s="194"/>
      <x:c r="G577" s="194"/>
      <x:c r="H577" s="194"/>
      <x:c r="I577" s="194"/>
      <x:c r="J577" s="194"/>
      <x:c r="K577" s="194"/>
      <x:c r="L577" s="194"/>
      <x:c r="M577" s="194"/>
    </x:row>
    <x:row r="578">
      <x:c r="A578" s="130"/>
      <x:c r="B578" s="194"/>
      <x:c r="C578" s="194"/>
      <x:c r="D578" s="194"/>
      <x:c r="E578" s="194"/>
      <x:c r="F578" s="194"/>
      <x:c r="G578" s="194"/>
      <x:c r="H578" s="194"/>
      <x:c r="I578" s="194"/>
      <x:c r="J578" s="194"/>
      <x:c r="K578" s="194"/>
      <x:c r="L578" s="194"/>
      <x:c r="M578" s="194"/>
    </x:row>
    <x:row r="579">
      <x:c r="A579" s="130"/>
      <x:c r="B579" s="194"/>
      <x:c r="C579" s="194"/>
      <x:c r="D579" s="194"/>
      <x:c r="E579" s="194"/>
      <x:c r="F579" s="194"/>
      <x:c r="G579" s="194"/>
      <x:c r="H579" s="194"/>
      <x:c r="I579" s="194"/>
      <x:c r="J579" s="194"/>
      <x:c r="K579" s="194"/>
      <x:c r="L579" s="194"/>
      <x:c r="M579" s="194"/>
    </x:row>
    <x:row r="580">
      <x:c r="A580" s="130"/>
      <x:c r="B580" s="194"/>
      <x:c r="C580" s="194"/>
      <x:c r="D580" s="194"/>
      <x:c r="E580" s="194"/>
      <x:c r="F580" s="194"/>
      <x:c r="G580" s="194"/>
      <x:c r="H580" s="194"/>
      <x:c r="I580" s="194"/>
      <x:c r="J580" s="194"/>
      <x:c r="K580" s="194"/>
      <x:c r="L580" s="194"/>
      <x:c r="M580" s="194"/>
    </x:row>
    <x:row r="581">
      <x:c r="A581" s="130"/>
      <x:c r="B581" s="194"/>
      <x:c r="C581" s="194"/>
      <x:c r="D581" s="194"/>
      <x:c r="E581" s="194"/>
      <x:c r="F581" s="194"/>
      <x:c r="G581" s="194"/>
      <x:c r="H581" s="194"/>
      <x:c r="I581" s="194"/>
      <x:c r="J581" s="194"/>
      <x:c r="K581" s="194"/>
      <x:c r="L581" s="194"/>
      <x:c r="M581" s="194"/>
    </x:row>
    <x:row r="582">
      <x:c r="A582" s="130"/>
      <x:c r="B582" s="194"/>
      <x:c r="C582" s="194"/>
      <x:c r="D582" s="194"/>
      <x:c r="E582" s="194"/>
      <x:c r="F582" s="194"/>
      <x:c r="G582" s="194"/>
      <x:c r="H582" s="194"/>
      <x:c r="I582" s="194"/>
      <x:c r="J582" s="194"/>
      <x:c r="K582" s="194"/>
      <x:c r="L582" s="194"/>
      <x:c r="M582" s="194"/>
    </x:row>
    <x:row r="583">
      <x:c r="A583" s="130"/>
      <x:c r="B583" s="194"/>
      <x:c r="C583" s="194"/>
      <x:c r="D583" s="194"/>
      <x:c r="E583" s="194"/>
      <x:c r="F583" s="194"/>
      <x:c r="G583" s="194"/>
      <x:c r="H583" s="194"/>
      <x:c r="I583" s="194"/>
      <x:c r="J583" s="194"/>
      <x:c r="K583" s="194"/>
      <x:c r="L583" s="194"/>
      <x:c r="M583" s="194"/>
    </x:row>
    <x:row r="584">
      <x:c r="A584" s="130"/>
      <x:c r="B584" s="194"/>
      <x:c r="C584" s="194"/>
      <x:c r="D584" s="194"/>
      <x:c r="E584" s="194"/>
      <x:c r="F584" s="194"/>
      <x:c r="G584" s="194"/>
      <x:c r="H584" s="194"/>
      <x:c r="I584" s="194"/>
      <x:c r="J584" s="194"/>
      <x:c r="K584" s="194"/>
      <x:c r="L584" s="194"/>
      <x:c r="M584" s="194"/>
    </x:row>
    <x:row r="585">
      <x:c r="A585" s="130"/>
      <x:c r="B585" s="194"/>
      <x:c r="C585" s="194"/>
      <x:c r="D585" s="194"/>
      <x:c r="E585" s="194"/>
      <x:c r="F585" s="194"/>
      <x:c r="G585" s="194"/>
      <x:c r="H585" s="194"/>
      <x:c r="I585" s="194"/>
      <x:c r="J585" s="194"/>
      <x:c r="K585" s="194"/>
      <x:c r="L585" s="194"/>
      <x:c r="M585" s="194"/>
    </x:row>
    <x:row r="586">
      <x:c r="A586" s="130"/>
      <x:c r="B586" s="194"/>
      <x:c r="C586" s="194"/>
      <x:c r="D586" s="194"/>
      <x:c r="E586" s="194"/>
      <x:c r="F586" s="194"/>
      <x:c r="G586" s="194"/>
      <x:c r="H586" s="194"/>
      <x:c r="I586" s="194"/>
      <x:c r="J586" s="194"/>
      <x:c r="K586" s="194"/>
      <x:c r="L586" s="194"/>
      <x:c r="M586" s="194"/>
    </x:row>
    <x:row r="587">
      <x:c r="A587" s="130"/>
      <x:c r="B587" s="194"/>
      <x:c r="C587" s="194"/>
      <x:c r="D587" s="194"/>
      <x:c r="E587" s="194"/>
      <x:c r="F587" s="194"/>
      <x:c r="G587" s="194"/>
      <x:c r="H587" s="194"/>
      <x:c r="I587" s="194"/>
      <x:c r="J587" s="194"/>
      <x:c r="K587" s="194"/>
      <x:c r="L587" s="194"/>
      <x:c r="M587" s="194"/>
    </x:row>
    <x:row r="588">
      <x:c r="A588" s="130"/>
      <x:c r="B588" s="194"/>
      <x:c r="C588" s="194"/>
      <x:c r="D588" s="194"/>
      <x:c r="E588" s="194"/>
      <x:c r="F588" s="194"/>
      <x:c r="G588" s="194"/>
      <x:c r="H588" s="194"/>
      <x:c r="I588" s="194"/>
      <x:c r="J588" s="194"/>
      <x:c r="K588" s="194"/>
      <x:c r="L588" s="194"/>
      <x:c r="M588" s="194"/>
    </x:row>
    <x:row r="589">
      <x:c r="A589" s="130"/>
      <x:c r="B589" s="194"/>
      <x:c r="C589" s="194"/>
      <x:c r="D589" s="194"/>
      <x:c r="E589" s="194"/>
      <x:c r="F589" s="194"/>
      <x:c r="G589" s="194"/>
      <x:c r="H589" s="194"/>
      <x:c r="I589" s="194"/>
      <x:c r="J589" s="194"/>
      <x:c r="K589" s="194"/>
      <x:c r="L589" s="194"/>
      <x:c r="M589" s="194"/>
    </x:row>
    <x:row r="590">
      <x:c r="A590" s="130"/>
      <x:c r="B590" s="194"/>
      <x:c r="C590" s="194"/>
      <x:c r="D590" s="194"/>
      <x:c r="E590" s="194"/>
      <x:c r="F590" s="194"/>
      <x:c r="G590" s="194"/>
      <x:c r="H590" s="194"/>
      <x:c r="I590" s="194"/>
      <x:c r="J590" s="194"/>
      <x:c r="K590" s="194"/>
      <x:c r="L590" s="194"/>
      <x:c r="M590" s="194"/>
    </x:row>
    <x:row r="591">
      <x:c r="A591" s="130"/>
      <x:c r="B591" s="194"/>
      <x:c r="C591" s="194"/>
      <x:c r="D591" s="194"/>
      <x:c r="E591" s="194"/>
      <x:c r="F591" s="194"/>
      <x:c r="G591" s="194"/>
      <x:c r="H591" s="194"/>
      <x:c r="I591" s="194"/>
      <x:c r="J591" s="194"/>
      <x:c r="K591" s="194"/>
      <x:c r="L591" s="194"/>
      <x:c r="M591" s="194"/>
    </x:row>
    <x:row r="592">
      <x:c r="A592" s="130"/>
      <x:c r="B592" s="194"/>
      <x:c r="C592" s="194"/>
      <x:c r="D592" s="194"/>
      <x:c r="E592" s="194"/>
      <x:c r="F592" s="194"/>
      <x:c r="G592" s="194"/>
      <x:c r="H592" s="194"/>
      <x:c r="I592" s="194"/>
      <x:c r="J592" s="194"/>
      <x:c r="K592" s="194"/>
      <x:c r="L592" s="194"/>
      <x:c r="M592" s="194"/>
    </x:row>
    <x:row r="593">
      <x:c r="A593" s="130"/>
      <x:c r="B593" s="194"/>
      <x:c r="C593" s="194"/>
      <x:c r="D593" s="194"/>
      <x:c r="E593" s="194"/>
      <x:c r="F593" s="194"/>
      <x:c r="G593" s="194"/>
      <x:c r="H593" s="194"/>
      <x:c r="I593" s="194"/>
      <x:c r="J593" s="194"/>
      <x:c r="K593" s="194"/>
      <x:c r="L593" s="194"/>
      <x:c r="M593" s="194"/>
    </x:row>
    <x:row r="594">
      <x:c r="A594" s="130"/>
      <x:c r="B594" s="194"/>
      <x:c r="C594" s="194"/>
      <x:c r="D594" s="194"/>
      <x:c r="E594" s="194"/>
      <x:c r="F594" s="194"/>
      <x:c r="G594" s="194"/>
      <x:c r="H594" s="194"/>
      <x:c r="I594" s="194"/>
      <x:c r="J594" s="194"/>
      <x:c r="K594" s="194"/>
      <x:c r="L594" s="194"/>
      <x:c r="M594" s="194"/>
    </x:row>
    <x:row r="595">
      <x:c r="A595" s="130"/>
      <x:c r="B595" s="194"/>
      <x:c r="C595" s="194"/>
      <x:c r="D595" s="194"/>
      <x:c r="E595" s="194"/>
      <x:c r="F595" s="194"/>
      <x:c r="G595" s="194"/>
      <x:c r="H595" s="194"/>
      <x:c r="I595" s="194"/>
      <x:c r="J595" s="194"/>
      <x:c r="K595" s="194"/>
      <x:c r="L595" s="194"/>
      <x:c r="M595" s="194"/>
    </x:row>
    <x:row r="596">
      <x:c r="A596" s="130"/>
      <x:c r="B596" s="194"/>
      <x:c r="C596" s="194"/>
      <x:c r="D596" s="194"/>
      <x:c r="E596" s="194"/>
      <x:c r="F596" s="194"/>
      <x:c r="G596" s="194"/>
      <x:c r="H596" s="194"/>
      <x:c r="I596" s="194"/>
      <x:c r="J596" s="194"/>
      <x:c r="K596" s="194"/>
      <x:c r="L596" s="194"/>
      <x:c r="M596" s="194"/>
    </x:row>
    <x:row r="597">
      <x:c r="A597" s="130"/>
      <x:c r="B597" s="194"/>
      <x:c r="C597" s="194"/>
      <x:c r="D597" s="194"/>
      <x:c r="E597" s="194"/>
      <x:c r="F597" s="194"/>
      <x:c r="G597" s="194"/>
      <x:c r="H597" s="194"/>
      <x:c r="I597" s="194"/>
      <x:c r="J597" s="194"/>
      <x:c r="K597" s="194"/>
      <x:c r="L597" s="194"/>
      <x:c r="M597" s="194"/>
    </x:row>
    <x:row r="598">
      <x:c r="A598" s="130"/>
      <x:c r="B598" s="194"/>
      <x:c r="C598" s="194"/>
      <x:c r="D598" s="194"/>
      <x:c r="E598" s="194"/>
      <x:c r="F598" s="194"/>
      <x:c r="G598" s="194"/>
      <x:c r="H598" s="194"/>
      <x:c r="I598" s="194"/>
      <x:c r="J598" s="194"/>
      <x:c r="K598" s="194"/>
      <x:c r="L598" s="194"/>
      <x:c r="M598" s="194"/>
    </x:row>
    <x:row r="599">
      <x:c r="A599" s="130"/>
      <x:c r="B599" s="194"/>
      <x:c r="C599" s="194"/>
      <x:c r="D599" s="194"/>
      <x:c r="E599" s="194"/>
      <x:c r="F599" s="194"/>
      <x:c r="G599" s="194"/>
      <x:c r="H599" s="194"/>
      <x:c r="I599" s="194"/>
      <x:c r="J599" s="194"/>
      <x:c r="K599" s="194"/>
      <x:c r="L599" s="194"/>
      <x:c r="M599" s="194"/>
    </x:row>
    <x:row r="600">
      <x:c r="A600" s="130"/>
      <x:c r="B600" s="194"/>
      <x:c r="C600" s="194"/>
      <x:c r="D600" s="194"/>
      <x:c r="E600" s="194"/>
      <x:c r="F600" s="194"/>
      <x:c r="G600" s="194"/>
      <x:c r="H600" s="194"/>
      <x:c r="I600" s="194"/>
      <x:c r="J600" s="194"/>
      <x:c r="K600" s="194"/>
      <x:c r="L600" s="194"/>
      <x:c r="M600" s="194"/>
    </x:row>
    <x:row r="601">
      <x:c r="A601" s="130"/>
      <x:c r="B601" s="194"/>
      <x:c r="C601" s="194"/>
      <x:c r="D601" s="194"/>
      <x:c r="E601" s="194"/>
      <x:c r="F601" s="194"/>
      <x:c r="G601" s="194"/>
      <x:c r="H601" s="194"/>
      <x:c r="I601" s="194"/>
      <x:c r="J601" s="194"/>
      <x:c r="K601" s="194"/>
      <x:c r="L601" s="194"/>
      <x:c r="M601" s="194"/>
    </x:row>
    <x:row r="602">
      <x:c r="A602" s="130"/>
      <x:c r="B602" s="194"/>
      <x:c r="C602" s="194"/>
      <x:c r="D602" s="194"/>
      <x:c r="E602" s="194"/>
      <x:c r="F602" s="194"/>
      <x:c r="G602" s="194"/>
      <x:c r="H602" s="194"/>
      <x:c r="I602" s="194"/>
      <x:c r="J602" s="194"/>
      <x:c r="K602" s="194"/>
      <x:c r="L602" s="194"/>
      <x:c r="M602" s="194"/>
    </x:row>
    <x:row r="603">
      <x:c r="A603" s="130"/>
      <x:c r="B603" s="194"/>
      <x:c r="C603" s="194"/>
      <x:c r="D603" s="194"/>
      <x:c r="E603" s="194"/>
      <x:c r="F603" s="194"/>
      <x:c r="G603" s="194"/>
      <x:c r="H603" s="194"/>
      <x:c r="I603" s="194"/>
      <x:c r="J603" s="194"/>
      <x:c r="K603" s="194"/>
      <x:c r="L603" s="194"/>
      <x:c r="M603" s="194"/>
    </x:row>
    <x:row r="604">
      <x:c r="A604" s="130"/>
      <x:c r="B604" s="194"/>
      <x:c r="C604" s="194"/>
      <x:c r="D604" s="194"/>
      <x:c r="E604" s="194"/>
      <x:c r="F604" s="194"/>
      <x:c r="G604" s="194"/>
      <x:c r="H604" s="194"/>
      <x:c r="I604" s="194"/>
      <x:c r="J604" s="194"/>
      <x:c r="K604" s="194"/>
      <x:c r="L604" s="194"/>
      <x:c r="M604" s="194"/>
    </x:row>
    <x:row r="605">
      <x:c r="A605" s="130"/>
      <x:c r="B605" s="194"/>
      <x:c r="C605" s="194"/>
      <x:c r="D605" s="194"/>
      <x:c r="E605" s="194"/>
      <x:c r="F605" s="194"/>
      <x:c r="G605" s="194"/>
      <x:c r="H605" s="194"/>
      <x:c r="I605" s="194"/>
      <x:c r="J605" s="194"/>
      <x:c r="K605" s="194"/>
      <x:c r="L605" s="194"/>
      <x:c r="M605" s="194"/>
    </x:row>
    <x:row r="606">
      <x:c r="A606" s="130"/>
      <x:c r="B606" s="194"/>
      <x:c r="C606" s="194"/>
      <x:c r="D606" s="194"/>
      <x:c r="E606" s="194"/>
      <x:c r="F606" s="194"/>
      <x:c r="G606" s="194"/>
      <x:c r="H606" s="194"/>
      <x:c r="I606" s="194"/>
      <x:c r="J606" s="194"/>
      <x:c r="K606" s="194"/>
      <x:c r="L606" s="194"/>
      <x:c r="M606" s="194"/>
    </x:row>
    <x:row r="607">
      <x:c r="A607" s="130"/>
      <x:c r="B607" s="194"/>
      <x:c r="C607" s="194"/>
      <x:c r="D607" s="194"/>
      <x:c r="E607" s="194"/>
      <x:c r="F607" s="194"/>
      <x:c r="G607" s="194"/>
      <x:c r="H607" s="194"/>
      <x:c r="I607" s="194"/>
      <x:c r="J607" s="194"/>
      <x:c r="K607" s="194"/>
      <x:c r="L607" s="194"/>
      <x:c r="M607" s="194"/>
    </x:row>
    <x:row r="608">
      <x:c r="A608" s="130"/>
      <x:c r="B608" s="194"/>
      <x:c r="C608" s="194"/>
      <x:c r="D608" s="194"/>
      <x:c r="E608" s="194"/>
      <x:c r="F608" s="194"/>
      <x:c r="G608" s="194"/>
      <x:c r="H608" s="194"/>
      <x:c r="I608" s="194"/>
      <x:c r="J608" s="194"/>
      <x:c r="K608" s="194"/>
      <x:c r="L608" s="194"/>
      <x:c r="M608" s="194"/>
    </x:row>
    <x:row r="609">
      <x:c r="A609" s="130"/>
      <x:c r="B609" s="194"/>
      <x:c r="C609" s="194"/>
      <x:c r="D609" s="194"/>
      <x:c r="E609" s="194"/>
      <x:c r="F609" s="194"/>
      <x:c r="G609" s="194"/>
      <x:c r="H609" s="194"/>
      <x:c r="I609" s="194"/>
      <x:c r="J609" s="194"/>
      <x:c r="K609" s="194"/>
      <x:c r="L609" s="194"/>
      <x:c r="M609" s="194"/>
    </x:row>
    <x:row r="610">
      <x:c r="A610" s="130"/>
      <x:c r="B610" s="194"/>
      <x:c r="C610" s="194"/>
      <x:c r="D610" s="194"/>
      <x:c r="E610" s="194"/>
      <x:c r="F610" s="194"/>
      <x:c r="G610" s="194"/>
      <x:c r="H610" s="194"/>
      <x:c r="I610" s="194"/>
      <x:c r="J610" s="194"/>
      <x:c r="K610" s="194"/>
      <x:c r="L610" s="194"/>
      <x:c r="M610" s="194"/>
    </x:row>
    <x:row r="611">
      <x:c r="A611" s="130"/>
      <x:c r="B611" s="194"/>
      <x:c r="C611" s="194"/>
      <x:c r="D611" s="194"/>
      <x:c r="E611" s="194"/>
      <x:c r="F611" s="194"/>
      <x:c r="G611" s="194"/>
      <x:c r="H611" s="194"/>
      <x:c r="I611" s="194"/>
      <x:c r="J611" s="194"/>
      <x:c r="K611" s="194"/>
      <x:c r="L611" s="194"/>
      <x:c r="M611" s="194"/>
    </x:row>
    <x:row r="612">
      <x:c r="A612" s="130"/>
      <x:c r="B612" s="194"/>
      <x:c r="C612" s="194"/>
      <x:c r="D612" s="194"/>
      <x:c r="E612" s="194"/>
      <x:c r="F612" s="194"/>
      <x:c r="G612" s="194"/>
      <x:c r="H612" s="194"/>
      <x:c r="I612" s="194"/>
      <x:c r="J612" s="194"/>
      <x:c r="K612" s="194"/>
      <x:c r="L612" s="194"/>
      <x:c r="M612" s="194"/>
    </x:row>
    <x:row r="613">
      <x:c r="A613" s="130"/>
      <x:c r="B613" s="194"/>
      <x:c r="C613" s="194"/>
      <x:c r="D613" s="194"/>
      <x:c r="E613" s="194"/>
      <x:c r="F613" s="194"/>
      <x:c r="G613" s="194"/>
      <x:c r="H613" s="194"/>
      <x:c r="I613" s="194"/>
      <x:c r="J613" s="194"/>
      <x:c r="K613" s="194"/>
      <x:c r="L613" s="194"/>
      <x:c r="M613" s="194"/>
    </x:row>
    <x:row r="614">
      <x:c r="A614" s="130"/>
      <x:c r="B614" s="194"/>
      <x:c r="C614" s="194"/>
      <x:c r="D614" s="194"/>
      <x:c r="E614" s="194"/>
      <x:c r="F614" s="194"/>
      <x:c r="G614" s="194"/>
      <x:c r="H614" s="194"/>
      <x:c r="I614" s="194"/>
      <x:c r="J614" s="194"/>
      <x:c r="K614" s="194"/>
      <x:c r="L614" s="194"/>
      <x:c r="M614" s="194"/>
    </x:row>
    <x:row r="615">
      <x:c r="A615" s="130"/>
      <x:c r="B615" s="194"/>
      <x:c r="C615" s="194"/>
      <x:c r="D615" s="194"/>
      <x:c r="E615" s="194"/>
      <x:c r="F615" s="194"/>
      <x:c r="G615" s="194"/>
      <x:c r="H615" s="194"/>
      <x:c r="I615" s="194"/>
      <x:c r="J615" s="194"/>
      <x:c r="K615" s="194"/>
      <x:c r="L615" s="194"/>
      <x:c r="M615" s="194"/>
    </x:row>
    <x:row r="616">
      <x:c r="A616" s="130"/>
      <x:c r="B616" s="194"/>
      <x:c r="C616" s="194"/>
      <x:c r="D616" s="194"/>
      <x:c r="E616" s="194"/>
      <x:c r="F616" s="194"/>
      <x:c r="G616" s="194"/>
      <x:c r="H616" s="194"/>
      <x:c r="I616" s="194"/>
      <x:c r="J616" s="194"/>
      <x:c r="K616" s="194"/>
      <x:c r="L616" s="194"/>
      <x:c r="M616" s="194"/>
    </x:row>
    <x:row r="617">
      <x:c r="A617" s="130"/>
      <x:c r="B617" s="194"/>
      <x:c r="C617" s="194"/>
      <x:c r="D617" s="194"/>
      <x:c r="E617" s="194"/>
      <x:c r="F617" s="194"/>
      <x:c r="G617" s="194"/>
      <x:c r="H617" s="194"/>
      <x:c r="I617" s="194"/>
      <x:c r="J617" s="194"/>
      <x:c r="K617" s="194"/>
      <x:c r="L617" s="194"/>
      <x:c r="M617" s="194"/>
    </x:row>
    <x:row r="618">
      <x:c r="A618" s="130"/>
      <x:c r="B618" s="194"/>
      <x:c r="C618" s="194"/>
      <x:c r="D618" s="194"/>
      <x:c r="E618" s="194"/>
      <x:c r="F618" s="194"/>
      <x:c r="G618" s="194"/>
      <x:c r="H618" s="194"/>
      <x:c r="I618" s="194"/>
      <x:c r="J618" s="194"/>
      <x:c r="K618" s="194"/>
      <x:c r="L618" s="194"/>
      <x:c r="M618" s="194"/>
    </x:row>
    <x:row r="619">
      <x:c r="A619" s="130"/>
      <x:c r="B619" s="194"/>
      <x:c r="C619" s="194"/>
      <x:c r="D619" s="194"/>
      <x:c r="E619" s="194"/>
      <x:c r="F619" s="194"/>
      <x:c r="G619" s="194"/>
      <x:c r="H619" s="194"/>
      <x:c r="I619" s="194"/>
      <x:c r="J619" s="194"/>
      <x:c r="K619" s="194"/>
      <x:c r="L619" s="194"/>
      <x:c r="M619" s="194"/>
    </x:row>
    <x:row r="620">
      <x:c r="A620" s="130"/>
      <x:c r="B620" s="194"/>
      <x:c r="C620" s="194"/>
      <x:c r="D620" s="194"/>
      <x:c r="E620" s="194"/>
      <x:c r="F620" s="194"/>
      <x:c r="G620" s="194"/>
      <x:c r="H620" s="194"/>
      <x:c r="I620" s="194"/>
      <x:c r="J620" s="194"/>
      <x:c r="K620" s="194"/>
      <x:c r="L620" s="194"/>
      <x:c r="M620" s="194"/>
    </x:row>
    <x:row r="621">
      <x:c r="A621" s="130"/>
      <x:c r="B621" s="194"/>
      <x:c r="C621" s="194"/>
      <x:c r="D621" s="194"/>
      <x:c r="E621" s="194"/>
      <x:c r="F621" s="194"/>
      <x:c r="G621" s="194"/>
      <x:c r="H621" s="194"/>
      <x:c r="I621" s="194"/>
      <x:c r="J621" s="194"/>
      <x:c r="K621" s="194"/>
      <x:c r="L621" s="194"/>
      <x:c r="M621" s="194"/>
    </x:row>
    <x:row r="622">
      <x:c r="A622" s="130"/>
      <x:c r="B622" s="194"/>
      <x:c r="C622" s="194"/>
      <x:c r="D622" s="194"/>
      <x:c r="E622" s="194"/>
      <x:c r="F622" s="194"/>
      <x:c r="G622" s="194"/>
      <x:c r="H622" s="194"/>
      <x:c r="I622" s="194"/>
      <x:c r="J622" s="194"/>
      <x:c r="K622" s="194"/>
      <x:c r="L622" s="194"/>
      <x:c r="M622" s="194"/>
    </x:row>
    <x:row r="623">
      <x:c r="A623" s="130"/>
      <x:c r="B623" s="194"/>
      <x:c r="C623" s="194"/>
      <x:c r="D623" s="194"/>
      <x:c r="E623" s="194"/>
      <x:c r="F623" s="194"/>
      <x:c r="G623" s="194"/>
      <x:c r="H623" s="194"/>
      <x:c r="I623" s="194"/>
      <x:c r="J623" s="194"/>
      <x:c r="K623" s="194"/>
      <x:c r="L623" s="194"/>
      <x:c r="M623" s="194"/>
    </x:row>
    <x:row r="624">
      <x:c r="A624" s="130"/>
      <x:c r="B624" s="194"/>
      <x:c r="C624" s="194"/>
      <x:c r="D624" s="194"/>
      <x:c r="E624" s="194"/>
      <x:c r="F624" s="194"/>
      <x:c r="G624" s="194"/>
      <x:c r="H624" s="194"/>
      <x:c r="I624" s="194"/>
      <x:c r="J624" s="194"/>
      <x:c r="K624" s="194"/>
      <x:c r="L624" s="194"/>
      <x:c r="M624" s="194"/>
    </x:row>
    <x:row r="625">
      <x:c r="A625" s="130"/>
      <x:c r="B625" s="194"/>
      <x:c r="C625" s="194"/>
      <x:c r="D625" s="194"/>
      <x:c r="E625" s="194"/>
      <x:c r="F625" s="194"/>
      <x:c r="G625" s="194"/>
      <x:c r="H625" s="194"/>
      <x:c r="I625" s="194"/>
      <x:c r="J625" s="194"/>
      <x:c r="K625" s="194"/>
      <x:c r="L625" s="194"/>
      <x:c r="M625" s="194"/>
    </x:row>
    <x:row r="626">
      <x:c r="A626" s="130"/>
      <x:c r="B626" s="194"/>
      <x:c r="C626" s="194"/>
      <x:c r="D626" s="194"/>
      <x:c r="E626" s="194"/>
      <x:c r="F626" s="194"/>
      <x:c r="G626" s="194"/>
      <x:c r="H626" s="194"/>
      <x:c r="I626" s="194"/>
      <x:c r="J626" s="194"/>
      <x:c r="K626" s="194"/>
      <x:c r="L626" s="194"/>
      <x:c r="M626" s="194"/>
    </x:row>
    <x:row r="627">
      <x:c r="A627" s="130"/>
      <x:c r="B627" s="194"/>
      <x:c r="C627" s="194"/>
      <x:c r="D627" s="194"/>
      <x:c r="E627" s="194"/>
      <x:c r="F627" s="194"/>
      <x:c r="G627" s="194"/>
      <x:c r="H627" s="194"/>
      <x:c r="I627" s="194"/>
      <x:c r="J627" s="194"/>
      <x:c r="K627" s="194"/>
      <x:c r="L627" s="194"/>
      <x:c r="M627" s="194"/>
    </x:row>
    <x:row r="628">
      <x:c r="A628" s="130"/>
      <x:c r="B628" s="194"/>
      <x:c r="C628" s="194"/>
      <x:c r="D628" s="194"/>
      <x:c r="E628" s="194"/>
      <x:c r="F628" s="194"/>
      <x:c r="G628" s="194"/>
      <x:c r="H628" s="194"/>
      <x:c r="I628" s="194"/>
      <x:c r="J628" s="194"/>
      <x:c r="K628" s="194"/>
      <x:c r="L628" s="194"/>
      <x:c r="M628" s="194"/>
    </x:row>
    <x:row r="629">
      <x:c r="A629" s="130"/>
      <x:c r="B629" s="194"/>
      <x:c r="C629" s="194"/>
      <x:c r="D629" s="194"/>
      <x:c r="E629" s="194"/>
      <x:c r="F629" s="194"/>
      <x:c r="G629" s="194"/>
      <x:c r="H629" s="194"/>
      <x:c r="I629" s="194"/>
      <x:c r="J629" s="194"/>
      <x:c r="K629" s="194"/>
      <x:c r="L629" s="194"/>
      <x:c r="M629" s="194"/>
    </x:row>
    <x:row r="630">
      <x:c r="A630" s="130"/>
      <x:c r="B630" s="194"/>
      <x:c r="C630" s="194"/>
      <x:c r="D630" s="194"/>
      <x:c r="E630" s="194"/>
      <x:c r="F630" s="194"/>
      <x:c r="G630" s="194"/>
      <x:c r="H630" s="194"/>
      <x:c r="I630" s="194"/>
      <x:c r="J630" s="194"/>
      <x:c r="K630" s="194"/>
      <x:c r="L630" s="194"/>
      <x:c r="M630" s="194"/>
    </x:row>
    <x:row r="631">
      <x:c r="A631" s="130"/>
      <x:c r="B631" s="194"/>
      <x:c r="C631" s="194"/>
      <x:c r="D631" s="194"/>
      <x:c r="E631" s="194"/>
      <x:c r="F631" s="194"/>
      <x:c r="G631" s="194"/>
      <x:c r="H631" s="194"/>
      <x:c r="I631" s="194"/>
      <x:c r="J631" s="194"/>
      <x:c r="K631" s="194"/>
      <x:c r="L631" s="194"/>
      <x:c r="M631" s="194"/>
    </x:row>
    <x:row r="632">
      <x:c r="A632" s="130"/>
      <x:c r="B632" s="194"/>
      <x:c r="C632" s="194"/>
      <x:c r="D632" s="194"/>
      <x:c r="E632" s="194"/>
      <x:c r="F632" s="194"/>
      <x:c r="G632" s="194"/>
      <x:c r="H632" s="194"/>
      <x:c r="I632" s="194"/>
      <x:c r="J632" s="194"/>
      <x:c r="K632" s="194"/>
      <x:c r="L632" s="194"/>
      <x:c r="M632" s="194"/>
    </x:row>
    <x:row r="633">
      <x:c r="A633" s="130"/>
      <x:c r="B633" s="194"/>
      <x:c r="C633" s="194"/>
      <x:c r="D633" s="194"/>
      <x:c r="E633" s="194"/>
      <x:c r="F633" s="194"/>
      <x:c r="G633" s="194"/>
      <x:c r="H633" s="194"/>
      <x:c r="I633" s="194"/>
      <x:c r="J633" s="194"/>
      <x:c r="K633" s="194"/>
      <x:c r="L633" s="194"/>
      <x:c r="M633" s="194"/>
    </x:row>
    <x:row r="634">
      <x:c r="A634" s="130"/>
      <x:c r="B634" s="194"/>
      <x:c r="C634" s="194"/>
      <x:c r="D634" s="194"/>
      <x:c r="E634" s="194"/>
      <x:c r="F634" s="194"/>
      <x:c r="G634" s="194"/>
      <x:c r="H634" s="194"/>
      <x:c r="I634" s="194"/>
      <x:c r="J634" s="194"/>
      <x:c r="K634" s="194"/>
      <x:c r="L634" s="194"/>
      <x:c r="M634" s="194"/>
    </x:row>
    <x:row r="635">
      <x:c r="A635" s="130"/>
      <x:c r="B635" s="194"/>
      <x:c r="C635" s="194"/>
      <x:c r="D635" s="194"/>
      <x:c r="E635" s="194"/>
      <x:c r="F635" s="194"/>
      <x:c r="G635" s="194"/>
      <x:c r="H635" s="194"/>
      <x:c r="I635" s="194"/>
      <x:c r="J635" s="194"/>
      <x:c r="K635" s="194"/>
      <x:c r="L635" s="194"/>
      <x:c r="M635" s="194"/>
    </x:row>
    <x:row r="636">
      <x:c r="A636" s="130"/>
      <x:c r="B636" s="194"/>
      <x:c r="C636" s="194"/>
      <x:c r="D636" s="194"/>
      <x:c r="E636" s="194"/>
      <x:c r="F636" s="194"/>
      <x:c r="G636" s="194"/>
      <x:c r="H636" s="194"/>
      <x:c r="I636" s="194"/>
      <x:c r="J636" s="194"/>
      <x:c r="K636" s="194"/>
      <x:c r="L636" s="194"/>
      <x:c r="M636" s="194"/>
    </x:row>
    <x:row r="637">
      <x:c r="A637" s="130"/>
      <x:c r="B637" s="194"/>
      <x:c r="C637" s="194"/>
      <x:c r="D637" s="194"/>
      <x:c r="E637" s="194"/>
      <x:c r="F637" s="194"/>
      <x:c r="G637" s="194"/>
      <x:c r="H637" s="194"/>
      <x:c r="I637" s="194"/>
      <x:c r="J637" s="194"/>
      <x:c r="K637" s="194"/>
      <x:c r="L637" s="194"/>
      <x:c r="M637" s="194"/>
    </x:row>
    <x:row r="638">
      <x:c r="A638" s="130"/>
      <x:c r="B638" s="194"/>
      <x:c r="C638" s="194"/>
      <x:c r="D638" s="194"/>
      <x:c r="E638" s="194"/>
      <x:c r="F638" s="194"/>
      <x:c r="G638" s="194"/>
      <x:c r="H638" s="194"/>
      <x:c r="I638" s="194"/>
      <x:c r="J638" s="194"/>
      <x:c r="K638" s="194"/>
      <x:c r="L638" s="194"/>
      <x:c r="M638" s="194"/>
    </x:row>
    <x:row r="639">
      <x:c r="A639" s="130"/>
      <x:c r="B639" s="194"/>
      <x:c r="C639" s="194"/>
      <x:c r="D639" s="194"/>
      <x:c r="E639" s="194"/>
      <x:c r="F639" s="194"/>
      <x:c r="G639" s="194"/>
      <x:c r="H639" s="194"/>
      <x:c r="I639" s="194"/>
      <x:c r="J639" s="194"/>
      <x:c r="K639" s="194"/>
      <x:c r="L639" s="194"/>
      <x:c r="M639" s="194"/>
    </x:row>
    <x:row r="640">
      <x:c r="A640" s="130"/>
      <x:c r="B640" s="194"/>
      <x:c r="C640" s="194"/>
      <x:c r="D640" s="194"/>
      <x:c r="E640" s="194"/>
      <x:c r="F640" s="194"/>
      <x:c r="G640" s="194"/>
      <x:c r="H640" s="194"/>
      <x:c r="I640" s="194"/>
      <x:c r="J640" s="194"/>
      <x:c r="K640" s="194"/>
      <x:c r="L640" s="194"/>
      <x:c r="M640" s="194"/>
    </x:row>
    <x:row r="641">
      <x:c r="A641" s="130"/>
      <x:c r="B641" s="194"/>
      <x:c r="C641" s="194"/>
      <x:c r="D641" s="194"/>
      <x:c r="E641" s="194"/>
      <x:c r="F641" s="194"/>
      <x:c r="G641" s="194"/>
      <x:c r="H641" s="194"/>
      <x:c r="I641" s="194"/>
      <x:c r="J641" s="194"/>
      <x:c r="K641" s="194"/>
      <x:c r="L641" s="194"/>
      <x:c r="M641" s="194"/>
    </x:row>
    <x:row r="642">
      <x:c r="A642" s="130"/>
      <x:c r="B642" s="194"/>
      <x:c r="C642" s="194"/>
      <x:c r="D642" s="194"/>
      <x:c r="E642" s="194"/>
      <x:c r="F642" s="194"/>
      <x:c r="G642" s="194"/>
      <x:c r="H642" s="194"/>
      <x:c r="I642" s="194"/>
      <x:c r="J642" s="194"/>
      <x:c r="K642" s="194"/>
      <x:c r="L642" s="194"/>
      <x:c r="M642" s="194"/>
    </x:row>
    <x:row r="643">
      <x:c r="A643" s="130"/>
      <x:c r="B643" s="194"/>
      <x:c r="C643" s="194"/>
      <x:c r="D643" s="194"/>
      <x:c r="E643" s="194"/>
      <x:c r="F643" s="194"/>
      <x:c r="G643" s="194"/>
      <x:c r="H643" s="194"/>
      <x:c r="I643" s="194"/>
      <x:c r="J643" s="194"/>
      <x:c r="K643" s="194"/>
      <x:c r="L643" s="194"/>
      <x:c r="M643" s="194"/>
    </x:row>
    <x:row r="644">
      <x:c r="A644" s="130"/>
      <x:c r="B644" s="194"/>
      <x:c r="C644" s="194"/>
      <x:c r="D644" s="194"/>
      <x:c r="E644" s="194"/>
      <x:c r="F644" s="194"/>
      <x:c r="G644" s="194"/>
      <x:c r="H644" s="194"/>
      <x:c r="I644" s="194"/>
      <x:c r="J644" s="194"/>
      <x:c r="K644" s="194"/>
      <x:c r="L644" s="194"/>
      <x:c r="M644" s="194"/>
    </x:row>
    <x:row r="645">
      <x:c r="A645" s="130"/>
      <x:c r="B645" s="194"/>
      <x:c r="C645" s="194"/>
      <x:c r="D645" s="194"/>
      <x:c r="E645" s="194"/>
      <x:c r="F645" s="194"/>
      <x:c r="G645" s="194"/>
      <x:c r="H645" s="194"/>
      <x:c r="I645" s="194"/>
      <x:c r="J645" s="194"/>
      <x:c r="K645" s="194"/>
      <x:c r="L645" s="194"/>
      <x:c r="M645" s="194"/>
    </x:row>
    <x:row r="646">
      <x:c r="A646" s="130"/>
      <x:c r="B646" s="194"/>
      <x:c r="C646" s="194"/>
      <x:c r="D646" s="194"/>
      <x:c r="E646" s="194"/>
      <x:c r="F646" s="194"/>
      <x:c r="G646" s="194"/>
      <x:c r="H646" s="194"/>
      <x:c r="I646" s="194"/>
      <x:c r="J646" s="194"/>
      <x:c r="K646" s="194"/>
      <x:c r="L646" s="194"/>
      <x:c r="M646" s="194"/>
    </x:row>
    <x:row r="647">
      <x:c r="A647" s="130"/>
      <x:c r="B647" s="194"/>
      <x:c r="C647" s="194"/>
      <x:c r="D647" s="194"/>
      <x:c r="E647" s="194"/>
      <x:c r="F647" s="194"/>
      <x:c r="G647" s="194"/>
      <x:c r="H647" s="194"/>
      <x:c r="I647" s="194"/>
      <x:c r="J647" s="194"/>
      <x:c r="K647" s="194"/>
      <x:c r="L647" s="194"/>
      <x:c r="M647" s="194"/>
    </x:row>
    <x:row r="648">
      <x:c r="A648" s="130"/>
      <x:c r="B648" s="194"/>
      <x:c r="C648" s="194"/>
      <x:c r="D648" s="194"/>
      <x:c r="E648" s="194"/>
      <x:c r="F648" s="194"/>
      <x:c r="G648" s="194"/>
      <x:c r="H648" s="194"/>
      <x:c r="I648" s="194"/>
      <x:c r="J648" s="194"/>
      <x:c r="K648" s="194"/>
      <x:c r="L648" s="194"/>
      <x:c r="M648" s="194"/>
    </x:row>
    <x:row r="649">
      <x:c r="A649" s="130"/>
      <x:c r="B649" s="194"/>
      <x:c r="C649" s="194"/>
      <x:c r="D649" s="194"/>
      <x:c r="E649" s="194"/>
      <x:c r="F649" s="194"/>
      <x:c r="G649" s="194"/>
      <x:c r="H649" s="194"/>
      <x:c r="I649" s="194"/>
      <x:c r="J649" s="194"/>
      <x:c r="K649" s="194"/>
      <x:c r="L649" s="194"/>
      <x:c r="M649" s="194"/>
    </x:row>
    <x:row r="650">
      <x:c r="A650" s="130"/>
      <x:c r="B650" s="194"/>
      <x:c r="C650" s="194"/>
      <x:c r="D650" s="194"/>
      <x:c r="E650" s="194"/>
      <x:c r="F650" s="194"/>
      <x:c r="G650" s="194"/>
      <x:c r="H650" s="194"/>
      <x:c r="I650" s="194"/>
      <x:c r="J650" s="194"/>
      <x:c r="K650" s="194"/>
      <x:c r="L650" s="194"/>
      <x:c r="M650" s="194"/>
    </x:row>
    <x:row r="651">
      <x:c r="A651" s="130"/>
      <x:c r="B651" s="194"/>
      <x:c r="C651" s="194"/>
      <x:c r="D651" s="194"/>
      <x:c r="E651" s="194"/>
      <x:c r="F651" s="194"/>
      <x:c r="G651" s="194"/>
      <x:c r="H651" s="194"/>
      <x:c r="I651" s="194"/>
      <x:c r="J651" s="194"/>
      <x:c r="K651" s="194"/>
      <x:c r="L651" s="194"/>
      <x:c r="M651" s="194"/>
    </x:row>
    <x:row r="652">
      <x:c r="A652" s="130"/>
      <x:c r="B652" s="194"/>
      <x:c r="C652" s="194"/>
      <x:c r="D652" s="194"/>
      <x:c r="E652" s="194"/>
      <x:c r="F652" s="194"/>
      <x:c r="G652" s="194"/>
      <x:c r="H652" s="194"/>
      <x:c r="I652" s="194"/>
      <x:c r="J652" s="194"/>
      <x:c r="K652" s="194"/>
      <x:c r="L652" s="194"/>
      <x:c r="M652" s="194"/>
    </x:row>
    <x:row r="653">
      <x:c r="A653" s="130"/>
      <x:c r="B653" s="194"/>
      <x:c r="C653" s="194"/>
      <x:c r="D653" s="194"/>
      <x:c r="E653" s="194"/>
      <x:c r="F653" s="194"/>
      <x:c r="G653" s="194"/>
      <x:c r="H653" s="194"/>
      <x:c r="I653" s="194"/>
      <x:c r="J653" s="194"/>
      <x:c r="K653" s="194"/>
      <x:c r="L653" s="194"/>
      <x:c r="M653" s="194"/>
    </x:row>
    <x:row r="654">
      <x:c r="A654" s="130"/>
      <x:c r="B654" s="194"/>
      <x:c r="C654" s="194"/>
      <x:c r="D654" s="194"/>
      <x:c r="E654" s="194"/>
      <x:c r="F654" s="194"/>
      <x:c r="G654" s="194"/>
      <x:c r="H654" s="194"/>
      <x:c r="I654" s="194"/>
      <x:c r="J654" s="194"/>
      <x:c r="K654" s="194"/>
      <x:c r="L654" s="194"/>
      <x:c r="M654" s="194"/>
    </x:row>
    <x:row r="655">
      <x:c r="A655" s="130"/>
      <x:c r="B655" s="194"/>
      <x:c r="C655" s="194"/>
      <x:c r="D655" s="194"/>
      <x:c r="E655" s="194"/>
      <x:c r="F655" s="194"/>
      <x:c r="G655" s="194"/>
      <x:c r="H655" s="194"/>
      <x:c r="I655" s="194"/>
      <x:c r="J655" s="194"/>
      <x:c r="K655" s="194"/>
      <x:c r="L655" s="194"/>
      <x:c r="M655" s="194"/>
    </x:row>
    <x:row r="656">
      <x:c r="A656" s="130"/>
      <x:c r="B656" s="194"/>
      <x:c r="C656" s="194"/>
      <x:c r="D656" s="194"/>
      <x:c r="E656" s="194"/>
      <x:c r="F656" s="194"/>
      <x:c r="G656" s="194"/>
      <x:c r="H656" s="194"/>
      <x:c r="I656" s="194"/>
      <x:c r="J656" s="194"/>
      <x:c r="K656" s="194"/>
      <x:c r="L656" s="194"/>
      <x:c r="M656" s="194"/>
    </x:row>
    <x:row r="657">
      <x:c r="A657" s="130"/>
      <x:c r="B657" s="194"/>
      <x:c r="C657" s="194"/>
      <x:c r="D657" s="194"/>
      <x:c r="E657" s="194"/>
      <x:c r="F657" s="194"/>
      <x:c r="G657" s="194"/>
      <x:c r="H657" s="194"/>
      <x:c r="I657" s="194"/>
      <x:c r="J657" s="194"/>
      <x:c r="K657" s="194"/>
      <x:c r="L657" s="194"/>
      <x:c r="M657" s="194"/>
    </x:row>
    <x:row r="658">
      <x:c r="A658" s="130"/>
      <x:c r="B658" s="194"/>
      <x:c r="C658" s="194"/>
      <x:c r="D658" s="194"/>
      <x:c r="E658" s="194"/>
      <x:c r="F658" s="194"/>
      <x:c r="G658" s="194"/>
      <x:c r="H658" s="194"/>
      <x:c r="I658" s="194"/>
      <x:c r="J658" s="194"/>
      <x:c r="K658" s="194"/>
      <x:c r="L658" s="194"/>
      <x:c r="M658" s="194"/>
    </x:row>
    <x:row r="659">
      <x:c r="A659" s="130"/>
      <x:c r="B659" s="194"/>
      <x:c r="C659" s="194"/>
      <x:c r="D659" s="194"/>
      <x:c r="E659" s="194"/>
      <x:c r="F659" s="194"/>
      <x:c r="G659" s="194"/>
      <x:c r="H659" s="194"/>
      <x:c r="I659" s="194"/>
      <x:c r="J659" s="194"/>
      <x:c r="K659" s="194"/>
      <x:c r="L659" s="194"/>
      <x:c r="M659" s="194"/>
    </x:row>
    <x:row r="660">
      <x:c r="A660" s="130"/>
      <x:c r="B660" s="194"/>
      <x:c r="C660" s="194"/>
      <x:c r="D660" s="194"/>
      <x:c r="E660" s="194"/>
      <x:c r="F660" s="194"/>
      <x:c r="G660" s="194"/>
      <x:c r="H660" s="194"/>
      <x:c r="I660" s="194"/>
      <x:c r="J660" s="194"/>
      <x:c r="K660" s="194"/>
      <x:c r="L660" s="194"/>
      <x:c r="M660" s="194"/>
    </x:row>
    <x:row r="661">
      <x:c r="A661" s="130"/>
      <x:c r="B661" s="194"/>
      <x:c r="C661" s="194"/>
      <x:c r="D661" s="194"/>
      <x:c r="E661" s="194"/>
      <x:c r="F661" s="194"/>
      <x:c r="G661" s="194"/>
      <x:c r="H661" s="194"/>
      <x:c r="I661" s="194"/>
      <x:c r="J661" s="194"/>
      <x:c r="K661" s="194"/>
      <x:c r="L661" s="194"/>
      <x:c r="M661" s="194"/>
    </x:row>
    <x:row r="662">
      <x:c r="A662" s="130"/>
      <x:c r="B662" s="194"/>
      <x:c r="C662" s="194"/>
      <x:c r="D662" s="194"/>
      <x:c r="E662" s="194"/>
      <x:c r="F662" s="194"/>
      <x:c r="G662" s="194"/>
      <x:c r="H662" s="194"/>
      <x:c r="I662" s="194"/>
      <x:c r="J662" s="194"/>
      <x:c r="K662" s="194"/>
      <x:c r="L662" s="194"/>
      <x:c r="M662" s="194"/>
    </x:row>
    <x:row r="663">
      <x:c r="A663" s="130"/>
      <x:c r="B663" s="194"/>
      <x:c r="C663" s="194"/>
      <x:c r="D663" s="194"/>
      <x:c r="E663" s="194"/>
      <x:c r="F663" s="194"/>
      <x:c r="G663" s="194"/>
      <x:c r="H663" s="194"/>
      <x:c r="I663" s="194"/>
      <x:c r="J663" s="194"/>
      <x:c r="K663" s="194"/>
      <x:c r="L663" s="194"/>
      <x:c r="M663" s="194"/>
    </x:row>
    <x:row r="664">
      <x:c r="A664" s="130"/>
      <x:c r="B664" s="194"/>
      <x:c r="C664" s="194"/>
      <x:c r="D664" s="194"/>
      <x:c r="E664" s="194"/>
      <x:c r="F664" s="194"/>
      <x:c r="G664" s="194"/>
      <x:c r="H664" s="194"/>
      <x:c r="I664" s="194"/>
      <x:c r="J664" s="194"/>
      <x:c r="K664" s="194"/>
      <x:c r="L664" s="194"/>
      <x:c r="M664" s="194"/>
    </x:row>
    <x:row r="665">
      <x:c r="A665" s="130"/>
      <x:c r="B665" s="194"/>
      <x:c r="C665" s="194"/>
      <x:c r="D665" s="194"/>
      <x:c r="E665" s="194"/>
      <x:c r="F665" s="194"/>
      <x:c r="G665" s="194"/>
      <x:c r="H665" s="194"/>
      <x:c r="I665" s="194"/>
      <x:c r="J665" s="194"/>
      <x:c r="K665" s="194"/>
      <x:c r="L665" s="194"/>
      <x:c r="M665" s="194"/>
    </x:row>
    <x:row r="666">
      <x:c r="A666" s="130"/>
      <x:c r="B666" s="194"/>
      <x:c r="C666" s="194"/>
      <x:c r="D666" s="194"/>
      <x:c r="E666" s="194"/>
      <x:c r="F666" s="194"/>
      <x:c r="G666" s="194"/>
      <x:c r="H666" s="194"/>
      <x:c r="I666" s="194"/>
      <x:c r="J666" s="194"/>
      <x:c r="K666" s="194"/>
      <x:c r="L666" s="194"/>
      <x:c r="M666" s="194"/>
    </x:row>
    <x:row r="667">
      <x:c r="A667" s="130"/>
      <x:c r="B667" s="194"/>
      <x:c r="C667" s="194"/>
      <x:c r="D667" s="194"/>
      <x:c r="E667" s="194"/>
      <x:c r="F667" s="194"/>
      <x:c r="G667" s="194"/>
      <x:c r="H667" s="194"/>
      <x:c r="I667" s="194"/>
      <x:c r="J667" s="194"/>
      <x:c r="K667" s="194"/>
      <x:c r="L667" s="194"/>
      <x:c r="M667" s="194"/>
    </x:row>
    <x:row r="668">
      <x:c r="A668" s="130"/>
      <x:c r="B668" s="194"/>
      <x:c r="C668" s="194"/>
      <x:c r="D668" s="194"/>
      <x:c r="E668" s="194"/>
      <x:c r="F668" s="194"/>
      <x:c r="G668" s="194"/>
      <x:c r="H668" s="194"/>
      <x:c r="I668" s="194"/>
      <x:c r="J668" s="194"/>
      <x:c r="K668" s="194"/>
      <x:c r="L668" s="194"/>
      <x:c r="M668" s="194"/>
    </x:row>
    <x:row r="669">
      <x:c r="A669" s="130"/>
      <x:c r="B669" s="194"/>
      <x:c r="C669" s="194"/>
      <x:c r="D669" s="194"/>
      <x:c r="E669" s="194"/>
      <x:c r="F669" s="194"/>
      <x:c r="G669" s="194"/>
      <x:c r="H669" s="194"/>
      <x:c r="I669" s="194"/>
      <x:c r="J669" s="194"/>
      <x:c r="K669" s="194"/>
      <x:c r="L669" s="194"/>
      <x:c r="M669" s="194"/>
    </x:row>
    <x:row r="670">
      <x:c r="A670" s="130"/>
      <x:c r="B670" s="194"/>
      <x:c r="C670" s="194"/>
      <x:c r="D670" s="194"/>
      <x:c r="E670" s="194"/>
      <x:c r="F670" s="194"/>
      <x:c r="G670" s="194"/>
      <x:c r="H670" s="194"/>
      <x:c r="I670" s="194"/>
      <x:c r="J670" s="194"/>
      <x:c r="K670" s="194"/>
      <x:c r="L670" s="194"/>
      <x:c r="M670" s="194"/>
    </x:row>
    <x:row r="671">
      <x:c r="A671" s="130"/>
      <x:c r="B671" s="194"/>
      <x:c r="C671" s="194"/>
      <x:c r="D671" s="194"/>
      <x:c r="E671" s="194"/>
      <x:c r="F671" s="194"/>
      <x:c r="G671" s="194"/>
      <x:c r="H671" s="194"/>
      <x:c r="I671" s="194"/>
      <x:c r="J671" s="194"/>
      <x:c r="K671" s="194"/>
      <x:c r="L671" s="194"/>
      <x:c r="M671" s="194"/>
    </x:row>
    <x:row r="672">
      <x:c r="A672" s="130"/>
      <x:c r="B672" s="194"/>
      <x:c r="C672" s="194"/>
      <x:c r="D672" s="194"/>
      <x:c r="E672" s="194"/>
      <x:c r="F672" s="194"/>
      <x:c r="G672" s="194"/>
      <x:c r="H672" s="194"/>
      <x:c r="I672" s="194"/>
      <x:c r="J672" s="194"/>
      <x:c r="K672" s="194"/>
      <x:c r="L672" s="194"/>
      <x:c r="M672" s="194"/>
    </x:row>
    <x:row r="673">
      <x:c r="A673" s="130"/>
      <x:c r="B673" s="194"/>
      <x:c r="C673" s="194"/>
      <x:c r="D673" s="194"/>
      <x:c r="E673" s="194"/>
      <x:c r="F673" s="194"/>
      <x:c r="G673" s="194"/>
      <x:c r="H673" s="194"/>
      <x:c r="I673" s="194"/>
      <x:c r="J673" s="194"/>
      <x:c r="K673" s="194"/>
      <x:c r="L673" s="194"/>
      <x:c r="M673" s="194"/>
    </x:row>
    <x:row r="674">
      <x:c r="A674" s="130"/>
      <x:c r="B674" s="194"/>
      <x:c r="C674" s="194"/>
      <x:c r="D674" s="194"/>
      <x:c r="E674" s="194"/>
      <x:c r="F674" s="194"/>
      <x:c r="G674" s="194"/>
      <x:c r="H674" s="194"/>
      <x:c r="I674" s="194"/>
      <x:c r="J674" s="194"/>
      <x:c r="K674" s="194"/>
      <x:c r="L674" s="194"/>
      <x:c r="M674" s="194"/>
    </x:row>
    <x:row r="675">
      <x:c r="A675" s="130"/>
      <x:c r="B675" s="194"/>
      <x:c r="C675" s="194"/>
      <x:c r="D675" s="194"/>
      <x:c r="E675" s="194"/>
      <x:c r="F675" s="194"/>
      <x:c r="G675" s="194"/>
      <x:c r="H675" s="194"/>
      <x:c r="I675" s="194"/>
      <x:c r="J675" s="194"/>
      <x:c r="K675" s="194"/>
      <x:c r="L675" s="194"/>
      <x:c r="M675" s="194"/>
    </x:row>
    <x:row r="676">
      <x:c r="A676" s="130"/>
      <x:c r="B676" s="194"/>
      <x:c r="C676" s="194"/>
      <x:c r="D676" s="194"/>
      <x:c r="E676" s="194"/>
      <x:c r="F676" s="194"/>
      <x:c r="G676" s="194"/>
      <x:c r="H676" s="194"/>
      <x:c r="I676" s="194"/>
      <x:c r="J676" s="194"/>
      <x:c r="K676" s="194"/>
      <x:c r="L676" s="194"/>
      <x:c r="M676" s="194"/>
    </x:row>
    <x:row r="677">
      <x:c r="A677" s="130"/>
      <x:c r="B677" s="194"/>
      <x:c r="C677" s="194"/>
      <x:c r="D677" s="194"/>
      <x:c r="E677" s="194"/>
      <x:c r="F677" s="194"/>
      <x:c r="G677" s="194"/>
      <x:c r="H677" s="194"/>
      <x:c r="I677" s="194"/>
      <x:c r="J677" s="194"/>
      <x:c r="K677" s="194"/>
      <x:c r="L677" s="194"/>
      <x:c r="M677" s="194"/>
    </x:row>
    <x:row r="678">
      <x:c r="A678" s="130"/>
      <x:c r="B678" s="194"/>
      <x:c r="C678" s="194"/>
      <x:c r="D678" s="194"/>
      <x:c r="E678" s="194"/>
      <x:c r="F678" s="194"/>
      <x:c r="G678" s="194"/>
      <x:c r="H678" s="194"/>
      <x:c r="I678" s="194"/>
      <x:c r="J678" s="194"/>
      <x:c r="K678" s="194"/>
      <x:c r="L678" s="194"/>
      <x:c r="M678" s="194"/>
    </x:row>
    <x:row r="679">
      <x:c r="A679" s="130"/>
      <x:c r="B679" s="194"/>
      <x:c r="C679" s="194"/>
      <x:c r="D679" s="194"/>
      <x:c r="E679" s="194"/>
      <x:c r="F679" s="194"/>
      <x:c r="G679" s="194"/>
      <x:c r="H679" s="194"/>
      <x:c r="I679" s="194"/>
      <x:c r="J679" s="194"/>
      <x:c r="K679" s="194"/>
      <x:c r="L679" s="194"/>
      <x:c r="M679" s="194"/>
    </x:row>
    <x:row r="680">
      <x:c r="A680" s="130"/>
      <x:c r="B680" s="194"/>
      <x:c r="C680" s="194"/>
      <x:c r="D680" s="194"/>
      <x:c r="E680" s="194"/>
      <x:c r="F680" s="194"/>
      <x:c r="G680" s="194"/>
      <x:c r="H680" s="194"/>
      <x:c r="I680" s="194"/>
      <x:c r="J680" s="194"/>
      <x:c r="K680" s="194"/>
      <x:c r="L680" s="194"/>
      <x:c r="M680" s="194"/>
    </x:row>
    <x:row r="681">
      <x:c r="A681" s="130"/>
      <x:c r="B681" s="194"/>
      <x:c r="C681" s="194"/>
      <x:c r="D681" s="194"/>
      <x:c r="E681" s="194"/>
      <x:c r="F681" s="194"/>
      <x:c r="G681" s="194"/>
      <x:c r="H681" s="194"/>
      <x:c r="I681" s="194"/>
      <x:c r="J681" s="194"/>
      <x:c r="K681" s="194"/>
      <x:c r="L681" s="194"/>
      <x:c r="M681" s="194"/>
    </x:row>
    <x:row r="682">
      <x:c r="A682" s="130"/>
      <x:c r="B682" s="194"/>
      <x:c r="C682" s="194"/>
      <x:c r="D682" s="194"/>
      <x:c r="E682" s="194"/>
      <x:c r="F682" s="194"/>
      <x:c r="G682" s="194"/>
      <x:c r="H682" s="194"/>
      <x:c r="I682" s="194"/>
      <x:c r="J682" s="194"/>
      <x:c r="K682" s="194"/>
      <x:c r="L682" s="194"/>
      <x:c r="M682" s="194"/>
    </x:row>
    <x:row r="683">
      <x:c r="A683" s="130"/>
      <x:c r="B683" s="194"/>
      <x:c r="C683" s="194"/>
      <x:c r="D683" s="194"/>
      <x:c r="E683" s="194"/>
      <x:c r="F683" s="194"/>
      <x:c r="G683" s="194"/>
      <x:c r="H683" s="194"/>
      <x:c r="I683" s="194"/>
      <x:c r="J683" s="194"/>
      <x:c r="K683" s="194"/>
      <x:c r="L683" s="194"/>
      <x:c r="M683" s="194"/>
    </x:row>
    <x:row r="684">
      <x:c r="A684" s="130"/>
      <x:c r="B684" s="194"/>
      <x:c r="C684" s="194"/>
      <x:c r="D684" s="194"/>
      <x:c r="E684" s="194"/>
      <x:c r="F684" s="194"/>
      <x:c r="G684" s="194"/>
      <x:c r="H684" s="194"/>
      <x:c r="I684" s="194"/>
      <x:c r="J684" s="194"/>
      <x:c r="K684" s="194"/>
      <x:c r="L684" s="194"/>
      <x:c r="M684" s="194"/>
    </x:row>
    <x:row r="685">
      <x:c r="A685" s="130"/>
      <x:c r="B685" s="194"/>
      <x:c r="C685" s="194"/>
      <x:c r="D685" s="194"/>
      <x:c r="E685" s="194"/>
      <x:c r="F685" s="194"/>
      <x:c r="G685" s="194"/>
      <x:c r="H685" s="194"/>
      <x:c r="I685" s="194"/>
      <x:c r="J685" s="194"/>
      <x:c r="K685" s="194"/>
      <x:c r="L685" s="194"/>
      <x:c r="M685" s="194"/>
    </x:row>
    <x:row r="686">
      <x:c r="A686" s="130"/>
      <x:c r="B686" s="194"/>
      <x:c r="C686" s="194"/>
      <x:c r="D686" s="194"/>
      <x:c r="E686" s="194"/>
      <x:c r="F686" s="194"/>
      <x:c r="G686" s="194"/>
      <x:c r="H686" s="194"/>
      <x:c r="I686" s="194"/>
      <x:c r="J686" s="194"/>
      <x:c r="K686" s="194"/>
      <x:c r="L686" s="194"/>
      <x:c r="M686" s="194"/>
    </x:row>
    <x:row r="687">
      <x:c r="A687" s="130"/>
      <x:c r="B687" s="194"/>
      <x:c r="C687" s="194"/>
      <x:c r="D687" s="194"/>
      <x:c r="E687" s="194"/>
      <x:c r="F687" s="194"/>
      <x:c r="G687" s="194"/>
      <x:c r="H687" s="194"/>
      <x:c r="I687" s="194"/>
      <x:c r="J687" s="194"/>
      <x:c r="K687" s="194"/>
      <x:c r="L687" s="194"/>
      <x:c r="M687" s="194"/>
    </x:row>
    <x:row r="688">
      <x:c r="A688" s="130"/>
      <x:c r="B688" s="194"/>
      <x:c r="C688" s="194"/>
      <x:c r="D688" s="194"/>
      <x:c r="E688" s="194"/>
      <x:c r="F688" s="194"/>
      <x:c r="G688" s="194"/>
      <x:c r="H688" s="194"/>
      <x:c r="I688" s="194"/>
      <x:c r="J688" s="194"/>
      <x:c r="K688" s="194"/>
      <x:c r="L688" s="194"/>
      <x:c r="M688" s="194"/>
    </x:row>
    <x:row r="689">
      <x:c r="A689" s="130"/>
      <x:c r="B689" s="194"/>
      <x:c r="C689" s="194"/>
      <x:c r="D689" s="194"/>
      <x:c r="E689" s="194"/>
      <x:c r="F689" s="194"/>
      <x:c r="G689" s="194"/>
      <x:c r="H689" s="194"/>
      <x:c r="I689" s="194"/>
      <x:c r="J689" s="194"/>
      <x:c r="K689" s="194"/>
      <x:c r="L689" s="194"/>
      <x:c r="M689" s="194"/>
    </x:row>
    <x:row r="690">
      <x:c r="A690" s="130"/>
      <x:c r="B690" s="194"/>
      <x:c r="C690" s="194"/>
      <x:c r="D690" s="194"/>
      <x:c r="E690" s="194"/>
      <x:c r="F690" s="194"/>
      <x:c r="G690" s="194"/>
      <x:c r="H690" s="194"/>
      <x:c r="I690" s="194"/>
      <x:c r="J690" s="194"/>
      <x:c r="K690" s="194"/>
      <x:c r="L690" s="194"/>
      <x:c r="M690" s="194"/>
    </x:row>
    <x:row r="691">
      <x:c r="A691" s="130"/>
      <x:c r="B691" s="194"/>
      <x:c r="C691" s="194"/>
      <x:c r="D691" s="194"/>
      <x:c r="E691" s="194"/>
      <x:c r="F691" s="194"/>
      <x:c r="G691" s="194"/>
      <x:c r="H691" s="194"/>
      <x:c r="I691" s="194"/>
      <x:c r="J691" s="194"/>
      <x:c r="K691" s="194"/>
      <x:c r="L691" s="194"/>
      <x:c r="M691" s="194"/>
    </x:row>
    <x:row r="692">
      <x:c r="A692" s="130"/>
      <x:c r="B692" s="194"/>
      <x:c r="C692" s="194"/>
      <x:c r="D692" s="194"/>
      <x:c r="E692" s="194"/>
      <x:c r="F692" s="194"/>
      <x:c r="G692" s="194"/>
      <x:c r="H692" s="194"/>
      <x:c r="I692" s="194"/>
      <x:c r="J692" s="194"/>
      <x:c r="K692" s="194"/>
      <x:c r="L692" s="194"/>
      <x:c r="M692" s="194"/>
    </x:row>
    <x:row r="693">
      <x:c r="A693" s="130"/>
      <x:c r="B693" s="194"/>
      <x:c r="C693" s="194"/>
      <x:c r="D693" s="194"/>
      <x:c r="E693" s="194"/>
      <x:c r="F693" s="194"/>
      <x:c r="G693" s="194"/>
      <x:c r="H693" s="194"/>
      <x:c r="I693" s="194"/>
      <x:c r="J693" s="194"/>
      <x:c r="K693" s="194"/>
      <x:c r="L693" s="194"/>
      <x:c r="M693" s="194"/>
    </x:row>
    <x:row r="694">
      <x:c r="A694" s="130"/>
      <x:c r="B694" s="194"/>
      <x:c r="C694" s="194"/>
      <x:c r="D694" s="194"/>
      <x:c r="E694" s="194"/>
      <x:c r="F694" s="194"/>
      <x:c r="G694" s="194"/>
      <x:c r="H694" s="194"/>
      <x:c r="I694" s="194"/>
      <x:c r="J694" s="194"/>
      <x:c r="K694" s="194"/>
      <x:c r="L694" s="194"/>
      <x:c r="M694" s="194"/>
    </x:row>
    <x:row r="695">
      <x:c r="A695" s="130"/>
      <x:c r="B695" s="194"/>
      <x:c r="C695" s="194"/>
      <x:c r="D695" s="194"/>
      <x:c r="E695" s="194"/>
      <x:c r="F695" s="194"/>
      <x:c r="G695" s="194"/>
      <x:c r="H695" s="194"/>
      <x:c r="I695" s="194"/>
      <x:c r="J695" s="194"/>
      <x:c r="K695" s="194"/>
      <x:c r="L695" s="194"/>
      <x:c r="M695" s="194"/>
    </x:row>
    <x:row r="696">
      <x:c r="A696" s="130"/>
      <x:c r="B696" s="194"/>
      <x:c r="C696" s="194"/>
      <x:c r="D696" s="194"/>
      <x:c r="E696" s="194"/>
      <x:c r="F696" s="194"/>
      <x:c r="G696" s="194"/>
      <x:c r="H696" s="194"/>
      <x:c r="I696" s="194"/>
      <x:c r="J696" s="194"/>
      <x:c r="K696" s="194"/>
      <x:c r="L696" s="194"/>
      <x:c r="M696" s="194"/>
    </x:row>
    <x:row r="697">
      <x:c r="A697" s="130"/>
      <x:c r="B697" s="194"/>
      <x:c r="C697" s="194"/>
      <x:c r="D697" s="194"/>
      <x:c r="E697" s="194"/>
      <x:c r="F697" s="194"/>
      <x:c r="G697" s="194"/>
      <x:c r="H697" s="194"/>
      <x:c r="I697" s="194"/>
      <x:c r="J697" s="194"/>
      <x:c r="K697" s="194"/>
      <x:c r="L697" s="194"/>
      <x:c r="M697" s="194"/>
    </x:row>
    <x:row r="698">
      <x:c r="A698" s="130"/>
      <x:c r="B698" s="194"/>
      <x:c r="C698" s="194"/>
      <x:c r="D698" s="194"/>
      <x:c r="E698" s="194"/>
      <x:c r="F698" s="194"/>
      <x:c r="G698" s="194"/>
      <x:c r="H698" s="194"/>
      <x:c r="I698" s="194"/>
      <x:c r="J698" s="194"/>
      <x:c r="K698" s="194"/>
      <x:c r="L698" s="194"/>
      <x:c r="M698" s="194"/>
    </x:row>
    <x:row r="699">
      <x:c r="A699" s="130"/>
      <x:c r="B699" s="194"/>
      <x:c r="C699" s="194"/>
      <x:c r="D699" s="194"/>
      <x:c r="E699" s="194"/>
      <x:c r="F699" s="194"/>
      <x:c r="G699" s="194"/>
      <x:c r="H699" s="194"/>
      <x:c r="I699" s="194"/>
      <x:c r="J699" s="194"/>
      <x:c r="K699" s="194"/>
      <x:c r="L699" s="194"/>
      <x:c r="M699" s="194"/>
    </x:row>
    <x:row r="700">
      <x:c r="A700" s="130"/>
      <x:c r="B700" s="194"/>
      <x:c r="C700" s="194"/>
      <x:c r="D700" s="194"/>
      <x:c r="E700" s="194"/>
      <x:c r="F700" s="194"/>
      <x:c r="G700" s="194"/>
      <x:c r="H700" s="194"/>
      <x:c r="I700" s="194"/>
      <x:c r="J700" s="194"/>
      <x:c r="K700" s="194"/>
      <x:c r="L700" s="194"/>
      <x:c r="M700" s="194"/>
    </x:row>
    <x:row r="701">
      <x:c r="A701" s="130"/>
      <x:c r="B701" s="194"/>
      <x:c r="C701" s="194"/>
      <x:c r="D701" s="194"/>
      <x:c r="E701" s="194"/>
      <x:c r="F701" s="194"/>
      <x:c r="G701" s="194"/>
      <x:c r="H701" s="194"/>
      <x:c r="I701" s="194"/>
      <x:c r="J701" s="194"/>
      <x:c r="K701" s="194"/>
      <x:c r="L701" s="194"/>
      <x:c r="M701" s="194"/>
    </x:row>
    <x:row r="702">
      <x:c r="A702" s="130"/>
      <x:c r="B702" s="194"/>
      <x:c r="C702" s="194"/>
      <x:c r="D702" s="194"/>
      <x:c r="E702" s="194"/>
      <x:c r="F702" s="194"/>
      <x:c r="G702" s="194"/>
      <x:c r="H702" s="194"/>
      <x:c r="I702" s="194"/>
      <x:c r="J702" s="194"/>
      <x:c r="K702" s="194"/>
      <x:c r="L702" s="194"/>
      <x:c r="M702" s="194"/>
    </x:row>
    <x:row r="703">
      <x:c r="A703" s="130"/>
      <x:c r="B703" s="194"/>
      <x:c r="C703" s="194"/>
      <x:c r="D703" s="194"/>
      <x:c r="E703" s="194"/>
      <x:c r="F703" s="194"/>
      <x:c r="G703" s="194"/>
      <x:c r="H703" s="194"/>
      <x:c r="I703" s="194"/>
      <x:c r="J703" s="194"/>
      <x:c r="K703" s="194"/>
      <x:c r="L703" s="194"/>
      <x:c r="M703" s="194"/>
    </x:row>
    <x:row r="704">
      <x:c r="A704" s="130"/>
      <x:c r="B704" s="194"/>
      <x:c r="C704" s="194"/>
      <x:c r="D704" s="194"/>
      <x:c r="E704" s="194"/>
      <x:c r="F704" s="194"/>
      <x:c r="G704" s="194"/>
      <x:c r="H704" s="194"/>
      <x:c r="I704" s="194"/>
      <x:c r="J704" s="194"/>
      <x:c r="K704" s="194"/>
      <x:c r="L704" s="194"/>
      <x:c r="M704" s="194"/>
    </x:row>
    <x:row r="705">
      <x:c r="A705" s="130"/>
      <x:c r="B705" s="194"/>
      <x:c r="C705" s="194"/>
      <x:c r="D705" s="194"/>
      <x:c r="E705" s="194"/>
      <x:c r="F705" s="194"/>
      <x:c r="G705" s="194"/>
      <x:c r="H705" s="194"/>
      <x:c r="I705" s="194"/>
      <x:c r="J705" s="194"/>
      <x:c r="K705" s="194"/>
      <x:c r="L705" s="194"/>
      <x:c r="M705" s="194"/>
    </x:row>
    <x:row r="706">
      <x:c r="A706" s="130"/>
      <x:c r="B706" s="194"/>
      <x:c r="C706" s="194"/>
      <x:c r="D706" s="194"/>
      <x:c r="E706" s="194"/>
      <x:c r="F706" s="194"/>
      <x:c r="G706" s="194"/>
      <x:c r="H706" s="194"/>
      <x:c r="I706" s="194"/>
      <x:c r="J706" s="194"/>
      <x:c r="K706" s="194"/>
      <x:c r="L706" s="194"/>
      <x:c r="M706" s="194"/>
    </x:row>
    <x:row r="707">
      <x:c r="A707" s="130"/>
      <x:c r="B707" s="194"/>
      <x:c r="C707" s="194"/>
      <x:c r="D707" s="194"/>
      <x:c r="E707" s="194"/>
      <x:c r="F707" s="194"/>
      <x:c r="G707" s="194"/>
      <x:c r="H707" s="194"/>
      <x:c r="I707" s="194"/>
      <x:c r="J707" s="194"/>
      <x:c r="K707" s="194"/>
      <x:c r="L707" s="194"/>
      <x:c r="M707" s="194"/>
    </x:row>
    <x:row r="708">
      <x:c r="A708" s="130"/>
      <x:c r="B708" s="194"/>
      <x:c r="C708" s="194"/>
      <x:c r="D708" s="194"/>
      <x:c r="E708" s="194"/>
      <x:c r="F708" s="194"/>
      <x:c r="G708" s="194"/>
      <x:c r="H708" s="194"/>
      <x:c r="I708" s="194"/>
      <x:c r="J708" s="194"/>
      <x:c r="K708" s="194"/>
      <x:c r="L708" s="194"/>
      <x:c r="M708" s="194"/>
    </x:row>
    <x:row r="709">
      <x:c r="A709" s="130"/>
      <x:c r="B709" s="194"/>
      <x:c r="C709" s="194"/>
      <x:c r="D709" s="194"/>
      <x:c r="E709" s="194"/>
      <x:c r="F709" s="194"/>
      <x:c r="G709" s="194"/>
      <x:c r="H709" s="194"/>
      <x:c r="I709" s="194"/>
      <x:c r="J709" s="194"/>
      <x:c r="K709" s="194"/>
      <x:c r="L709" s="194"/>
      <x:c r="M709" s="194"/>
    </x:row>
    <x:row r="710">
      <x:c r="A710" s="130"/>
      <x:c r="B710" s="194"/>
      <x:c r="C710" s="194"/>
      <x:c r="D710" s="194"/>
      <x:c r="E710" s="194"/>
      <x:c r="F710" s="194"/>
      <x:c r="G710" s="194"/>
      <x:c r="H710" s="194"/>
      <x:c r="I710" s="194"/>
      <x:c r="J710" s="194"/>
      <x:c r="K710" s="194"/>
      <x:c r="L710" s="194"/>
      <x:c r="M710" s="194"/>
    </x:row>
    <x:row r="711">
      <x:c r="A711" s="130"/>
      <x:c r="B711" s="194"/>
      <x:c r="C711" s="194"/>
      <x:c r="D711" s="194"/>
      <x:c r="E711" s="194"/>
      <x:c r="F711" s="194"/>
      <x:c r="G711" s="194"/>
      <x:c r="H711" s="194"/>
      <x:c r="I711" s="194"/>
      <x:c r="J711" s="194"/>
      <x:c r="K711" s="194"/>
      <x:c r="L711" s="194"/>
      <x:c r="M711" s="194"/>
    </x:row>
    <x:row r="712">
      <x:c r="A712" s="130"/>
      <x:c r="B712" s="194"/>
      <x:c r="C712" s="194"/>
      <x:c r="D712" s="194"/>
      <x:c r="E712" s="194"/>
      <x:c r="F712" s="194"/>
      <x:c r="G712" s="194"/>
      <x:c r="H712" s="194"/>
      <x:c r="I712" s="194"/>
      <x:c r="J712" s="194"/>
      <x:c r="K712" s="194"/>
      <x:c r="L712" s="194"/>
      <x:c r="M712" s="194"/>
    </x:row>
    <x:row r="713">
      <x:c r="A713" s="130"/>
      <x:c r="B713" s="194"/>
      <x:c r="C713" s="194"/>
      <x:c r="D713" s="194"/>
      <x:c r="E713" s="194"/>
      <x:c r="F713" s="194"/>
      <x:c r="G713" s="194"/>
      <x:c r="H713" s="194"/>
      <x:c r="I713" s="194"/>
      <x:c r="J713" s="194"/>
      <x:c r="K713" s="194"/>
      <x:c r="L713" s="194"/>
      <x:c r="M713" s="194"/>
    </x:row>
    <x:row r="714">
      <x:c r="A714" s="130"/>
      <x:c r="B714" s="194"/>
      <x:c r="C714" s="194"/>
      <x:c r="D714" s="194"/>
      <x:c r="E714" s="194"/>
      <x:c r="F714" s="194"/>
      <x:c r="G714" s="194"/>
      <x:c r="H714" s="194"/>
      <x:c r="I714" s="194"/>
      <x:c r="J714" s="194"/>
      <x:c r="K714" s="194"/>
      <x:c r="L714" s="194"/>
      <x:c r="M714" s="194"/>
    </x:row>
    <x:row r="715">
      <x:c r="A715" s="130"/>
      <x:c r="B715" s="194"/>
      <x:c r="C715" s="194"/>
      <x:c r="D715" s="194"/>
      <x:c r="E715" s="194"/>
      <x:c r="F715" s="194"/>
      <x:c r="G715" s="194"/>
      <x:c r="H715" s="194"/>
      <x:c r="I715" s="194"/>
      <x:c r="J715" s="194"/>
      <x:c r="K715" s="194"/>
      <x:c r="L715" s="194"/>
      <x:c r="M715" s="194"/>
    </x:row>
    <x:row r="716">
      <x:c r="A716" s="130"/>
      <x:c r="B716" s="194"/>
      <x:c r="C716" s="194"/>
      <x:c r="D716" s="194"/>
      <x:c r="E716" s="194"/>
      <x:c r="F716" s="194"/>
      <x:c r="G716" s="194"/>
      <x:c r="H716" s="194"/>
      <x:c r="I716" s="194"/>
      <x:c r="J716" s="194"/>
      <x:c r="K716" s="194"/>
      <x:c r="L716" s="194"/>
      <x:c r="M716" s="194"/>
    </x:row>
    <x:row r="717">
      <x:c r="A717" s="130"/>
      <x:c r="B717" s="194"/>
      <x:c r="C717" s="194"/>
      <x:c r="D717" s="194"/>
      <x:c r="E717" s="194"/>
      <x:c r="F717" s="194"/>
      <x:c r="G717" s="194"/>
      <x:c r="H717" s="194"/>
      <x:c r="I717" s="194"/>
      <x:c r="J717" s="194"/>
      <x:c r="K717" s="194"/>
      <x:c r="L717" s="194"/>
      <x:c r="M717" s="194"/>
    </x:row>
    <x:row r="718">
      <x:c r="A718" s="130"/>
      <x:c r="B718" s="194"/>
      <x:c r="C718" s="194"/>
      <x:c r="D718" s="194"/>
      <x:c r="E718" s="194"/>
      <x:c r="F718" s="194"/>
      <x:c r="G718" s="194"/>
      <x:c r="H718" s="194"/>
      <x:c r="I718" s="194"/>
      <x:c r="J718" s="194"/>
      <x:c r="K718" s="194"/>
      <x:c r="L718" s="194"/>
      <x:c r="M718" s="194"/>
    </x:row>
    <x:row r="719">
      <x:c r="A719" s="130"/>
      <x:c r="B719" s="194"/>
      <x:c r="C719" s="194"/>
      <x:c r="D719" s="194"/>
      <x:c r="E719" s="194"/>
      <x:c r="F719" s="194"/>
      <x:c r="G719" s="194"/>
      <x:c r="H719" s="194"/>
      <x:c r="I719" s="194"/>
      <x:c r="J719" s="194"/>
      <x:c r="K719" s="194"/>
      <x:c r="L719" s="194"/>
      <x:c r="M719" s="194"/>
    </x:row>
    <x:row r="720">
      <x:c r="A720" s="130"/>
      <x:c r="B720" s="194"/>
      <x:c r="C720" s="194"/>
      <x:c r="D720" s="194"/>
      <x:c r="E720" s="194"/>
      <x:c r="F720" s="194"/>
      <x:c r="G720" s="194"/>
      <x:c r="H720" s="194"/>
      <x:c r="I720" s="194"/>
      <x:c r="J720" s="194"/>
      <x:c r="K720" s="194"/>
      <x:c r="L720" s="194"/>
      <x:c r="M720" s="194"/>
    </x:row>
    <x:row r="721">
      <x:c r="A721" s="130"/>
      <x:c r="B721" s="194"/>
      <x:c r="C721" s="194"/>
      <x:c r="D721" s="194"/>
      <x:c r="E721" s="194"/>
      <x:c r="F721" s="194"/>
      <x:c r="G721" s="194"/>
      <x:c r="H721" s="194"/>
      <x:c r="I721" s="194"/>
      <x:c r="J721" s="194"/>
      <x:c r="K721" s="194"/>
      <x:c r="L721" s="194"/>
      <x:c r="M721" s="194"/>
    </x:row>
    <x:row r="722">
      <x:c r="A722" s="130"/>
      <x:c r="B722" s="194"/>
      <x:c r="C722" s="194"/>
      <x:c r="D722" s="194"/>
      <x:c r="E722" s="194"/>
      <x:c r="F722" s="194"/>
      <x:c r="G722" s="194"/>
      <x:c r="H722" s="194"/>
      <x:c r="I722" s="194"/>
      <x:c r="J722" s="194"/>
      <x:c r="K722" s="194"/>
      <x:c r="L722" s="194"/>
      <x:c r="M722" s="194"/>
    </x:row>
    <x:row r="723">
      <x:c r="A723" s="130"/>
      <x:c r="B723" s="194"/>
      <x:c r="C723" s="194"/>
      <x:c r="D723" s="194"/>
      <x:c r="E723" s="194"/>
      <x:c r="F723" s="194"/>
      <x:c r="G723" s="194"/>
      <x:c r="H723" s="194"/>
      <x:c r="I723" s="194"/>
      <x:c r="J723" s="194"/>
      <x:c r="K723" s="194"/>
      <x:c r="L723" s="194"/>
      <x:c r="M723" s="194"/>
    </x:row>
    <x:row r="724">
      <x:c r="A724" s="130"/>
      <x:c r="B724" s="194"/>
      <x:c r="C724" s="194"/>
      <x:c r="D724" s="194"/>
      <x:c r="E724" s="194"/>
      <x:c r="F724" s="194"/>
      <x:c r="G724" s="194"/>
      <x:c r="H724" s="194"/>
      <x:c r="I724" s="194"/>
      <x:c r="J724" s="194"/>
      <x:c r="K724" s="194"/>
      <x:c r="L724" s="194"/>
      <x:c r="M724" s="194"/>
    </x:row>
    <x:row r="725">
      <x:c r="A725" s="130"/>
      <x:c r="B725" s="194"/>
      <x:c r="C725" s="194"/>
      <x:c r="D725" s="194"/>
      <x:c r="E725" s="194"/>
      <x:c r="F725" s="194"/>
      <x:c r="G725" s="194"/>
      <x:c r="H725" s="194"/>
      <x:c r="I725" s="194"/>
      <x:c r="J725" s="194"/>
      <x:c r="K725" s="194"/>
      <x:c r="L725" s="194"/>
      <x:c r="M725" s="194"/>
    </x:row>
    <x:row r="726">
      <x:c r="A726" s="130"/>
      <x:c r="B726" s="194"/>
      <x:c r="C726" s="194"/>
      <x:c r="D726" s="194"/>
      <x:c r="E726" s="194"/>
      <x:c r="F726" s="194"/>
      <x:c r="G726" s="194"/>
      <x:c r="H726" s="194"/>
      <x:c r="I726" s="194"/>
      <x:c r="J726" s="194"/>
      <x:c r="K726" s="194"/>
      <x:c r="L726" s="194"/>
      <x:c r="M726" s="194"/>
    </x:row>
    <x:row r="727">
      <x:c r="A727" s="130"/>
      <x:c r="B727" s="194"/>
      <x:c r="C727" s="194"/>
      <x:c r="D727" s="194"/>
      <x:c r="E727" s="194"/>
      <x:c r="F727" s="194"/>
      <x:c r="G727" s="194"/>
      <x:c r="H727" s="194"/>
      <x:c r="I727" s="194"/>
      <x:c r="J727" s="194"/>
      <x:c r="K727" s="194"/>
      <x:c r="L727" s="194"/>
      <x:c r="M727" s="194"/>
    </x:row>
    <x:row r="728">
      <x:c r="A728" s="130"/>
      <x:c r="B728" s="194"/>
      <x:c r="C728" s="194"/>
      <x:c r="D728" s="194"/>
      <x:c r="E728" s="194"/>
      <x:c r="F728" s="194"/>
      <x:c r="G728" s="194"/>
      <x:c r="H728" s="194"/>
      <x:c r="I728" s="194"/>
      <x:c r="J728" s="194"/>
      <x:c r="K728" s="194"/>
      <x:c r="L728" s="194"/>
      <x:c r="M728" s="194"/>
    </x:row>
    <x:row r="729">
      <x:c r="A729" s="130"/>
      <x:c r="B729" s="194"/>
      <x:c r="C729" s="194"/>
      <x:c r="D729" s="194"/>
      <x:c r="E729" s="194"/>
      <x:c r="F729" s="194"/>
      <x:c r="G729" s="194"/>
      <x:c r="H729" s="194"/>
      <x:c r="I729" s="194"/>
      <x:c r="J729" s="194"/>
      <x:c r="K729" s="194"/>
      <x:c r="L729" s="194"/>
      <x:c r="M729" s="194"/>
    </x:row>
    <x:row r="730">
      <x:c r="A730" s="130"/>
      <x:c r="B730" s="194"/>
      <x:c r="C730" s="194"/>
      <x:c r="D730" s="194"/>
      <x:c r="E730" s="194"/>
      <x:c r="F730" s="194"/>
      <x:c r="G730" s="194"/>
      <x:c r="H730" s="194"/>
      <x:c r="I730" s="194"/>
      <x:c r="J730" s="194"/>
      <x:c r="K730" s="194"/>
      <x:c r="L730" s="194"/>
      <x:c r="M730" s="194"/>
    </x:row>
    <x:row r="731">
      <x:c r="A731" s="130"/>
      <x:c r="B731" s="194"/>
      <x:c r="C731" s="194"/>
      <x:c r="D731" s="194"/>
      <x:c r="E731" s="194"/>
      <x:c r="F731" s="194"/>
      <x:c r="G731" s="194"/>
      <x:c r="H731" s="194"/>
      <x:c r="I731" s="194"/>
      <x:c r="J731" s="194"/>
      <x:c r="K731" s="194"/>
      <x:c r="L731" s="194"/>
      <x:c r="M731" s="194"/>
    </x:row>
    <x:row r="732">
      <x:c r="A732" s="130"/>
      <x:c r="B732" s="194"/>
      <x:c r="C732" s="194"/>
      <x:c r="D732" s="194"/>
      <x:c r="E732" s="194"/>
      <x:c r="F732" s="194"/>
      <x:c r="G732" s="194"/>
      <x:c r="H732" s="194"/>
      <x:c r="I732" s="194"/>
      <x:c r="J732" s="194"/>
      <x:c r="K732" s="194"/>
      <x:c r="L732" s="194"/>
      <x:c r="M732" s="194"/>
    </x:row>
    <x:row r="733">
      <x:c r="A733" s="130"/>
      <x:c r="B733" s="194"/>
      <x:c r="C733" s="194"/>
      <x:c r="D733" s="194"/>
      <x:c r="E733" s="194"/>
      <x:c r="F733" s="194"/>
      <x:c r="G733" s="194"/>
      <x:c r="H733" s="194"/>
      <x:c r="I733" s="194"/>
      <x:c r="J733" s="194"/>
      <x:c r="K733" s="194"/>
      <x:c r="L733" s="194"/>
      <x:c r="M733" s="194"/>
    </x:row>
    <x:row r="734">
      <x:c r="A734" s="130"/>
      <x:c r="B734" s="194"/>
      <x:c r="C734" s="194"/>
      <x:c r="D734" s="194"/>
      <x:c r="E734" s="194"/>
      <x:c r="F734" s="194"/>
      <x:c r="G734" s="194"/>
      <x:c r="H734" s="194"/>
      <x:c r="I734" s="194"/>
      <x:c r="J734" s="194"/>
      <x:c r="K734" s="194"/>
      <x:c r="L734" s="194"/>
      <x:c r="M734" s="194"/>
    </x:row>
    <x:row r="735">
      <x:c r="A735" s="130"/>
      <x:c r="B735" s="194"/>
      <x:c r="C735" s="194"/>
      <x:c r="D735" s="194"/>
      <x:c r="E735" s="194"/>
      <x:c r="F735" s="194"/>
      <x:c r="G735" s="194"/>
      <x:c r="H735" s="194"/>
      <x:c r="I735" s="194"/>
      <x:c r="J735" s="194"/>
      <x:c r="K735" s="194"/>
      <x:c r="L735" s="194"/>
      <x:c r="M735" s="194"/>
    </x:row>
    <x:row r="736">
      <x:c r="A736" s="130"/>
      <x:c r="B736" s="194"/>
      <x:c r="C736" s="194"/>
      <x:c r="D736" s="194"/>
      <x:c r="E736" s="194"/>
      <x:c r="F736" s="194"/>
      <x:c r="G736" s="194"/>
      <x:c r="H736" s="194"/>
      <x:c r="I736" s="194"/>
      <x:c r="J736" s="194"/>
      <x:c r="K736" s="194"/>
      <x:c r="L736" s="194"/>
      <x:c r="M736" s="194"/>
    </x:row>
    <x:row r="737">
      <x:c r="A737" s="130"/>
      <x:c r="B737" s="194"/>
      <x:c r="C737" s="194"/>
      <x:c r="D737" s="194"/>
      <x:c r="E737" s="194"/>
      <x:c r="F737" s="194"/>
      <x:c r="G737" s="194"/>
      <x:c r="H737" s="194"/>
      <x:c r="I737" s="194"/>
      <x:c r="J737" s="194"/>
      <x:c r="K737" s="194"/>
      <x:c r="L737" s="194"/>
      <x:c r="M737" s="194"/>
    </x:row>
    <x:row r="738">
      <x:c r="A738" s="130"/>
      <x:c r="B738" s="194"/>
      <x:c r="C738" s="194"/>
      <x:c r="D738" s="194"/>
      <x:c r="E738" s="194"/>
      <x:c r="F738" s="194"/>
      <x:c r="G738" s="194"/>
      <x:c r="H738" s="194"/>
      <x:c r="I738" s="194"/>
      <x:c r="J738" s="194"/>
      <x:c r="K738" s="194"/>
      <x:c r="L738" s="194"/>
      <x:c r="M738" s="194"/>
    </x:row>
    <x:row r="739">
      <x:c r="A739" s="130"/>
      <x:c r="B739" s="194"/>
      <x:c r="C739" s="194"/>
      <x:c r="D739" s="194"/>
      <x:c r="E739" s="194"/>
      <x:c r="F739" s="194"/>
      <x:c r="G739" s="194"/>
      <x:c r="H739" s="194"/>
      <x:c r="I739" s="194"/>
      <x:c r="J739" s="194"/>
      <x:c r="K739" s="194"/>
      <x:c r="L739" s="194"/>
      <x:c r="M739" s="194"/>
    </x:row>
    <x:row r="740">
      <x:c r="A740" s="130"/>
      <x:c r="B740" s="194"/>
      <x:c r="C740" s="194"/>
      <x:c r="D740" s="194"/>
      <x:c r="E740" s="194"/>
      <x:c r="F740" s="194"/>
      <x:c r="G740" s="194"/>
      <x:c r="H740" s="194"/>
      <x:c r="I740" s="194"/>
      <x:c r="J740" s="194"/>
      <x:c r="K740" s="194"/>
      <x:c r="L740" s="194"/>
      <x:c r="M740" s="194"/>
    </x:row>
    <x:row r="741">
      <x:c r="A741" s="130"/>
      <x:c r="B741" s="194"/>
      <x:c r="C741" s="194"/>
      <x:c r="D741" s="194"/>
      <x:c r="E741" s="194"/>
      <x:c r="F741" s="194"/>
      <x:c r="G741" s="194"/>
      <x:c r="H741" s="194"/>
      <x:c r="I741" s="194"/>
      <x:c r="J741" s="194"/>
      <x:c r="K741" s="194"/>
      <x:c r="L741" s="194"/>
      <x:c r="M741" s="194"/>
    </x:row>
    <x:row r="742">
      <x:c r="A742" s="130"/>
      <x:c r="B742" s="194"/>
      <x:c r="C742" s="194"/>
      <x:c r="D742" s="194"/>
      <x:c r="E742" s="194"/>
      <x:c r="F742" s="194"/>
      <x:c r="G742" s="194"/>
      <x:c r="H742" s="194"/>
      <x:c r="I742" s="194"/>
      <x:c r="J742" s="194"/>
      <x:c r="K742" s="194"/>
      <x:c r="L742" s="194"/>
      <x:c r="M742" s="194"/>
    </x:row>
    <x:row r="743">
      <x:c r="A743" s="130"/>
      <x:c r="B743" s="194"/>
      <x:c r="C743" s="194"/>
      <x:c r="D743" s="194"/>
      <x:c r="E743" s="194"/>
      <x:c r="F743" s="194"/>
      <x:c r="G743" s="194"/>
      <x:c r="H743" s="194"/>
      <x:c r="I743" s="194"/>
      <x:c r="J743" s="194"/>
      <x:c r="K743" s="194"/>
      <x:c r="L743" s="194"/>
      <x:c r="M743" s="194"/>
    </x:row>
    <x:row r="744">
      <x:c r="A744" s="130"/>
      <x:c r="B744" s="194"/>
      <x:c r="C744" s="194"/>
      <x:c r="D744" s="194"/>
      <x:c r="E744" s="194"/>
      <x:c r="F744" s="194"/>
      <x:c r="G744" s="194"/>
      <x:c r="H744" s="194"/>
      <x:c r="I744" s="194"/>
      <x:c r="J744" s="194"/>
      <x:c r="K744" s="194"/>
      <x:c r="L744" s="194"/>
      <x:c r="M744" s="194"/>
    </x:row>
    <x:row r="745">
      <x:c r="A745" s="130"/>
      <x:c r="B745" s="194"/>
      <x:c r="C745" s="194"/>
      <x:c r="D745" s="194"/>
      <x:c r="E745" s="194"/>
      <x:c r="F745" s="194"/>
      <x:c r="G745" s="194"/>
      <x:c r="H745" s="194"/>
      <x:c r="I745" s="194"/>
      <x:c r="J745" s="194"/>
      <x:c r="K745" s="194"/>
      <x:c r="L745" s="194"/>
      <x:c r="M745" s="194"/>
    </x:row>
    <x:row r="746">
      <x:c r="A746" s="130"/>
      <x:c r="B746" s="194"/>
      <x:c r="C746" s="194"/>
      <x:c r="D746" s="194"/>
      <x:c r="E746" s="194"/>
      <x:c r="F746" s="194"/>
      <x:c r="G746" s="194"/>
      <x:c r="H746" s="194"/>
      <x:c r="I746" s="194"/>
      <x:c r="J746" s="194"/>
      <x:c r="K746" s="194"/>
      <x:c r="L746" s="194"/>
      <x:c r="M746" s="194"/>
    </x:row>
    <x:row r="747">
      <x:c r="A747" s="130"/>
      <x:c r="B747" s="194"/>
      <x:c r="C747" s="194"/>
      <x:c r="D747" s="194"/>
      <x:c r="E747" s="194"/>
      <x:c r="F747" s="194"/>
      <x:c r="G747" s="194"/>
      <x:c r="H747" s="194"/>
      <x:c r="I747" s="194"/>
      <x:c r="J747" s="194"/>
      <x:c r="K747" s="194"/>
      <x:c r="L747" s="194"/>
      <x:c r="M747" s="194"/>
    </x:row>
    <x:row r="748">
      <x:c r="A748" s="130"/>
      <x:c r="B748" s="194"/>
      <x:c r="C748" s="194"/>
      <x:c r="D748" s="194"/>
      <x:c r="E748" s="194"/>
      <x:c r="F748" s="194"/>
      <x:c r="G748" s="194"/>
      <x:c r="H748" s="194"/>
      <x:c r="I748" s="194"/>
      <x:c r="J748" s="194"/>
      <x:c r="K748" s="194"/>
      <x:c r="L748" s="194"/>
      <x:c r="M748" s="194"/>
    </x:row>
    <x:row r="749">
      <x:c r="A749" s="130"/>
      <x:c r="B749" s="194"/>
      <x:c r="C749" s="194"/>
      <x:c r="D749" s="194"/>
      <x:c r="E749" s="194"/>
      <x:c r="F749" s="194"/>
      <x:c r="G749" s="194"/>
      <x:c r="H749" s="194"/>
      <x:c r="I749" s="194"/>
      <x:c r="J749" s="194"/>
      <x:c r="K749" s="194"/>
      <x:c r="L749" s="194"/>
      <x:c r="M749" s="194"/>
    </x:row>
    <x:row r="750">
      <x:c r="A750" s="130"/>
      <x:c r="B750" s="194"/>
      <x:c r="C750" s="194"/>
      <x:c r="D750" s="194"/>
      <x:c r="E750" s="194"/>
      <x:c r="F750" s="194"/>
      <x:c r="G750" s="194"/>
      <x:c r="H750" s="194"/>
      <x:c r="I750" s="194"/>
      <x:c r="J750" s="194"/>
      <x:c r="K750" s="194"/>
      <x:c r="L750" s="194"/>
      <x:c r="M750" s="194"/>
    </x:row>
    <x:row r="751">
      <x:c r="A751" s="130"/>
      <x:c r="B751" s="194"/>
      <x:c r="C751" s="194"/>
      <x:c r="D751" s="194"/>
      <x:c r="E751" s="194"/>
      <x:c r="F751" s="194"/>
      <x:c r="G751" s="194"/>
      <x:c r="H751" s="194"/>
      <x:c r="I751" s="194"/>
      <x:c r="J751" s="194"/>
      <x:c r="K751" s="194"/>
      <x:c r="L751" s="194"/>
      <x:c r="M751" s="194"/>
    </x:row>
    <x:row r="752">
      <x:c r="A752" s="130"/>
      <x:c r="B752" s="194"/>
      <x:c r="C752" s="194"/>
      <x:c r="D752" s="194"/>
      <x:c r="E752" s="194"/>
      <x:c r="F752" s="194"/>
      <x:c r="G752" s="194"/>
      <x:c r="H752" s="194"/>
      <x:c r="I752" s="194"/>
      <x:c r="J752" s="194"/>
      <x:c r="K752" s="194"/>
      <x:c r="L752" s="194"/>
      <x:c r="M752" s="194"/>
    </x:row>
    <x:row r="753">
      <x:c r="A753" s="130"/>
      <x:c r="B753" s="194"/>
      <x:c r="C753" s="194"/>
      <x:c r="D753" s="194"/>
      <x:c r="E753" s="194"/>
      <x:c r="F753" s="194"/>
      <x:c r="G753" s="194"/>
      <x:c r="H753" s="194"/>
      <x:c r="I753" s="194"/>
      <x:c r="J753" s="194"/>
      <x:c r="K753" s="194"/>
      <x:c r="L753" s="194"/>
      <x:c r="M753" s="194"/>
    </x:row>
    <x:row r="754">
      <x:c r="A754" s="130"/>
      <x:c r="B754" s="194"/>
      <x:c r="C754" s="194"/>
      <x:c r="D754" s="194"/>
      <x:c r="E754" s="194"/>
      <x:c r="F754" s="194"/>
      <x:c r="G754" s="194"/>
      <x:c r="H754" s="194"/>
      <x:c r="I754" s="194"/>
      <x:c r="J754" s="194"/>
      <x:c r="K754" s="194"/>
      <x:c r="L754" s="194"/>
      <x:c r="M754" s="194"/>
    </x:row>
    <x:row r="755">
      <x:c r="A755" s="130"/>
      <x:c r="B755" s="194"/>
      <x:c r="C755" s="194"/>
      <x:c r="D755" s="194"/>
      <x:c r="E755" s="194"/>
      <x:c r="F755" s="194"/>
      <x:c r="G755" s="194"/>
      <x:c r="H755" s="194"/>
      <x:c r="I755" s="194"/>
      <x:c r="J755" s="194"/>
      <x:c r="K755" s="194"/>
      <x:c r="L755" s="194"/>
      <x:c r="M755" s="194"/>
    </x:row>
    <x:row r="756">
      <x:c r="A756" s="130"/>
      <x:c r="B756" s="194"/>
      <x:c r="C756" s="194"/>
      <x:c r="D756" s="194"/>
      <x:c r="E756" s="194"/>
      <x:c r="F756" s="194"/>
      <x:c r="G756" s="194"/>
      <x:c r="H756" s="194"/>
      <x:c r="I756" s="194"/>
      <x:c r="J756" s="194"/>
      <x:c r="K756" s="194"/>
      <x:c r="L756" s="194"/>
      <x:c r="M756" s="194"/>
    </x:row>
    <x:row r="757">
      <x:c r="A757" s="130"/>
      <x:c r="B757" s="194"/>
      <x:c r="C757" s="194"/>
      <x:c r="D757" s="194"/>
      <x:c r="E757" s="194"/>
      <x:c r="F757" s="194"/>
      <x:c r="G757" s="194"/>
      <x:c r="H757" s="194"/>
      <x:c r="I757" s="194"/>
      <x:c r="J757" s="194"/>
      <x:c r="K757" s="194"/>
      <x:c r="L757" s="194"/>
      <x:c r="M757" s="194"/>
    </x:row>
    <x:row r="758">
      <x:c r="A758" s="130"/>
      <x:c r="B758" s="194"/>
      <x:c r="C758" s="194"/>
      <x:c r="D758" s="194"/>
      <x:c r="E758" s="194"/>
      <x:c r="F758" s="194"/>
      <x:c r="G758" s="194"/>
      <x:c r="H758" s="194"/>
      <x:c r="I758" s="194"/>
      <x:c r="J758" s="194"/>
      <x:c r="K758" s="194"/>
      <x:c r="L758" s="194"/>
      <x:c r="M758" s="194"/>
    </x:row>
    <x:row r="759">
      <x:c r="A759" s="130"/>
      <x:c r="B759" s="194"/>
      <x:c r="C759" s="194"/>
      <x:c r="D759" s="194"/>
      <x:c r="E759" s="194"/>
      <x:c r="F759" s="194"/>
      <x:c r="G759" s="194"/>
      <x:c r="H759" s="194"/>
      <x:c r="I759" s="194"/>
      <x:c r="J759" s="194"/>
      <x:c r="K759" s="194"/>
      <x:c r="L759" s="194"/>
      <x:c r="M759" s="194"/>
    </x:row>
    <x:row r="760">
      <x:c r="A760" s="130"/>
      <x:c r="B760" s="194"/>
      <x:c r="C760" s="194"/>
      <x:c r="D760" s="194"/>
      <x:c r="E760" s="194"/>
      <x:c r="F760" s="194"/>
      <x:c r="G760" s="194"/>
      <x:c r="H760" s="194"/>
      <x:c r="I760" s="194"/>
      <x:c r="J760" s="194"/>
      <x:c r="K760" s="194"/>
      <x:c r="L760" s="194"/>
      <x:c r="M760" s="194"/>
    </x:row>
    <x:row r="761">
      <x:c r="A761" s="130"/>
      <x:c r="B761" s="194"/>
      <x:c r="C761" s="194"/>
      <x:c r="D761" s="194"/>
      <x:c r="E761" s="194"/>
      <x:c r="F761" s="194"/>
      <x:c r="G761" s="194"/>
      <x:c r="H761" s="194"/>
      <x:c r="I761" s="194"/>
      <x:c r="J761" s="194"/>
      <x:c r="K761" s="194"/>
      <x:c r="L761" s="194"/>
      <x:c r="M761" s="194"/>
    </x:row>
    <x:row r="762">
      <x:c r="A762" s="130"/>
      <x:c r="B762" s="194"/>
      <x:c r="C762" s="194"/>
      <x:c r="D762" s="194"/>
      <x:c r="E762" s="194"/>
      <x:c r="F762" s="194"/>
      <x:c r="G762" s="194"/>
      <x:c r="H762" s="194"/>
      <x:c r="I762" s="194"/>
      <x:c r="J762" s="194"/>
      <x:c r="K762" s="194"/>
      <x:c r="L762" s="194"/>
      <x:c r="M762" s="194"/>
    </x:row>
    <x:row r="763">
      <x:c r="A763" s="130"/>
      <x:c r="B763" s="194"/>
      <x:c r="C763" s="194"/>
      <x:c r="D763" s="194"/>
      <x:c r="E763" s="194"/>
      <x:c r="F763" s="194"/>
      <x:c r="G763" s="194"/>
      <x:c r="H763" s="194"/>
      <x:c r="I763" s="194"/>
      <x:c r="J763" s="194"/>
      <x:c r="K763" s="194"/>
      <x:c r="L763" s="194"/>
      <x:c r="M763" s="194"/>
    </x:row>
    <x:row r="764">
      <x:c r="A764" s="130"/>
      <x:c r="B764" s="194"/>
      <x:c r="C764" s="194"/>
      <x:c r="D764" s="194"/>
      <x:c r="E764" s="194"/>
      <x:c r="F764" s="194"/>
      <x:c r="G764" s="194"/>
      <x:c r="H764" s="194"/>
      <x:c r="I764" s="194"/>
      <x:c r="J764" s="194"/>
      <x:c r="K764" s="194"/>
      <x:c r="L764" s="194"/>
      <x:c r="M764" s="194"/>
    </x:row>
    <x:row r="765">
      <x:c r="A765" s="130"/>
      <x:c r="B765" s="194"/>
      <x:c r="C765" s="194"/>
      <x:c r="D765" s="194"/>
      <x:c r="E765" s="194"/>
      <x:c r="F765" s="194"/>
      <x:c r="G765" s="194"/>
      <x:c r="H765" s="194"/>
      <x:c r="I765" s="194"/>
      <x:c r="J765" s="194"/>
      <x:c r="K765" s="194"/>
      <x:c r="L765" s="194"/>
      <x:c r="M765" s="194"/>
    </x:row>
    <x:row r="766">
      <x:c r="A766" s="130"/>
      <x:c r="B766" s="194"/>
      <x:c r="C766" s="194"/>
      <x:c r="D766" s="194"/>
      <x:c r="E766" s="194"/>
      <x:c r="F766" s="194"/>
      <x:c r="G766" s="194"/>
      <x:c r="H766" s="194"/>
      <x:c r="I766" s="194"/>
      <x:c r="J766" s="194"/>
      <x:c r="K766" s="194"/>
      <x:c r="L766" s="194"/>
      <x:c r="M766" s="194"/>
    </x:row>
    <x:row r="767">
      <x:c r="A767" s="130"/>
      <x:c r="B767" s="194"/>
      <x:c r="C767" s="194"/>
      <x:c r="D767" s="194"/>
      <x:c r="E767" s="194"/>
      <x:c r="F767" s="194"/>
      <x:c r="G767" s="194"/>
      <x:c r="H767" s="194"/>
      <x:c r="I767" s="194"/>
      <x:c r="J767" s="194"/>
      <x:c r="K767" s="194"/>
      <x:c r="L767" s="194"/>
      <x:c r="M767" s="194"/>
    </x:row>
    <x:row r="768">
      <x:c r="A768" s="130"/>
      <x:c r="B768" s="194"/>
      <x:c r="C768" s="194"/>
      <x:c r="D768" s="194"/>
      <x:c r="E768" s="194"/>
      <x:c r="F768" s="194"/>
      <x:c r="G768" s="194"/>
      <x:c r="H768" s="194"/>
      <x:c r="I768" s="194"/>
      <x:c r="J768" s="194"/>
      <x:c r="K768" s="194"/>
      <x:c r="L768" s="194"/>
      <x:c r="M768" s="194"/>
    </x:row>
    <x:row r="769">
      <x:c r="A769" s="130"/>
      <x:c r="B769" s="194"/>
      <x:c r="C769" s="194"/>
      <x:c r="D769" s="194"/>
      <x:c r="E769" s="194"/>
      <x:c r="F769" s="194"/>
      <x:c r="G769" s="194"/>
      <x:c r="H769" s="194"/>
      <x:c r="I769" s="194"/>
      <x:c r="J769" s="194"/>
      <x:c r="K769" s="194"/>
      <x:c r="L769" s="194"/>
      <x:c r="M769" s="194"/>
    </x:row>
    <x:row r="770">
      <x:c r="A770" s="130"/>
      <x:c r="B770" s="194"/>
      <x:c r="C770" s="194"/>
      <x:c r="D770" s="194"/>
      <x:c r="E770" s="194"/>
      <x:c r="F770" s="194"/>
      <x:c r="G770" s="194"/>
      <x:c r="H770" s="194"/>
      <x:c r="I770" s="194"/>
      <x:c r="J770" s="194"/>
      <x:c r="K770" s="194"/>
      <x:c r="L770" s="194"/>
      <x:c r="M770" s="194"/>
    </x:row>
    <x:row r="771">
      <x:c r="A771" s="130"/>
      <x:c r="B771" s="194"/>
      <x:c r="C771" s="194"/>
      <x:c r="D771" s="194"/>
      <x:c r="E771" s="194"/>
      <x:c r="F771" s="194"/>
      <x:c r="G771" s="194"/>
      <x:c r="H771" s="194"/>
      <x:c r="I771" s="194"/>
      <x:c r="J771" s="194"/>
      <x:c r="K771" s="194"/>
      <x:c r="L771" s="194"/>
      <x:c r="M771" s="194"/>
    </x:row>
    <x:row r="772">
      <x:c r="A772" s="130"/>
      <x:c r="B772" s="194"/>
      <x:c r="C772" s="194"/>
      <x:c r="D772" s="194"/>
      <x:c r="E772" s="194"/>
      <x:c r="F772" s="194"/>
      <x:c r="G772" s="194"/>
      <x:c r="H772" s="194"/>
      <x:c r="I772" s="194"/>
      <x:c r="J772" s="194"/>
      <x:c r="K772" s="194"/>
      <x:c r="L772" s="194"/>
      <x:c r="M772" s="194"/>
    </x:row>
    <x:row r="773">
      <x:c r="A773" s="130"/>
      <x:c r="B773" s="194"/>
      <x:c r="C773" s="194"/>
      <x:c r="D773" s="194"/>
      <x:c r="E773" s="194"/>
      <x:c r="F773" s="194"/>
      <x:c r="G773" s="194"/>
      <x:c r="H773" s="194"/>
      <x:c r="I773" s="194"/>
      <x:c r="J773" s="194"/>
      <x:c r="K773" s="194"/>
      <x:c r="L773" s="194"/>
      <x:c r="M773" s="194"/>
    </x:row>
    <x:row r="774">
      <x:c r="A774" s="130"/>
      <x:c r="B774" s="194"/>
      <x:c r="C774" s="194"/>
      <x:c r="D774" s="194"/>
      <x:c r="E774" s="194"/>
      <x:c r="F774" s="194"/>
      <x:c r="G774" s="194"/>
      <x:c r="H774" s="194"/>
      <x:c r="I774" s="194"/>
      <x:c r="J774" s="194"/>
      <x:c r="K774" s="194"/>
      <x:c r="L774" s="194"/>
      <x:c r="M774" s="194"/>
    </x:row>
    <x:row r="775">
      <x:c r="A775" s="130"/>
      <x:c r="B775" s="194"/>
      <x:c r="C775" s="194"/>
      <x:c r="D775" s="194"/>
      <x:c r="E775" s="194"/>
      <x:c r="F775" s="194"/>
      <x:c r="G775" s="194"/>
      <x:c r="H775" s="194"/>
      <x:c r="I775" s="194"/>
      <x:c r="J775" s="194"/>
      <x:c r="K775" s="194"/>
      <x:c r="L775" s="194"/>
      <x:c r="M775" s="194"/>
    </x:row>
    <x:row r="776">
      <x:c r="A776" s="130"/>
      <x:c r="B776" s="194"/>
      <x:c r="C776" s="194"/>
      <x:c r="D776" s="194"/>
      <x:c r="E776" s="194"/>
      <x:c r="F776" s="194"/>
      <x:c r="G776" s="194"/>
      <x:c r="H776" s="194"/>
      <x:c r="I776" s="194"/>
      <x:c r="J776" s="194"/>
      <x:c r="K776" s="194"/>
      <x:c r="L776" s="194"/>
      <x:c r="M776" s="194"/>
    </x:row>
    <x:row r="777">
      <x:c r="A777" s="130"/>
      <x:c r="B777" s="194"/>
      <x:c r="C777" s="194"/>
      <x:c r="D777" s="194"/>
      <x:c r="E777" s="194"/>
      <x:c r="F777" s="194"/>
      <x:c r="G777" s="194"/>
      <x:c r="H777" s="194"/>
      <x:c r="I777" s="194"/>
      <x:c r="J777" s="194"/>
      <x:c r="K777" s="194"/>
      <x:c r="L777" s="194"/>
      <x:c r="M777" s="194"/>
    </x:row>
    <x:row r="778">
      <x:c r="A778" s="130"/>
      <x:c r="B778" s="194"/>
      <x:c r="C778" s="194"/>
      <x:c r="D778" s="194"/>
      <x:c r="E778" s="194"/>
      <x:c r="F778" s="194"/>
      <x:c r="G778" s="194"/>
      <x:c r="H778" s="194"/>
      <x:c r="I778" s="194"/>
      <x:c r="J778" s="194"/>
      <x:c r="K778" s="194"/>
      <x:c r="L778" s="194"/>
      <x:c r="M778" s="194"/>
    </x:row>
    <x:row r="779">
      <x:c r="A779" s="130"/>
      <x:c r="B779" s="194"/>
      <x:c r="C779" s="194"/>
      <x:c r="D779" s="194"/>
      <x:c r="E779" s="194"/>
      <x:c r="F779" s="194"/>
      <x:c r="G779" s="194"/>
      <x:c r="H779" s="194"/>
      <x:c r="I779" s="194"/>
      <x:c r="J779" s="194"/>
      <x:c r="K779" s="194"/>
      <x:c r="L779" s="194"/>
      <x:c r="M779" s="194"/>
    </x:row>
    <x:row r="780">
      <x:c r="A780" s="130"/>
      <x:c r="B780" s="194"/>
      <x:c r="C780" s="194"/>
      <x:c r="D780" s="194"/>
      <x:c r="E780" s="194"/>
      <x:c r="F780" s="194"/>
      <x:c r="G780" s="194"/>
      <x:c r="H780" s="194"/>
      <x:c r="I780" s="194"/>
      <x:c r="J780" s="194"/>
      <x:c r="K780" s="194"/>
      <x:c r="L780" s="194"/>
      <x:c r="M780" s="194"/>
    </x:row>
    <x:row r="781">
      <x:c r="A781" s="130"/>
      <x:c r="B781" s="194"/>
      <x:c r="C781" s="194"/>
      <x:c r="D781" s="194"/>
      <x:c r="E781" s="194"/>
      <x:c r="F781" s="194"/>
      <x:c r="G781" s="194"/>
      <x:c r="H781" s="194"/>
      <x:c r="I781" s="194"/>
      <x:c r="J781" s="194"/>
      <x:c r="K781" s="194"/>
      <x:c r="L781" s="194"/>
      <x:c r="M781" s="194"/>
    </x:row>
    <x:row r="782">
      <x:c r="A782" s="130"/>
      <x:c r="B782" s="194"/>
      <x:c r="C782" s="194"/>
      <x:c r="D782" s="194"/>
      <x:c r="E782" s="194"/>
      <x:c r="F782" s="194"/>
      <x:c r="G782" s="194"/>
      <x:c r="H782" s="194"/>
      <x:c r="I782" s="194"/>
      <x:c r="J782" s="194"/>
      <x:c r="K782" s="194"/>
      <x:c r="L782" s="194"/>
      <x:c r="M782" s="194"/>
    </x:row>
    <x:row r="783">
      <x:c r="A783" s="130"/>
      <x:c r="B783" s="194"/>
      <x:c r="C783" s="194"/>
      <x:c r="D783" s="194"/>
      <x:c r="E783" s="194"/>
      <x:c r="F783" s="194"/>
      <x:c r="G783" s="194"/>
      <x:c r="H783" s="194"/>
      <x:c r="I783" s="194"/>
      <x:c r="J783" s="194"/>
      <x:c r="K783" s="194"/>
      <x:c r="L783" s="194"/>
      <x:c r="M783" s="194"/>
    </x:row>
    <x:row r="784">
      <x:c r="A784" s="130"/>
      <x:c r="B784" s="194"/>
      <x:c r="C784" s="194"/>
      <x:c r="D784" s="194"/>
      <x:c r="E784" s="194"/>
      <x:c r="F784" s="194"/>
      <x:c r="G784" s="194"/>
      <x:c r="H784" s="194"/>
      <x:c r="I784" s="194"/>
      <x:c r="J784" s="194"/>
      <x:c r="K784" s="194"/>
      <x:c r="L784" s="194"/>
      <x:c r="M784" s="194"/>
    </x:row>
    <x:row r="785">
      <x:c r="A785" s="130"/>
      <x:c r="B785" s="194"/>
      <x:c r="C785" s="194"/>
      <x:c r="D785" s="194"/>
      <x:c r="E785" s="194"/>
      <x:c r="F785" s="194"/>
      <x:c r="G785" s="194"/>
      <x:c r="H785" s="194"/>
      <x:c r="I785" s="194"/>
      <x:c r="J785" s="194"/>
      <x:c r="K785" s="194"/>
      <x:c r="L785" s="194"/>
      <x:c r="M785" s="194"/>
    </x:row>
    <x:row r="786">
      <x:c r="A786" s="130"/>
      <x:c r="B786" s="194"/>
      <x:c r="C786" s="194"/>
      <x:c r="D786" s="194"/>
      <x:c r="E786" s="194"/>
      <x:c r="F786" s="194"/>
      <x:c r="G786" s="194"/>
      <x:c r="H786" s="194"/>
      <x:c r="I786" s="194"/>
      <x:c r="J786" s="194"/>
      <x:c r="K786" s="194"/>
      <x:c r="L786" s="194"/>
      <x:c r="M786" s="194"/>
    </x:row>
    <x:row r="787">
      <x:c r="A787" s="130"/>
      <x:c r="B787" s="194"/>
      <x:c r="C787" s="194"/>
      <x:c r="D787" s="194"/>
      <x:c r="E787" s="194"/>
      <x:c r="F787" s="194"/>
      <x:c r="G787" s="194"/>
      <x:c r="H787" s="194"/>
      <x:c r="I787" s="194"/>
      <x:c r="J787" s="194"/>
      <x:c r="K787" s="194"/>
      <x:c r="L787" s="194"/>
      <x:c r="M787" s="194"/>
    </x:row>
    <x:row r="788">
      <x:c r="A788" s="130"/>
      <x:c r="B788" s="194"/>
      <x:c r="C788" s="194"/>
      <x:c r="D788" s="194"/>
      <x:c r="E788" s="194"/>
      <x:c r="F788" s="194"/>
      <x:c r="G788" s="194"/>
      <x:c r="H788" s="194"/>
      <x:c r="I788" s="194"/>
      <x:c r="J788" s="194"/>
      <x:c r="K788" s="194"/>
      <x:c r="L788" s="194"/>
      <x:c r="M788" s="194"/>
    </x:row>
    <x:row r="789">
      <x:c r="A789" s="130"/>
      <x:c r="B789" s="194"/>
      <x:c r="C789" s="194"/>
      <x:c r="D789" s="194"/>
      <x:c r="E789" s="194"/>
      <x:c r="F789" s="194"/>
      <x:c r="G789" s="194"/>
      <x:c r="H789" s="194"/>
      <x:c r="I789" s="194"/>
      <x:c r="J789" s="194"/>
      <x:c r="K789" s="194"/>
      <x:c r="L789" s="194"/>
      <x:c r="M789" s="194"/>
    </x:row>
    <x:row r="790">
      <x:c r="A790" s="130"/>
      <x:c r="B790" s="194"/>
      <x:c r="C790" s="194"/>
      <x:c r="D790" s="194"/>
      <x:c r="E790" s="194"/>
      <x:c r="F790" s="194"/>
      <x:c r="G790" s="194"/>
      <x:c r="H790" s="194"/>
      <x:c r="I790" s="194"/>
      <x:c r="J790" s="194"/>
      <x:c r="K790" s="194"/>
      <x:c r="L790" s="194"/>
      <x:c r="M790" s="194"/>
    </x:row>
    <x:row r="791">
      <x:c r="A791" s="130"/>
      <x:c r="B791" s="194"/>
      <x:c r="C791" s="194"/>
      <x:c r="D791" s="194"/>
      <x:c r="E791" s="194"/>
      <x:c r="F791" s="194"/>
      <x:c r="G791" s="194"/>
      <x:c r="H791" s="194"/>
      <x:c r="I791" s="194"/>
      <x:c r="J791" s="194"/>
      <x:c r="K791" s="194"/>
      <x:c r="L791" s="194"/>
      <x:c r="M791" s="194"/>
    </x:row>
    <x:row r="792">
      <x:c r="A792" s="130"/>
      <x:c r="B792" s="194"/>
      <x:c r="C792" s="194"/>
      <x:c r="D792" s="194"/>
      <x:c r="E792" s="194"/>
      <x:c r="F792" s="194"/>
      <x:c r="G792" s="194"/>
      <x:c r="H792" s="194"/>
      <x:c r="I792" s="194"/>
      <x:c r="J792" s="194"/>
      <x:c r="K792" s="194"/>
      <x:c r="L792" s="194"/>
      <x:c r="M792" s="194"/>
    </x:row>
    <x:row r="793">
      <x:c r="A793" s="130"/>
      <x:c r="B793" s="194"/>
      <x:c r="C793" s="194"/>
      <x:c r="D793" s="194"/>
      <x:c r="E793" s="194"/>
      <x:c r="F793" s="194"/>
      <x:c r="G793" s="194"/>
      <x:c r="H793" s="194"/>
      <x:c r="I793" s="194"/>
      <x:c r="J793" s="194"/>
      <x:c r="K793" s="194"/>
      <x:c r="L793" s="194"/>
      <x:c r="M793" s="194"/>
    </x:row>
    <x:row r="794">
      <x:c r="A794" s="130"/>
      <x:c r="B794" s="194"/>
      <x:c r="C794" s="194"/>
      <x:c r="D794" s="194"/>
      <x:c r="E794" s="194"/>
      <x:c r="F794" s="194"/>
      <x:c r="G794" s="194"/>
      <x:c r="H794" s="194"/>
      <x:c r="I794" s="194"/>
      <x:c r="J794" s="194"/>
      <x:c r="K794" s="194"/>
      <x:c r="L794" s="194"/>
      <x:c r="M794" s="194"/>
    </x:row>
    <x:row r="795">
      <x:c r="A795" s="130"/>
      <x:c r="B795" s="194"/>
      <x:c r="C795" s="194"/>
      <x:c r="D795" s="194"/>
      <x:c r="E795" s="194"/>
      <x:c r="F795" s="194"/>
      <x:c r="G795" s="194"/>
      <x:c r="H795" s="194"/>
      <x:c r="I795" s="194"/>
      <x:c r="J795" s="194"/>
      <x:c r="K795" s="194"/>
      <x:c r="L795" s="194"/>
      <x:c r="M795" s="194"/>
    </x:row>
    <x:row r="796">
      <x:c r="A796" s="130"/>
      <x:c r="B796" s="194"/>
      <x:c r="C796" s="194"/>
      <x:c r="D796" s="194"/>
      <x:c r="E796" s="194"/>
      <x:c r="F796" s="194"/>
      <x:c r="G796" s="194"/>
      <x:c r="H796" s="194"/>
      <x:c r="I796" s="194"/>
      <x:c r="J796" s="194"/>
      <x:c r="K796" s="194"/>
      <x:c r="L796" s="194"/>
      <x:c r="M796" s="194"/>
    </x:row>
    <x:row r="797">
      <x:c r="A797" s="130"/>
      <x:c r="B797" s="194"/>
      <x:c r="C797" s="194"/>
      <x:c r="D797" s="194"/>
      <x:c r="E797" s="194"/>
      <x:c r="F797" s="194"/>
      <x:c r="G797" s="194"/>
      <x:c r="H797" s="194"/>
      <x:c r="I797" s="194"/>
      <x:c r="J797" s="194"/>
      <x:c r="K797" s="194"/>
      <x:c r="L797" s="194"/>
      <x:c r="M797" s="194"/>
    </x:row>
    <x:row r="798">
      <x:c r="A798" s="130"/>
      <x:c r="B798" s="194"/>
      <x:c r="C798" s="194"/>
      <x:c r="D798" s="194"/>
      <x:c r="E798" s="194"/>
      <x:c r="F798" s="194"/>
      <x:c r="G798" s="194"/>
      <x:c r="H798" s="194"/>
      <x:c r="I798" s="194"/>
      <x:c r="J798" s="194"/>
      <x:c r="K798" s="194"/>
      <x:c r="L798" s="194"/>
      <x:c r="M798" s="194"/>
    </x:row>
    <x:row r="799">
      <x:c r="A799" s="130"/>
      <x:c r="B799" s="194"/>
      <x:c r="C799" s="194"/>
      <x:c r="D799" s="194"/>
      <x:c r="E799" s="194"/>
      <x:c r="F799" s="194"/>
      <x:c r="G799" s="194"/>
      <x:c r="H799" s="194"/>
      <x:c r="I799" s="194"/>
      <x:c r="J799" s="194"/>
      <x:c r="K799" s="194"/>
      <x:c r="L799" s="194"/>
      <x:c r="M799" s="194"/>
    </x:row>
    <x:row r="800">
      <x:c r="A800" s="130"/>
      <x:c r="B800" s="194"/>
      <x:c r="C800" s="194"/>
      <x:c r="D800" s="194"/>
      <x:c r="E800" s="194"/>
      <x:c r="F800" s="194"/>
      <x:c r="G800" s="194"/>
      <x:c r="H800" s="194"/>
      <x:c r="I800" s="194"/>
      <x:c r="J800" s="194"/>
      <x:c r="K800" s="194"/>
      <x:c r="L800" s="194"/>
      <x:c r="M800" s="194"/>
    </x:row>
  </x:sheetData>
  <x:mergeCells>
    <x:mergeCell ref="B2:J4"/>
  </x:mergeCells>
  <x:pageMargins left="0.7" right="0.7" top="0.75" bottom="0.75" header="0.3" footer="0.3"/>
</x:worksheet>
</file>