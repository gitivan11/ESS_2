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van\Desktop\Study\SECOND YEAR ESS\ESS_2\Finanal\Rheinmetall_Valuation\"/>
    </mc:Choice>
  </mc:AlternateContent>
  <xr:revisionPtr revIDLastSave="0" documentId="8_{03CB76D2-EEDB-42AF-B44C-2F1EC575EBF1}" xr6:coauthVersionLast="47" xr6:coauthVersionMax="47" xr10:uidLastSave="{00000000-0000-0000-0000-000000000000}"/>
  <bookViews>
    <workbookView xWindow="-110" yWindow="-110" windowWidth="19420" windowHeight="11500" tabRatio="500" activeTab="2" xr2:uid="{00000000-000D-0000-FFFF-FFFF00000000}"/>
  </bookViews>
  <sheets>
    <sheet name="Frontpage" sheetId="1" r:id="rId1"/>
    <sheet name="Table of contents" sheetId="2" r:id="rId2"/>
    <sheet name="Reformation &amp; Profitability" sheetId="3" r:id="rId3"/>
    <sheet name="Reported Financials" sheetId="4" r:id="rId4"/>
    <sheet name="Input financials" sheetId="5" r:id="rId5"/>
    <sheet name="Log" sheetId="6" r:id="rId6"/>
    <sheet name="Decisions to revisit" sheetId="7" r:id="rId7"/>
    <sheet name="_CIQHiddenCacheSheet" sheetId="8" state="hidden" r:id="rId8"/>
  </sheets>
  <definedNames>
    <definedName name="\" hidden="1">{"detail",#N/A,FALSE,"mfg";"summary",#N/A,FALSE,"mfg"}</definedName>
    <definedName name="\11" hidden="1">#REF!</definedName>
    <definedName name="\gtu" hidden="1">{#N/A,#N/A,FALSE,"TAXC.INDEX";#N/A,#N/A,FALSE,"Schedule I";#N/A,#N/A,FALSE,"Schedule  II";#N/A,#N/A,FALSE,"Schedule III"}</definedName>
    <definedName name="\gtuu" hidden="1">{#N/A,#N/A,FALSE,"TAXC.INDEX";#N/A,#N/A,FALSE,"Schedule I";#N/A,#N/A,FALSE,"Schedule  II";#N/A,#N/A,FALSE,"Schedule III"}</definedName>
    <definedName name="_" hidden="1">{#N/A,#N/A,FALSE,"Cristal D'Oro (Tabela)";#N/A,#N/A,FALSE,"Cond Rio Tietê (Tabela)";#N/A,#N/A,FALSE,"Jacyr Leal (Tabela)";#N/A,#N/A,FALSE,"Paul Cézanne (Tabela)";#N/A,#N/A,FALSE,"Tom Jobim  (Tabela)"}</definedName>
    <definedName name="________________OK2" hidden="1">{#N/A,#N/A,FALSE,"00 P&amp;L vs 99"}</definedName>
    <definedName name="________________TT20" hidden="1">{0,0,0,0;0,0,0,0;0,0,0,0;0,0,0,0;0,0,0,0;0,0,0,0;0,0,0,0;0,0,0,0;0,0,0,0;0,0,0,0;0,0,0,0;0,0,0,0;0,#VALUE!,0,0;0,0,0,0;0,0,0,0;0,0,0,0;4.02506300418233E-305,0,0,0;0,0,0,0;3.33761291040418E-308,5.56268889233185E-308,8.90030392771069E-308,1.55755255047865E-307;2.6700903295667E-307,4.45015111635219E-307,0,0}</definedName>
    <definedName name="_______________OK2" hidden="1">{#N/A,#N/A,FALSE,"00 P&amp;L vs 99"}</definedName>
    <definedName name="_______________TT20" hidden="1">{0,0,0,0;0,0,0,0;0,0,0,0;0,0,0,0;0,0,0,0;0,0,0,0;0,0,0,0;0,0,0,0;0,0,0,0;0,0,0,0;0,0,0,0;0,0,0,0;0,#VALUE!,0,0;0,0,0,0;0,0,0,0;0,0,0,0;4.02506300418233E-305,0,0,0;0,0,0,0;3.33761291040418E-308,5.56268889233185E-308,8.90030392771069E-308,1.55755255047865E-307;2.6700903295667E-307,4.45015111635219E-307,0,0}</definedName>
    <definedName name="______________OK2" hidden="1">{#N/A,#N/A,FALSE,"00 P&amp;L vs 99"}</definedName>
    <definedName name="______________TT20" hidden="1">{0,0,0,0;0,0,0,0;0,0,0,0;0,0,0,0;0,0,0,0;0,0,0,0;0,0,0,0;0,0,0,0;0,0,0,0;0,0,0,0;0,0,0,0;0,0,0,0;0,#VALUE!,0,0;0,0,0,0;0,0,0,0;0,0,0,0;4.02506300418233E-305,0,0,0;0,0,0,0;3.33761291040418E-308,5.56268889233185E-308,8.90030392771069E-308,1.55755255047865E-307;2.6700903295667E-307,4.45015111635219E-307,0,0}</definedName>
    <definedName name="_____________OK2" hidden="1">{#N/A,#N/A,FALSE,"00 P&amp;L vs 99"}</definedName>
    <definedName name="____________abc1" hidden="1">{"detail",#N/A,FALSE,"mfg";"summary",#N/A,FALSE,"mfg"}</definedName>
    <definedName name="____________abc2" hidden="1">{"detail",#N/A,FALSE,"mfg";"summary",#N/A,FALSE,"mfg"}</definedName>
    <definedName name="____________OK2" hidden="1">{#N/A,#N/A,FALSE,"00 P&amp;L vs 99"}</definedName>
    <definedName name="____________TT20" hidden="1">{0,0,0,0;0,0,0,0;0,0,0,0;0,0,0,0;0,0,0,0;0,0,0,0;0,0,0,0;0,0,0,0;0,0,0,0;0,0,0,0;0,0,0,0;0,0,0,0;0,#VALUE!,0,0;0,0,0,0;0,0,0,0;0,0,0,0;4.02506300418233E-305,0,0,0;0,0,0,0;3.33761291040418E-308,5.56268889233185E-308,8.90030392771069E-308,1.55755255047865E-307;2.6700903295667E-307,4.45015111635219E-307,0,0}</definedName>
    <definedName name="____________z12" hidden="1">{"pro_view",#N/A,FALSE,"EEFSNAP2";"rep_view",#N/A,FALSE,"EEFSNAP2"}</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hidden="1">{"detail",#N/A,FALSE,"mfg";"summary",#N/A,FALSE,"mfg"}</definedName>
    <definedName name="___________abc1" hidden="1">{"detail",#N/A,FALSE,"mfg";"summary",#N/A,FALSE,"mfg"}</definedName>
    <definedName name="___________abc2" hidden="1">{"detail",#N/A,FALSE,"mfg";"summary",#N/A,FALSE,"mfg"}</definedName>
    <definedName name="___________OK2" hidden="1">{#N/A,#N/A,FALSE,"00 P&amp;L vs 99"}</definedName>
    <definedName name="___________TT20" hidden="1">{0,0,0,0;0,0,0,0;0,0,0,0;0,0,0,0;0,0,0,0;0,0,0,0;0,0,0,0;0,0,0,0;0,0,0,0;0,0,0,0;0,0,0,0;0,0,0,0;0,#VALUE!,0,0;0,0,0,0;0,0,0,0;0,0,0,0;4.02506300418233E-305,0,0,0;0,0,0,0;3.33761291040418E-308,5.56268889233185E-308,8.90030392771069E-308,1.55755255047865E-307;2.6700903295667E-307,4.45015111635219E-307,0,0}</definedName>
    <definedName name="___________z12" hidden="1">{"pro_view",#N/A,FALSE,"EEFSNAP2";"rep_view",#N/A,FALSE,"EEFSNAP2"}</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hidden="1">{"detail",#N/A,FALSE,"mfg";"summary",#N/A,FALSE,"mfg"}</definedName>
    <definedName name="__________abc1" hidden="1">{"detail",#N/A,FALSE,"mfg";"summary",#N/A,FALSE,"mfg"}</definedName>
    <definedName name="__________abc2" hidden="1">{"detail",#N/A,FALSE,"mfg";"summary",#N/A,FALSE,"mfg"}</definedName>
    <definedName name="__________OK2" hidden="1">{#N/A,#N/A,FALSE,"00 P&amp;L vs 99"}</definedName>
    <definedName name="__________TT20" hidden="1">{0,0,0,0;0,0,0,0;0,0,0,0;0,0,0,0;0,0,0,0;0,0,0,0;0,0,0,0;0,0,0,0;0,0,0,0;0,0,0,0;0,0,0,0;0,0,0,0;0,#VALUE!,0,0;0,0,0,0;0,0,0,0;0,0,0,0;4.02506300418233E-305,0,0,0;0,0,0,0;3.33761291040418E-308,5.56268889233185E-308,8.90030392771069E-308,1.55755255047865E-307;2.6700903295667E-307,4.45015111635219E-307,0,0}</definedName>
    <definedName name="__________z12" hidden="1">{"pro_view",#N/A,FALSE,"EEFSNAP2";"rep_view",#N/A,FALSE,"EEFSNAP2"}</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hidden="1">{"detail",#N/A,FALSE,"mfg";"summary",#N/A,FALSE,"mfg"}</definedName>
    <definedName name="_________abc1" hidden="1">{"detail",#N/A,FALSE,"mfg";"summary",#N/A,FALSE,"mfg"}</definedName>
    <definedName name="_________abc2" hidden="1">{"detail",#N/A,FALSE,"mfg";"summary",#N/A,FALSE,"mfg"}</definedName>
    <definedName name="_________OK2" hidden="1">{#N/A,#N/A,FALSE,"00 P&amp;L vs 99"}</definedName>
    <definedName name="_________z12" hidden="1">{"pro_view",#N/A,FALSE,"EEFSNAP2";"rep_view",#N/A,FALSE,"EEFSNAP2"}</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hidden="1">{"detail",#N/A,FALSE,"mfg";"summary",#N/A,FALSE,"mfg"}</definedName>
    <definedName name="________A11" hidden="1">{#N/A,#N/A,FALSE,"Umsatz 99";#N/A,#N/A,FALSE,"ER 99 "}</definedName>
    <definedName name="________abc1" hidden="1">{"detail",#N/A,FALSE,"mfg";"summary",#N/A,FALSE,"mfg"}</definedName>
    <definedName name="________abc2" hidden="1">{"detail",#N/A,FALSE,"mfg";"summary",#N/A,FALSE,"mfg"}</definedName>
    <definedName name="________c" hidden="1">{"Fiesta Facer Page",#N/A,FALSE,"Q_C_S";"Fiesta Main Page",#N/A,FALSE,"V_L";"Fiesta 95BP Struct",#N/A,FALSE,"StructBP";"Fiesta Post 95BP Struct",#N/A,FALSE,"AdjStructBP"}</definedName>
    <definedName name="________OK2" hidden="1">{#N/A,#N/A,FALSE,"00 P&amp;L vs 99"}</definedName>
    <definedName name="________TT20" hidden="1">{0,0,0,0;0,0,0,0;0,0,0,0;0,0,0,0;0,0,0,0;0,0,0,0;0,0,0,0;0,0,0,0;0,0,0,0;0,0,0,0;0,0,0,0;0,0,0,0;0,#VALUE!,0,0;0,0,0,0;0,0,0,0;0,0,0,0;4.02506300418233E-305,0,0,0;0,0,0,0;3.33761291040418E-308,5.56268889233185E-308,8.90030392771069E-308,1.55755255047865E-307;2.6700903295667E-307,4.45015111635219E-307,0,0}</definedName>
    <definedName name="________z12" hidden="1">{"pro_view",#N/A,FALSE,"EEFSNAP2";"rep_view",#N/A,FALSE,"EEFSNAP2"}</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hidden="1">{"detail",#N/A,FALSE,"mfg";"summary",#N/A,FALSE,"mfg"}</definedName>
    <definedName name="_______abc1" hidden="1">{"detail",#N/A,FALSE,"mfg";"summary",#N/A,FALSE,"mfg"}</definedName>
    <definedName name="_______abc2" hidden="1">{"detail",#N/A,FALSE,"mfg";"summary",#N/A,FALSE,"mfg"}</definedName>
    <definedName name="_______OK2" hidden="1">{#N/A,#N/A,FALSE,"00 P&amp;L vs 99"}</definedName>
    <definedName name="_______z12" hidden="1">{"pro_view",#N/A,FALSE,"EEFSNAP2";"rep_view",#N/A,FALSE,"EEFSNAP2"}</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hidden="1">{"detail",#N/A,FALSE,"mfg";"summary",#N/A,FALSE,"mfg"}</definedName>
    <definedName name="______a1" hidden="1">{#N/A,#N/A,FALSE,"Pharm";#N/A,#N/A,FALSE,"WWCM"}</definedName>
    <definedName name="______a10" hidden="1">{#N/A,#N/A,FALSE,"Bilan"}</definedName>
    <definedName name="______a11" hidden="1">{#N/A,#N/A,FALSE,"Bilan"}</definedName>
    <definedName name="______a12" hidden="1">{#N/A,#N/A,FALSE,"Bilan"}</definedName>
    <definedName name="______a13" hidden="1">{#N/A,#N/A,FALSE,"Bilan"}</definedName>
    <definedName name="______a14" hidden="1">{#N/A,#N/A,FALSE,"Bilan"}</definedName>
    <definedName name="______a15" hidden="1">{#N/A,#N/A,FALSE,"Bilan"}</definedName>
    <definedName name="______a2" hidden="1">{#N/A,#N/A,FALSE,"Bilan"}</definedName>
    <definedName name="______A4" hidden="1">{#N/A,#N/A,FALSE,"Bilan"}</definedName>
    <definedName name="______a40" hidden="1">{#N/A,#N/A,FALSE,"Bilan"}</definedName>
    <definedName name="______a41" hidden="1">{#N/A,#N/A,FALSE,"Bilan"}</definedName>
    <definedName name="______a42" hidden="1">{#N/A,#N/A,FALSE,"Bilan"}</definedName>
    <definedName name="______a43" hidden="1">{#N/A,#N/A,FALSE,"Bilan"}</definedName>
    <definedName name="______a44" hidden="1">{#N/A,#N/A,FALSE,"Bilan"}</definedName>
    <definedName name="______a45" hidden="1">{#N/A,#N/A,FALSE,"Bilan"}</definedName>
    <definedName name="______a5" hidden="1">{#N/A,#N/A,FALSE,"Bilan"}</definedName>
    <definedName name="______a6" hidden="1">{#N/A,#N/A,FALSE,"Bilan"}</definedName>
    <definedName name="______aaa1" hidden="1">{#N/A,#N/A,FALSE,"REPORT"}</definedName>
    <definedName name="______aas1" hidden="1">{#N/A,#N/A,FALSE,"REPORT"}</definedName>
    <definedName name="______ACS2000" hidden="1">{#N/A,#N/A,FALSE,"REPORT"}</definedName>
    <definedName name="______b111" hidden="1">{#N/A,#N/A,FALSE,"Pharm";#N/A,#N/A,FALSE,"WWCM"}</definedName>
    <definedName name="______FI4" hidden="1">{"Vinyl1999Q1IFOrecon",#N/A,TRUE,"Vinyl";"Vinyl1999Q2IFOrecon",#N/A,TRUE,"Vinyl";"Vinyl1999Q3IFOrecon",#N/A,TRUE,"Vinyl";"Vinyl1999Q4IFOrecon",#N/A,TRUE,"Vinyl";"Vinyl1999TotalIFOrecon",#N/A,TRUE,"Vinyl";#N/A,#N/A,TRUE,"Vinyl"}</definedName>
    <definedName name="______i3" hidden="1">{"vue1",#N/A,FALSE,"synthese";"vue2",#N/A,FALSE,"synthese"}</definedName>
    <definedName name="______new1" hidden="1">{#N/A,#N/A,FALSE,"Pharm";#N/A,#N/A,FALSE,"WWCM"}</definedName>
    <definedName name="______OK2" hidden="1">{#N/A,#N/A,FALSE,"00 P&amp;L vs 99"}</definedName>
    <definedName name="______r" hidden="1">{#N/A,#N/A,FALSE,"Pharm";#N/A,#N/A,FALSE,"WWCM"}</definedName>
    <definedName name="______tm1" hidden="1">{#N/A,#N/A,FALSE,"Pharm";#N/A,#N/A,FALSE,"WWCM"}</definedName>
    <definedName name="______TT20" hidden="1">{0,0,0,0;0,0,0,0;0,0,0,0;0,0,0,0;0,0,0,0;0,0,0,0;0,0,0,0;0,0,0,0;0,0,0,0;0,0,0,0;0,0,0,0;0,0,0,0;0,#VALUE!,0,0;0,0,0,0;0,0,0,0;0,0,0,0;4.02506300418233E-305,0,0,0;0,0,0,0;3.33761291040418E-308,5.56268889233185E-308,8.90030392771069E-308,1.55755255047865E-307;2.6700903295667E-307,4.45015111635219E-307,0,0}</definedName>
    <definedName name="______wrm3" hidden="1">{"vue1",#N/A,FALSE,"synthese";"vue2",#N/A,FALSE,"synthese"}</definedName>
    <definedName name="______wrn2" hidden="1">{"vue1",#N/A,FALSE,"synthese";"vue2",#N/A,FALSE,"synthese"}</definedName>
    <definedName name="______wrn3" hidden="1">{"vue1",#N/A,FALSE,"synthese";"vue2",#N/A,FALSE,"synthese"}</definedName>
    <definedName name="______X2" hidden="1">{#N/A,#N/A,FALSE,"Other";#N/A,#N/A,FALSE,"Ace";#N/A,#N/A,FALSE,"Derm"}</definedName>
    <definedName name="_____abc1" hidden="1">{"detail",#N/A,FALSE,"mfg";"summary",#N/A,FALSE,"mfg"}</definedName>
    <definedName name="_____abc2" hidden="1">{"detail",#N/A,FALSE,"mfg";"summary",#N/A,FALSE,"mfg"}</definedName>
    <definedName name="_____ae2" hidden="1">{"'Inventory &amp; Anal-Cur Wkbk'!$A$7:$AP$71"}</definedName>
    <definedName name="_____BS1" hidden="1">{"OEE OAP",#N/A,FALSE,"oap";"OEE APAP",#N/A,FALSE,"apap";"OEE nitros",#N/A,FALSE,"nitros"}</definedName>
    <definedName name="_____i3" hidden="1">{"vue1",#N/A,FALSE,"synthese";"vue2",#N/A,FALSE,"synthese"}</definedName>
    <definedName name="_____OK2" hidden="1">{#N/A,#N/A,FALSE,"00 P&amp;L vs 99"}</definedName>
    <definedName name="_____q3" hidden="1">#REF!</definedName>
    <definedName name="_____wrm3" hidden="1">{"vue1",#N/A,FALSE,"synthese";"vue2",#N/A,FALSE,"synthese"}</definedName>
    <definedName name="_____wrn2" hidden="1">{"vue1",#N/A,FALSE,"synthese";"vue2",#N/A,FALSE,"synthese"}</definedName>
    <definedName name="_____wrn3" hidden="1">{"vue1",#N/A,FALSE,"synthese";"vue2",#N/A,FALSE,"synthese"}</definedName>
    <definedName name="_____z12" hidden="1">{"pro_view",#N/A,FALSE,"EEFSNAP2";"rep_view",#N/A,FALSE,"EEFSNAP2"}</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hidden="1">{"detail",#N/A,FALSE,"mfg";"summary",#N/A,FALSE,"mfg"}</definedName>
    <definedName name="____abc1" hidden="1">{"detail",#N/A,FALSE,"mfg";"summary",#N/A,FALSE,"mfg"}</definedName>
    <definedName name="____abc2" hidden="1">{"detail",#N/A,FALSE,"mfg";"summary",#N/A,FALSE,"mfg"}</definedName>
    <definedName name="____ae2" hidden="1">{"'Inventory &amp; Anal-Cur Wkbk'!$A$7:$AP$71"}</definedName>
    <definedName name="____FI4" hidden="1">{"Vinyl1999Q1IFOrecon",#N/A,TRUE,"Vinyl";"Vinyl1999Q2IFOrecon",#N/A,TRUE,"Vinyl";"Vinyl1999Q3IFOrecon",#N/A,TRUE,"Vinyl";"Vinyl1999Q4IFOrecon",#N/A,TRUE,"Vinyl";"Vinyl1999TotalIFOrecon",#N/A,TRUE,"Vinyl";#N/A,#N/A,TRUE,"Vinyl"}</definedName>
    <definedName name="____gfg2" hidden="1">{"Sum WW A",#N/A,FALSE,"FY95SLS";"Sum WW B",#N/A,FALSE,"FY95SLS";"Sum US A",#N/A,FALSE,"FY95SLS";"Sum US B",#N/A,FALSE,"FY95SLS";"Sum US Bocg",#N/A,FALSE,"FY95SLS";"Sum Can A",#N/A,FALSE,"FY95SLS";"Sum Can B",#N/A,FALSE,"FY95SLS";"Sum Europe",#N/A,FALSE,"FY95SLS";"Sum Row",#N/A,FALSE,"FY95SLS"}</definedName>
    <definedName name="____i3" hidden="1">{"vue1",#N/A,FALSE,"synthese";"vue2",#N/A,FALSE,"synthese"}</definedName>
    <definedName name="____OK2" hidden="1">{#N/A,#N/A,FALSE,"00 P&amp;L vs 99"}</definedName>
    <definedName name="____q3" hidden="1">#REF!</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TT20" hidden="1">{0,0,0,0;0,0,0,0;0,0,0,0;0,0,0,0;0,0,0,0;0,0,0,0;0,0,0,0;0,0,0,0;0,0,0,0;0,0,0,0;0,0,0,0;0,0,0,0;0,#VALUE!,0,0;0,0,0,0;0,0,0,0;0,0,0,0;4.02506300418233E-305,0,0,0;0,0,0,0;3.33761291040418E-308,5.56268889233185E-308,8.90030392771069E-308,1.55755255047865E-307;2.6700903295667E-307,4.45015111635219E-307,0,0}</definedName>
    <definedName name="____wrm3" hidden="1">{"vue1",#N/A,FALSE,"synthese";"vue2",#N/A,FALSE,"synthese"}</definedName>
    <definedName name="____wrn2" hidden="1">{"vue1",#N/A,FALSE,"synthese";"vue2",#N/A,FALSE,"synthese"}</definedName>
    <definedName name="____wrn3" hidden="1">{"vue1",#N/A,FALSE,"synthese";"vue2",#N/A,FALSE,"synthese"}</definedName>
    <definedName name="____x1" hidden="1">{"detail",#N/A,FALSE,"mfg";"summary",#N/A,FALSE,"mfg"}</definedName>
    <definedName name="____x2" hidden="1">{#N/A,"PURCHM",FALSE,"Business Analysis";#N/A,"SPADD",FALSE,"Business Analysis"}</definedName>
    <definedName name="____x3" hidden="1">{"detail",#N/A,FALSE,"mfg";"summary",#N/A,FALSE,"mfg"}</definedName>
    <definedName name="____x4" hidden="1">{#N/A,"PURCHM",FALSE,"Business Analysis";#N/A,"SPADD",FALSE,"Business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lfn.BAHTTEXT" hidden="1">#NAME?</definedName>
    <definedName name="____xx10" hidden="1">{#N/A,"PURCHM",FALSE,"Business Analysis";#N/A,"SPADD",FALSE,"Business Analysis"}</definedName>
    <definedName name="____xx3" hidden="1">{"detail",#N/A,FALSE,"mfg";"summary",#N/A,FALSE,"mfg"}</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hidden="1">{"oct_res_comm",#N/A,FALSE,"VarToBud"}</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hidden="1">{"AS REP",#N/A,FALSE,"EEFSNAP2";"PROP",#N/A,FALSE,"EEFSNAP2";"RISKS",#N/A,FALSE,"EEFSNAP2";"VIEW ALL",#N/A,FALSE,"EEFSNAP2"}</definedName>
    <definedName name="____z12" hidden="1">{"pro_view",#N/A,FALSE,"EEFSNAP2";"rep_view",#N/A,FALSE,"EEFSNAP2"}</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hidden="1">{"detail",#N/A,FALSE,"mfg";"summary",#N/A,FALSE,"mfg"}</definedName>
    <definedName name="____zz1" hidden="1">{"pro_view",#N/A,FALSE,"EEFSNAP2";"rep_view",#N/A,FALSE,"EEFSNAP2"}</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a1" hidden="1">{#N/A,#N/A,FALSE,"Assessment";#N/A,#N/A,FALSE,"Staffing";#N/A,#N/A,FALSE,"Hires";#N/A,#N/A,FALSE,"Assumptions"}</definedName>
    <definedName name="___a10" hidden="1">{#N/A,#N/A,FALSE,"Bilan"}</definedName>
    <definedName name="___a11" hidden="1">{#N/A,#N/A,FALSE,"Bilan"}</definedName>
    <definedName name="___a12" hidden="1">{#N/A,#N/A,FALSE,"Bilan"}</definedName>
    <definedName name="___a13" hidden="1">{#N/A,#N/A,FALSE,"Bilan"}</definedName>
    <definedName name="___a14" hidden="1">{#N/A,#N/A,FALSE,"Bilan"}</definedName>
    <definedName name="___a15" hidden="1">{#N/A,#N/A,FALSE,"Bilan"}</definedName>
    <definedName name="___a2" hidden="1">{#N/A,#N/A,FALSE,"Bilan"}</definedName>
    <definedName name="___A4" hidden="1">{#N/A,#N/A,FALSE,"Bilan"}</definedName>
    <definedName name="___a40" hidden="1">{#N/A,#N/A,FALSE,"Bilan"}</definedName>
    <definedName name="___a41" hidden="1">{#N/A,#N/A,FALSE,"Bilan"}</definedName>
    <definedName name="___a42" hidden="1">{#N/A,#N/A,FALSE,"Bilan"}</definedName>
    <definedName name="___a43" hidden="1">{#N/A,#N/A,FALSE,"Bilan"}</definedName>
    <definedName name="___a44" hidden="1">{#N/A,#N/A,FALSE,"Bilan"}</definedName>
    <definedName name="___a45" hidden="1">{#N/A,#N/A,FALSE,"Bilan"}</definedName>
    <definedName name="___a5" hidden="1">{#N/A,#N/A,FALSE,"Bilan"}</definedName>
    <definedName name="___a6" hidden="1">{#N/A,#N/A,FALSE,"Bilan"}</definedName>
    <definedName name="___a8" hidden="1">{#N/A,#N/A,FALSE,"Partnership Splits";#N/A,#N/A,FALSE,"Condensed Financials-Endo";#N/A,#N/A,FALSE,"Condensed Financials-Partner";#N/A,#N/A,FALSE,"P&amp;L Detail";#N/A,#N/A,FALSE,"Payments";#N/A,#N/A,FALSE,"Selling &amp; Mktg Summary (3)"}</definedName>
    <definedName name="___abc1" hidden="1">{"detail",#N/A,FALSE,"mfg";"summary",#N/A,FALSE,"mfg"}</definedName>
    <definedName name="___abc2" hidden="1">{"detail",#N/A,FALSE,"mfg";"summary",#N/A,FALSE,"mfg"}</definedName>
    <definedName name="___ae2" hidden="1">{"'Inventory &amp; Anal-Cur Wkbk'!$A$7:$AP$71"}</definedName>
    <definedName name="___BS1" hidden="1">{"OEE OAP",#N/A,FALSE,"oap";"OEE APAP",#N/A,FALSE,"apap";"OEE nitros",#N/A,FALSE,"nitros"}</definedName>
    <definedName name="___c" hidden="1">{#N/A,#N/A,FALSE,"Layout Cash Flow"}</definedName>
    <definedName name="___FI4" hidden="1">{"Vinyl1999Q1IFOrecon",#N/A,TRUE,"Vinyl";"Vinyl1999Q2IFOrecon",#N/A,TRUE,"Vinyl";"Vinyl1999Q3IFOrecon",#N/A,TRUE,"Vinyl";"Vinyl1999Q4IFOrecon",#N/A,TRUE,"Vinyl";"Vinyl1999TotalIFOrecon",#N/A,TRUE,"Vinyl";#N/A,#N/A,TRUE,"Vinyl"}</definedName>
    <definedName name="___fy97" hidden="1">{#N/A,#N/A,FALSE,"FY97";#N/A,#N/A,FALSE,"FY98";#N/A,#N/A,FALSE,"FY99";#N/A,#N/A,FALSE,"FY00";#N/A,#N/A,FALSE,"FY01"}</definedName>
    <definedName name="___gfg2" hidden="1">{"Sum WW A",#N/A,FALSE,"FY95SLS";"Sum WW B",#N/A,FALSE,"FY95SLS";"Sum US A",#N/A,FALSE,"FY95SLS";"Sum US B",#N/A,FALSE,"FY95SLS";"Sum US Bocg",#N/A,FALSE,"FY95SLS";"Sum Can A",#N/A,FALSE,"FY95SLS";"Sum Can B",#N/A,FALSE,"FY95SLS";"Sum Europe",#N/A,FALSE,"FY95SLS";"Sum Row",#N/A,FALSE,"FY95SLS"}</definedName>
    <definedName name="___new2" hidden="1">{"Title",#N/A,FALSE,"Title";"Info",#N/A,FALSE,"Title";"Contents",#N/A,FALSE,"Title";"Sec.1",#N/A,FALSE,"Title";"Output1",#N/A,FALSE,"Output";"Sec.2",#N/A,FALSE,"Title";"Graph1",#N/A,FALSE,"Output";"Graph2",#N/A,FALSE,"Output";"Sec.3",#N/A,FALSE,"Title";"Gap1",#N/A,FALSE,"Output";"Sec.4",#N/A,FALSE,"Title";"Model_all",#N/A,FALSE,"Autostrade S.p.A."}</definedName>
    <definedName name="___new3" hidden="1">{"Title",#N/A,TRUE,"Title";"Content",#N/A,TRUE,"Title";"Section1",#N/A,TRUE,"Title";"Output1",#N/A,TRUE,"Output";"Section2",#N/A,TRUE,"Title";"Graph1",#N/A,TRUE,"Output";"Section3",#N/A,TRUE,"Title";"Graph2",#N/A,TRUE,"Output";"Section4",#N/A,TRUE,"Title";"Gap1",#N/A,TRUE,"Output";"Section5",#N/A,TRUE,"Title";"Model_all",#N/A,TRUE,"Autostrade S.p.A."}</definedName>
    <definedName name="___OK2" hidden="1">{#N/A,#N/A,FALSE,"00 P&amp;L vs 99"}</definedName>
    <definedName name="___pd123" hidden="1">{"Units A",#N/A,FALSE,"FY95SLS";"Units B",#N/A,FALSE,"FY95SLS"}</definedName>
    <definedName name="___PSM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___PSM3" hidden="1">{"Pound Sterling",#N/A,TRUE,"PPD";"Pound Sterling",#N/A,TRUE,"Anaquest";"Pound Sterling",#N/A,TRUE,"Delta";"Pound Sterling",#N/A,TRUE,"INO"}</definedName>
    <definedName name="___q3" hidden="1">#REF!</definedName>
    <definedName name="___r" hidden="1">{"consolidated",#N/A,FALSE,"Sheet1";"cms",#N/A,FALSE,"Sheet1";"fse",#N/A,FALSE,"Sheet1"}</definedName>
    <definedName name="___wrn3" hidden="1">{#N/A,#N/A,FALSE,"ASSUMPTIONS";#N/A,#N/A,FALSE,"Valuation Summary";"page1",#N/A,FALSE,"PRESENTATION";"page2",#N/A,FALSE,"PRESENTATION";#N/A,#N/A,FALSE,"ORIGINAL_ROLLBACK"}</definedName>
    <definedName name="___x2" hidden="1">{#N/A,#N/A,FALSE,"3";#N/A,#N/A,FALSE,"5";#N/A,#N/A,FALSE,"6";#N/A,#N/A,FALSE,"8";#N/A,#N/A,FALSE,"10";#N/A,#N/A,FALSE,"13";#N/A,#N/A,FALSE,"14";#N/A,#N/A,FALSE,"15";#N/A,#N/A,FALSE,"16"}</definedName>
    <definedName name="___xlfn.BAHTTEXT" hidden="1">#NAME?</definedName>
    <definedName name="___z12" hidden="1">{"pro_view",#N/A,FALSE,"EEFSNAP2";"rep_view",#N/A,FALSE,"EEFSNAP2"}</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hidden="1">{"detail",#N/A,FALSE,"mfg";"summary",#N/A,FALSE,"mfg"}</definedName>
    <definedName name="__123Graph_A" hidden="1">#REF!</definedName>
    <definedName name="__123Graph_ACASHFLOW" hidden="1">#N/A</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K" hidden="1">#REF!</definedName>
    <definedName name="__123Graph_ACurrent" hidden="1">#REF!</definedName>
    <definedName name="__123Graph_ADRIVER2" hidden="1">#N/A</definedName>
    <definedName name="__123Graph_AGRAPH2" hidden="1">#REF!</definedName>
    <definedName name="__123Graph_AINCOME1" hidden="1">#N/A</definedName>
    <definedName name="__123Graph_AINCOME2" hidden="1">#N/A</definedName>
    <definedName name="__123Graph_APREZZI1" hidden="1">#REF!</definedName>
    <definedName name="__123Graph_APREZZI1A" hidden="1">#REF!</definedName>
    <definedName name="__123Graph_APREZZI2" hidden="1">#REF!</definedName>
    <definedName name="__123Graph_APREZZI2A" hidden="1">#REF!</definedName>
    <definedName name="__123Graph_APREZZI3" hidden="1">#REF!</definedName>
    <definedName name="__123Graph_APREZZI3A" hidden="1">#REF!</definedName>
    <definedName name="__123Graph_APREZZI4" hidden="1">#REF!</definedName>
    <definedName name="__123Graph_APREZZI4A" hidden="1">#REF!</definedName>
    <definedName name="__123Graph_APREZZI5" hidden="1">#REF!</definedName>
    <definedName name="__123Graph_APREZZI5A" hidden="1">#REF!</definedName>
    <definedName name="__123Graph_APREZZI6" hidden="1">#REF!</definedName>
    <definedName name="__123Graph_APREZZI6A" hidden="1">#REF!</definedName>
    <definedName name="__123Graph_APREZZI7" hidden="1">#REF!</definedName>
    <definedName name="__123Graph_APREZZI7A" hidden="1">#REF!</definedName>
    <definedName name="__123Graph_APTA" hidden="1">#REF!</definedName>
    <definedName name="__123Graph_B" hidden="1">#REF!</definedName>
    <definedName name="__123Graph_BCASHFLOW" hidden="1">#N/A</definedName>
    <definedName name="__123Graph_BCK" hidden="1">#REF!</definedName>
    <definedName name="__123Graph_BDRIVER2" hidden="1">#N/A</definedName>
    <definedName name="__123Graph_BINCOME1" hidden="1">#N/A</definedName>
    <definedName name="__123Graph_BINCOME2" hidden="1">#N/A</definedName>
    <definedName name="__123Graph_BPTA" hidden="1">#REF!</definedName>
    <definedName name="__123Graph_C" hidden="1">#REF!</definedName>
    <definedName name="__123Graph_CCK" hidden="1">#REF!</definedName>
    <definedName name="__123Graph_CPTA" hidden="1">#REF!</definedName>
    <definedName name="__123Graph_D" hidden="1">#REF!</definedName>
    <definedName name="__123Graph_DCK" hidden="1">#REF!</definedName>
    <definedName name="__123Graph_DPTA" hidden="1">#REF!</definedName>
    <definedName name="__123Graph_E" hidden="1">#REF!</definedName>
    <definedName name="__123Graph_F" hidden="1">#REF!</definedName>
    <definedName name="__123Graph_LBL_A" hidden="1">#REF!</definedName>
    <definedName name="__123Graph_LBL_B" hidden="1">#REF!</definedName>
    <definedName name="__123Graph_LBL_C" hidden="1">#REF!</definedName>
    <definedName name="__123Graph_LBL_D" hidden="1">#REF!</definedName>
    <definedName name="__123Graph_LBL_E" hidden="1">#REF!</definedName>
    <definedName name="__123Graph_LBL_F" hidden="1">#REF!</definedName>
    <definedName name="__123Graph_X" hidden="1">#REF!</definedName>
    <definedName name="__123Graph_XCASHFLOW" hidden="1">#N/A</definedName>
    <definedName name="__123Graph_XCK" hidden="1">#REF!</definedName>
    <definedName name="__123Graph_XDRIVER2" hidden="1">#N/A</definedName>
    <definedName name="__123Graph_XINCOME1" hidden="1">#N/A</definedName>
    <definedName name="__123Graph_XINCOME2" hidden="1">#N/A</definedName>
    <definedName name="__123Graph_XPREZZI1" hidden="1">#REF!</definedName>
    <definedName name="__123Graph_XPREZZI1A" hidden="1">#REF!</definedName>
    <definedName name="__123Graph_XPREZZI2" hidden="1">#REF!</definedName>
    <definedName name="__123Graph_XPREZZI2A" hidden="1">#REF!</definedName>
    <definedName name="__123Graph_XPREZZI3" hidden="1">#REF!</definedName>
    <definedName name="__123Graph_XPREZZI3A" hidden="1">#REF!</definedName>
    <definedName name="__123Graph_XPREZZI4" hidden="1">#REF!</definedName>
    <definedName name="__123Graph_XPREZZI4A" hidden="1">#REF!</definedName>
    <definedName name="__123Graph_XPREZZI5" hidden="1">#REF!</definedName>
    <definedName name="__123Graph_XPREZZI5A" hidden="1">#REF!</definedName>
    <definedName name="__123Graph_XPREZZI6" hidden="1">#REF!</definedName>
    <definedName name="__123Graph_XPREZZI6A" hidden="1">#REF!</definedName>
    <definedName name="__123Graph_XPREZZI7" hidden="1">#REF!</definedName>
    <definedName name="__123Graph_XPREZZI7A" hidden="1">#REF!</definedName>
    <definedName name="__123GraphB1" hidden="1">#REF!</definedName>
    <definedName name="__a1" hidden="1">{#N/A,#N/A,FALSE,"Pharm";#N/A,#N/A,FALSE,"WWCM"}</definedName>
    <definedName name="__a10" hidden="1">{#N/A,#N/A,FALSE,"Bilan"}</definedName>
    <definedName name="__A11" hidden="1">{#N/A,#N/A,FALSE,"Umsatz 99";#N/A,#N/A,FALSE,"ER 99 "}</definedName>
    <definedName name="__a12" hidden="1">{#N/A,#N/A,FALSE,"Bilan"}</definedName>
    <definedName name="__a13" hidden="1">{#N/A,#N/A,FALSE,"Bilan"}</definedName>
    <definedName name="__a14" hidden="1">{#N/A,#N/A,FALSE,"Bilan"}</definedName>
    <definedName name="__a15" hidden="1">{#N/A,#N/A,FALSE,"Bilan"}</definedName>
    <definedName name="__a2" hidden="1">{"mgmt forecast",#N/A,FALSE,"Mgmt Forecast";"dcf table",#N/A,FALSE,"Mgmt Forecast";"sensitivity",#N/A,FALSE,"Mgmt Forecast";"table inputs",#N/A,FALSE,"Mgmt Forecast";"calculations",#N/A,FALSE,"Mgmt Forecast"}</definedName>
    <definedName name="__A4" hidden="1">{#N/A,#N/A,FALSE,"Bilan"}</definedName>
    <definedName name="__a40" hidden="1">{#N/A,#N/A,FALSE,"Bilan"}</definedName>
    <definedName name="__a41" hidden="1">{#N/A,#N/A,FALSE,"Bilan"}</definedName>
    <definedName name="__a42" hidden="1">{#N/A,#N/A,FALSE,"Bilan"}</definedName>
    <definedName name="__a43" hidden="1">{#N/A,#N/A,FALSE,"Bilan"}</definedName>
    <definedName name="__a44" hidden="1">{#N/A,#N/A,FALSE,"Bilan"}</definedName>
    <definedName name="__a45" hidden="1">{#N/A,#N/A,FALSE,"Bilan"}</definedName>
    <definedName name="__a5" hidden="1">{#N/A,#N/A,FALSE,"Bilan"}</definedName>
    <definedName name="__a6" hidden="1">{#N/A,#N/A,FALSE,"Bilan"}</definedName>
    <definedName name="__a8" hidden="1">{#N/A,#N/A,FALSE,"Partnership Splits";#N/A,#N/A,FALSE,"Condensed Financials-Endo";#N/A,#N/A,FALSE,"Condensed Financials-Partner";#N/A,#N/A,FALSE,"P&amp;L Detail";#N/A,#N/A,FALSE,"Payments";#N/A,#N/A,FALSE,"Selling &amp; Mktg Summary (3)"}</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a1" hidden="1">{#N/A,#N/A,FALSE,"REPORT"}</definedName>
    <definedName name="__aas1" hidden="1">{#N/A,#N/A,FALSE,"REPORT"}</definedName>
    <definedName name="__abc1" hidden="1">{"detail",#N/A,FALSE,"mfg";"summary",#N/A,FALSE,"mfg"}</definedName>
    <definedName name="__abc2" hidden="1">{"detail",#N/A,FALSE,"mfg";"summary",#N/A,FALSE,"mfg"}</definedName>
    <definedName name="__abc3" hidden="1">{"detail",#N/A,FALSE,"mfg";"summary",#N/A,FALSE,"mfg"}</definedName>
    <definedName name="__ACS2000" hidden="1">{#N/A,#N/A,FALSE,"REPORT"}</definedName>
    <definedName name="__ae2" hidden="1">{"'Inventory &amp; Anal-Cur Wkbk'!$A$7:$AP$71"}</definedName>
    <definedName name="__ap2" hidden="1">{"detail",#N/A,FALSE,"mfg";"summary",#N/A,FALSE,"mfg"}</definedName>
    <definedName name="__APW_RESTORE_DATA1000__" hidden="1">#REF!,#REF!,#REF!,#REF!,#REF!,#REF!,#REF!,#REF!,#REF!,#REF!,#REF!,#REF!,#REF!,#REF!,#REF!</definedName>
    <definedName name="__APW_RESTORE_DATA1001__" hidden="1">#REF!,#REF!,#REF!,#REF!,#REF!,#REF!,#REF!,#REF!,#REF!,#REF!,#REF!,#REF!,#REF!,#REF!,#REF!</definedName>
    <definedName name="__APW_RESTORE_DATA1002__" hidden="1">#REF!,#REF!,#REF!,#REF!,#REF!,#REF!,#REF!,#REF!,#REF!,#REF!,#REF!,#REF!,#REF!,#REF!,#REF!</definedName>
    <definedName name="__APW_RESTORE_DATA1003__" hidden="1">#REF!,#REF!,#REF!,#REF!,#REF!,#REF!,#REF!,#REF!,#REF!,#REF!,#REF!,#REF!,#REF!,#REF!,#REF!</definedName>
    <definedName name="__APW_RESTORE_DATA1004__" hidden="1">#REF!,#REF!,#REF!,#REF!,#REF!,#REF!,#REF!,#REF!,#REF!,#REF!,#REF!,#REF!,#REF!,#REF!,#REF!</definedName>
    <definedName name="__APW_RESTORE_DATA1005__" hidden="1">#REF!,#REF!,#REF!,#REF!,#REF!,#REF!,#REF!,#REF!,#REF!,#REF!,#REF!,#REF!,#REF!,#REF!,#REF!</definedName>
    <definedName name="__APW_RESTORE_DATA1006__" hidden="1">#REF!,#REF!,#REF!,#REF!,#REF!,#REF!,#REF!,#REF!,#REF!,#REF!,#REF!,#REF!,#REF!,#REF!,#REF!</definedName>
    <definedName name="__APW_RESTORE_DATA1007__" hidden="1">#REF!,#REF!,#REF!,#REF!,#REF!,#REF!,#REF!,#REF!,#REF!,#REF!,#REF!,#REF!,#REF!,#REF!,#REF!</definedName>
    <definedName name="__APW_RESTORE_DATA1008__" hidden="1">#REF!,#REF!,#REF!,#REF!,#REF!,#REF!,#REF!,#REF!,#REF!,#REF!,#REF!,#REF!,#REF!,#REF!,#REF!</definedName>
    <definedName name="__APW_RESTORE_DATA1009__" hidden="1">#REF!,#REF!,#REF!,#REF!,#REF!,#REF!,#REF!,#REF!,#REF!,#REF!,#REF!,#REF!,#REF!,#REF!,#REF!</definedName>
    <definedName name="__APW_RESTORE_DATA1010__" hidden="1">#REF!,#REF!,#REF!,#REF!,#REF!,#REF!,#REF!,#REF!,#REF!,#REF!,#REF!,#REF!,#REF!,#REF!,#REF!</definedName>
    <definedName name="__APW_RESTORE_DATA1011__" hidden="1">#REF!,#REF!,#REF!,#REF!,#REF!,#REF!,#REF!,#REF!,#REF!,#REF!,#REF!,#REF!,#REF!,#REF!,#REF!</definedName>
    <definedName name="__APW_RESTORE_DATA1012__" hidden="1">#REF!,#REF!,#REF!,#REF!,#REF!,#REF!,#REF!,#REF!,#REF!,#REF!,#REF!,#REF!,#REF!,#REF!,#REF!</definedName>
    <definedName name="__APW_RESTORE_DATA1013__" hidden="1">#REF!,#REF!,#REF!,#REF!,#REF!,#REF!,#REF!,#REF!,#REF!,#REF!,#REF!,#REF!,#REF!,#REF!,#REF!</definedName>
    <definedName name="__APW_RESTORE_DATA1014__" hidden="1">#REF!,#REF!,#REF!,#REF!,#REF!,#REF!,#REF!,#REF!,#REF!,#REF!,#REF!,#REF!,#REF!,#REF!,#REF!</definedName>
    <definedName name="__APW_RESTORE_DATA1015__" hidden="1">#REF!,#REF!,#REF!,#REF!,#REF!,#REF!,#REF!,#REF!,#REF!,#REF!,#REF!,#REF!,#REF!,#REF!,#REF!</definedName>
    <definedName name="__APW_RESTORE_DATA1016__" hidden="1">#REF!,#REF!,#REF!,#REF!,#REF!,#REF!,#REF!,#REF!,#REF!,#REF!,#REF!,#REF!,#REF!,#REF!,#REF!</definedName>
    <definedName name="__APW_RESTORE_DATA1017__" hidden="1">#REF!,#REF!,#REF!,#REF!,#REF!,#REF!,#REF!,#REF!,#REF!,#REF!,#REF!,#REF!,#REF!,#REF!,#REF!</definedName>
    <definedName name="__APW_RESTORE_DATA1018__" hidden="1">#REF!,#REF!,#REF!,#REF!,#REF!,#REF!,#REF!,#REF!,#REF!,#REF!,#REF!,#REF!,#REF!,#REF!,#REF!</definedName>
    <definedName name="__APW_RESTORE_DATA1019__" hidden="1">#REF!,#REF!,#REF!,#REF!,#REF!,#REF!,#REF!,#REF!,#REF!,#REF!,#REF!,#REF!,#REF!,#REF!,#REF!</definedName>
    <definedName name="__APW_RESTORE_DATA1020__" hidden="1">#REF!,#REF!,#REF!,#REF!,#REF!,#REF!,#REF!,#REF!,#REF!,#REF!,#REF!,#REF!,#REF!,#REF!,#REF!</definedName>
    <definedName name="__APW_RESTORE_DATA1021__" hidden="1">#REF!,#REF!,#REF!,#REF!,#REF!,#REF!,#REF!,#REF!,#REF!,#REF!,#REF!,#REF!,#REF!,#REF!,#REF!</definedName>
    <definedName name="__APW_RESTORE_DATA1022__" hidden="1">#REF!,#REF!,#REF!,#REF!,#REF!,#REF!,#REF!,#REF!,#REF!,#REF!,#REF!,#REF!,#REF!,#REF!,#REF!</definedName>
    <definedName name="__APW_RESTORE_DATA1023__" hidden="1">#REF!,#REF!,#REF!,#REF!,#REF!,#REF!,#REF!,#REF!,#REF!,#REF!,#REF!,#REF!,#REF!,#REF!,#REF!</definedName>
    <definedName name="__APW_RESTORE_DATA1024__" hidden="1">#REF!,#REF!,#REF!,#REF!,#REF!,#REF!,#REF!,#REF!,#REF!,#REF!,#REF!,#REF!,#REF!,#REF!,#REF!</definedName>
    <definedName name="__APW_RESTORE_DATA1025__" hidden="1">#REF!,#REF!,#REF!,#REF!,#REF!,#REF!,#REF!,#REF!,#REF!,#REF!,#REF!,#REF!,#REF!,#REF!,#REF!</definedName>
    <definedName name="__APW_RESTORE_DATA1026__" hidden="1">#REF!,#REF!,#REF!,#REF!,#REF!,#REF!,#REF!,#REF!,#REF!,#REF!,#REF!,#REF!,#REF!,#REF!,#REF!</definedName>
    <definedName name="__APW_RESTORE_DATA1027__" hidden="1">#REF!,#REF!,#REF!,#REF!,#REF!,#REF!,#REF!,#REF!,#REF!,#REF!,#REF!,#REF!,#REF!,#REF!,#REF!</definedName>
    <definedName name="__APW_RESTORE_DATA1028__" hidden="1">#REF!,#REF!,#REF!,#REF!,#REF!,#REF!,#REF!,#REF!,#REF!,#REF!,#REF!,#REF!,#REF!,#REF!,#REF!</definedName>
    <definedName name="__APW_RESTORE_DATA1029__" hidden="1">#REF!,#REF!,#REF!,#REF!,#REF!,#REF!,#REF!,#REF!,#REF!,#REF!,#REF!,#REF!,#REF!,#REF!,#REF!</definedName>
    <definedName name="__APW_RESTORE_DATA1030__" hidden="1">#REF!,#REF!,#REF!,#REF!,#REF!,#REF!,#REF!,#REF!,#REF!,#REF!,#REF!,#REF!,#REF!,#REF!,#REF!</definedName>
    <definedName name="__APW_RESTORE_DATA1031__" hidden="1">#REF!,#REF!,#REF!,#REF!,#REF!,#REF!,#REF!,#REF!,#REF!,#REF!,#REF!,#REF!,#REF!,#REF!,#REF!</definedName>
    <definedName name="__APW_RESTORE_DATA1032__" hidden="1">#REF!,#REF!,#REF!,#REF!,#REF!,#REF!,#REF!,#REF!,#REF!,#REF!,#REF!,#REF!,#REF!,#REF!,#REF!</definedName>
    <definedName name="__APW_RESTORE_DATA1033__" hidden="1">#REF!,#REF!,#REF!,#REF!,#REF!,#REF!,#REF!,#REF!,#REF!,#REF!,#REF!,#REF!,#REF!,#REF!,#REF!</definedName>
    <definedName name="__APW_RESTORE_DATA1034__" hidden="1">#REF!,#REF!,#REF!,#REF!,#REF!,#REF!,#REF!,#REF!,#REF!,#REF!,#REF!,#REF!,#REF!,#REF!,#REF!</definedName>
    <definedName name="__APW_RESTORE_DATA1035__" hidden="1">#REF!,#REF!,#REF!,#REF!,#REF!,#REF!,#REF!,#REF!,#REF!,#REF!,#REF!,#REF!,#REF!,#REF!,#REF!</definedName>
    <definedName name="__APW_RESTORE_DATA1036__" hidden="1">#REF!,#REF!,#REF!,#REF!,#REF!,#REF!,#REF!,#REF!,#REF!,#REF!,#REF!,#REF!,#REF!,#REF!,#REF!</definedName>
    <definedName name="__APW_RESTORE_DATA1037__" hidden="1">#REF!,#REF!,#REF!,#REF!,#REF!,#REF!,#REF!,#REF!,#REF!,#REF!,#REF!,#REF!,#REF!,#REF!,#REF!</definedName>
    <definedName name="__APW_RESTORE_DATA1038__" hidden="1">#REF!,#REF!,#REF!,#REF!,#REF!,#REF!,#REF!,#REF!,#REF!,#REF!,#REF!,#REF!,#REF!,#REF!,#REF!</definedName>
    <definedName name="__APW_RESTORE_DATA1039__" hidden="1">#REF!,#REF!,#REF!,#REF!,#REF!,#REF!,#REF!,#REF!,#REF!,#REF!,#REF!,#REF!,#REF!,#REF!,#REF!</definedName>
    <definedName name="__APW_RESTORE_DATA1040__" hidden="1">#REF!,#REF!,#REF!,#REF!,#REF!,#REF!,#REF!,#REF!,#REF!,#REF!,#REF!,#REF!,#REF!,#REF!,#REF!</definedName>
    <definedName name="__APW_RESTORE_DATA1041__" hidden="1">#REF!,#REF!,#REF!,#REF!,#REF!,#REF!,#REF!,#REF!,#REF!,#REF!,#REF!,#REF!,#REF!,#REF!,#REF!</definedName>
    <definedName name="__APW_RESTORE_DATA1042__" hidden="1">#REF!,#REF!,#REF!,#REF!,#REF!,#REF!,#REF!,#REF!,#REF!,#REF!,#REF!,#REF!,#REF!,#REF!,#REF!</definedName>
    <definedName name="__APW_RESTORE_DATA1043__" hidden="1">#REF!,#REF!,#REF!,#REF!,#REF!,#REF!,#REF!,#REF!,#REF!,#REF!,#REF!,#REF!,#REF!,#REF!,#REF!</definedName>
    <definedName name="__APW_RESTORE_DATA1044__" hidden="1">#REF!,#REF!,#REF!,#REF!,#REF!,#REF!,#REF!,#REF!,#REF!,#REF!,#REF!,#REF!,#REF!,#REF!,#REF!</definedName>
    <definedName name="__APW_RESTORE_DATA1045__" hidden="1">#REF!,#REF!,#REF!,#REF!,#REF!,#REF!,#REF!,#REF!,#REF!,#REF!,#REF!,#REF!,#REF!,#REF!,#REF!</definedName>
    <definedName name="__APW_RESTORE_DATA1046__" hidden="1">#REF!,#REF!,#REF!,#REF!,#REF!</definedName>
    <definedName name="__APW_RESTORE_DATA1048__" hidden="1">#REF!,#REF!,#REF!,#REF!,#REF!</definedName>
    <definedName name="__APW_RESTORE_DATA1049__" hidden="1">#REF!,#REF!,#REF!,#REF!,#REF!,#REF!,#REF!,#REF!,#REF!,#REF!,#REF!,#REF!,#REF!,#REF!,#REF!,#REF!</definedName>
    <definedName name="__APW_RESTORE_DATA1050__" hidden="1">#REF!,#REF!,#REF!,#REF!,#REF!,#REF!,#REF!,#REF!,#REF!,#REF!,#REF!,#REF!,#REF!,#REF!,#REF!,#REF!</definedName>
    <definedName name="__APW_RESTORE_DATA1051__" hidden="1">#REF!,#REF!,#REF!,#REF!,#REF!,#REF!,#REF!,#REF!,#REF!,#REF!,#REF!,#REF!,#REF!,#REF!,#REF!,#REF!</definedName>
    <definedName name="__APW_RESTORE_DATA1052__" hidden="1">#REF!,#REF!,#REF!,#REF!,#REF!,#REF!,#REF!,#REF!,#REF!,#REF!,#REF!,#REF!,#REF!,#REF!,#REF!,#REF!</definedName>
    <definedName name="__APW_RESTORE_DATA1053__" hidden="1">#REF!,#REF!,#REF!,#REF!,#REF!,#REF!,#REF!,#REF!,#REF!,#REF!,#REF!,#REF!,#REF!,#REF!,#REF!,#REF!</definedName>
    <definedName name="__APW_RESTORE_DATA1054__" hidden="1">#REF!,#REF!,#REF!,#REF!,#REF!,#REF!,#REF!,#REF!,#REF!,#REF!,#REF!,#REF!,#REF!,#REF!,#REF!</definedName>
    <definedName name="__APW_RESTORE_DATA1055__" hidden="1">#REF!,#REF!,#REF!,#REF!,#REF!,#REF!,#REF!,#REF!,#REF!,#REF!,#REF!,#REF!,#REF!,#REF!,#REF!</definedName>
    <definedName name="__APW_RESTORE_DATA1056__" hidden="1">#REF!,#REF!,#REF!,#REF!,#REF!,#REF!,#REF!,#REF!,#REF!,#REF!,#REF!,#REF!,#REF!,#REF!,#REF!</definedName>
    <definedName name="__APW_RESTORE_DATA1057__" hidden="1">#REF!,#REF!,#REF!,#REF!,#REF!,#REF!,#REF!,#REF!,#REF!,#REF!,#REF!,#REF!,#REF!,#REF!,#REF!</definedName>
    <definedName name="__APW_RESTORE_DATA1058__" hidden="1">#REF!,#REF!,#REF!,#REF!,#REF!,#REF!,#REF!,#REF!,#REF!,#REF!,#REF!,#REF!,#REF!,#REF!,#REF!</definedName>
    <definedName name="__APW_RESTORE_DATA1059__" hidden="1">#REF!,#REF!,#REF!,#REF!,#REF!,#REF!,#REF!,#REF!,#REF!,#REF!,#REF!,#REF!,#REF!,#REF!,#REF!</definedName>
    <definedName name="__APW_RESTORE_DATA1060__" hidden="1">#REF!,#REF!,#REF!,#REF!,#REF!,#REF!,#REF!,#REF!,#REF!,#REF!,#REF!,#REF!,#REF!,#REF!,#REF!</definedName>
    <definedName name="__APW_RESTORE_DATA1061__" hidden="1">#REF!,#REF!,#REF!,#REF!,#REF!,#REF!,#REF!,#REF!,#REF!,#REF!,#REF!,#REF!,#REF!,#REF!,#REF!</definedName>
    <definedName name="__APW_RESTORE_DATA1062__" hidden="1">#REF!,#REF!,#REF!,#REF!,#REF!,#REF!,#REF!,#REF!,#REF!,#REF!,#REF!,#REF!,#REF!,#REF!,#REF!</definedName>
    <definedName name="__APW_RESTORE_DATA1063__" hidden="1">#REF!,#REF!,#REF!,#REF!,#REF!,#REF!,#REF!,#REF!,#REF!,#REF!,#REF!,#REF!,#REF!,#REF!,#REF!</definedName>
    <definedName name="__APW_RESTORE_DATA1064__" hidden="1">#REF!,#REF!,#REF!,#REF!,#REF!,#REF!,#REF!,#REF!,#REF!,#REF!,#REF!,#REF!,#REF!,#REF!,#REF!</definedName>
    <definedName name="__APW_RESTORE_DATA1065__" hidden="1">#REF!,#REF!,#REF!,#REF!,#REF!,#REF!,#REF!,#REF!,#REF!,#REF!</definedName>
    <definedName name="__APW_RESTORE_DATA1066__" hidden="1">#REF!,#REF!,#REF!,#REF!,#REF!,#REF!,#REF!,#REF!,#REF!,#REF!,#REF!,#REF!,#REF!,#REF!,#REF!,#REF!</definedName>
    <definedName name="__APW_RESTORE_DATA1067__" hidden="1">#REF!,#REF!,#REF!,#REF!,#REF!,#REF!,#REF!,#REF!,#REF!,#REF!,#REF!,#REF!,#REF!,#REF!,#REF!,#REF!</definedName>
    <definedName name="__APW_RESTORE_DATA1068__" hidden="1">#REF!,#REF!,#REF!,#REF!,#REF!,#REF!,#REF!,#REF!,#REF!,#REF!,#REF!,#REF!,#REF!,#REF!,#REF!,#REF!</definedName>
    <definedName name="__APW_RESTORE_DATA1069__" hidden="1">#REF!,#REF!,#REF!,#REF!,#REF!,#REF!,#REF!,#REF!,#REF!,#REF!,#REF!,#REF!,#REF!,#REF!,#REF!,#REF!</definedName>
    <definedName name="__APW_RESTORE_DATA1070__" hidden="1">#REF!,#REF!,#REF!,#REF!,#REF!,#REF!,#REF!,#REF!,#REF!,#REF!,#REF!,#REF!,#REF!,#REF!,#REF!,#REF!</definedName>
    <definedName name="__APW_RESTORE_DATA1071__" hidden="1">#REF!,#REF!,#REF!,#REF!,#REF!,#REF!,#REF!,#REF!,#REF!,#REF!,#REF!,#REF!,#REF!,#REF!,#REF!,#REF!</definedName>
    <definedName name="__APW_RESTORE_DATA1072__" hidden="1">#REF!,#REF!,#REF!,#REF!,#REF!,#REF!,#REF!,#REF!,#REF!,#REF!,#REF!,#REF!,#REF!,#REF!,#REF!,#REF!</definedName>
    <definedName name="__APW_RESTORE_DATA1073__" hidden="1">#REF!,#REF!,#REF!,#REF!,#REF!,#REF!,#REF!,#REF!,#REF!,#REF!,#REF!,#REF!,#REF!,#REF!,#REF!,#REF!</definedName>
    <definedName name="__APW_RESTORE_DATA1074__" hidden="1">#REF!,#REF!,#REF!,#REF!,#REF!,#REF!,#REF!,#REF!,#REF!,#REF!,#REF!,#REF!,#REF!,#REF!,#REF!,#REF!</definedName>
    <definedName name="__APW_RESTORE_DATA1075__" hidden="1">#REF!,#REF!,#REF!,#REF!,#REF!,#REF!,#REF!,#REF!,#REF!,#REF!,#REF!,#REF!,#REF!,#REF!,#REF!,#REF!</definedName>
    <definedName name="__APW_RESTORE_DATA1076__" hidden="1">#REF!,#REF!,#REF!,#REF!,#REF!,#REF!,#REF!,#REF!,#REF!,#REF!,#REF!,#REF!,#REF!,#REF!,#REF!,#REF!</definedName>
    <definedName name="__APW_RESTORE_DATA1077__" hidden="1">#REF!,#REF!,#REF!,#REF!,#REF!,#REF!,#REF!,#REF!,#REF!,#REF!,#REF!,#REF!,#REF!,#REF!,#REF!,#REF!</definedName>
    <definedName name="__APW_RESTORE_DATA1078__" hidden="1">#REF!,#REF!,#REF!,#REF!,#REF!,#REF!,#REF!,#REF!,#REF!,#REF!,#REF!,#REF!,#REF!,#REF!,#REF!,#REF!</definedName>
    <definedName name="__APW_RESTORE_DATA1079__" hidden="1">#REF!,#REF!,#REF!,#REF!,#REF!,#REF!,#REF!,#REF!,#REF!,#REF!,#REF!,#REF!,#REF!,#REF!,#REF!,#REF!</definedName>
    <definedName name="__APW_RESTORE_DATA1080__" hidden="1">#REF!,#REF!,#REF!,#REF!,#REF!,#REF!,#REF!,#REF!,#REF!,#REF!,#REF!,#REF!,#REF!,#REF!,#REF!,#REF!</definedName>
    <definedName name="__APW_RESTORE_DATA1081__" hidden="1">#REF!,#REF!,#REF!,#REF!,#REF!,#REF!,#REF!,#REF!,#REF!,#REF!,#REF!,#REF!,#REF!,#REF!,#REF!,#REF!</definedName>
    <definedName name="__APW_RESTORE_DATA1082__" hidden="1">#REF!,#REF!,#REF!,#REF!,#REF!,#REF!,#REF!,#REF!,#REF!,#REF!,#REF!,#REF!,#REF!,#REF!,#REF!,#REF!</definedName>
    <definedName name="__APW_RESTORE_DATA1083__" hidden="1">#REF!,#REF!,#REF!,#REF!,#REF!,#REF!,#REF!,#REF!,#REF!,#REF!,#REF!,#REF!,#REF!,#REF!,#REF!,#REF!</definedName>
    <definedName name="__APW_RESTORE_DATA1084__" hidden="1">#REF!,#REF!,#REF!,#REF!,#REF!,#REF!,#REF!,#REF!,#REF!,#REF!,#REF!,#REF!,#REF!,#REF!,#REF!,#REF!</definedName>
    <definedName name="__APW_RESTORE_DATA1085__" hidden="1">#REF!,#REF!,#REF!,#REF!,#REF!,#REF!,#REF!,#REF!,#REF!,#REF!,#REF!,#REF!,#REF!,#REF!,#REF!,#REF!</definedName>
    <definedName name="__APW_RESTORE_DATA1086__" hidden="1">#REF!,#REF!,#REF!,#REF!,#REF!,#REF!,#REF!,#REF!,#REF!,#REF!,#REF!,#REF!,#REF!,#REF!,#REF!,#REF!</definedName>
    <definedName name="__APW_RESTORE_DATA1087__" hidden="1">#REF!,#REF!,#REF!,#REF!,#REF!,#REF!,#REF!,#REF!,#REF!,#REF!,#REF!,#REF!,#REF!,#REF!,#REF!,#REF!</definedName>
    <definedName name="__APW_RESTORE_DATA1088__" hidden="1">#REF!,#REF!,#REF!,#REF!,#REF!,#REF!,#REF!,#REF!,#REF!,#REF!,#REF!,#REF!,#REF!,#REF!,#REF!,#REF!</definedName>
    <definedName name="__APW_RESTORE_DATA1089__" hidden="1">#REF!,#REF!,#REF!,#REF!,#REF!,#REF!,#REF!,#REF!,#REF!,#REF!,#REF!,#REF!,#REF!,#REF!,#REF!,#REF!</definedName>
    <definedName name="__APW_RESTORE_DATA1090__" hidden="1">#REF!,#REF!,#REF!,#REF!,#REF!,#REF!,#REF!,#REF!,#REF!,#REF!,#REF!,#REF!,#REF!,#REF!,#REF!,#REF!</definedName>
    <definedName name="__APW_RESTORE_DATA1091__" hidden="1">#REF!,#REF!,#REF!,#REF!,#REF!,#REF!,#REF!,#REF!,#REF!,#REF!,#REF!,#REF!,#REF!,#REF!,#REF!</definedName>
    <definedName name="__APW_RESTORE_DATA1092__" hidden="1">#REF!,#REF!,#REF!,#REF!,#REF!,#REF!,#REF!,#REF!,#REF!,#REF!,#REF!,#REF!,#REF!,#REF!,#REF!</definedName>
    <definedName name="__APW_RESTORE_DATA1093__" hidden="1">#REF!,#REF!,#REF!,#REF!,#REF!,#REF!,#REF!,#REF!,#REF!,#REF!,#REF!,#REF!,#REF!,#REF!,#REF!</definedName>
    <definedName name="__APW_RESTORE_DATA1094__" hidden="1">#REF!,#REF!,#REF!,#REF!,#REF!,#REF!,#REF!,#REF!,#REF!,#REF!,#REF!,#REF!,#REF!,#REF!,#REF!</definedName>
    <definedName name="__APW_RESTORE_DATA1095__" hidden="1">#REF!,#REF!,#REF!,#REF!,#REF!,#REF!,#REF!,#REF!,#REF!,#REF!,#REF!,#REF!,#REF!,#REF!,#REF!</definedName>
    <definedName name="__APW_RESTORE_DATA1096__" hidden="1">#REF!,#REF!,#REF!,#REF!,#REF!,#REF!,#REF!,#REF!,#REF!,#REF!,#REF!,#REF!,#REF!,#REF!,#REF!</definedName>
    <definedName name="__APW_RESTORE_DATA1097__" hidden="1">#REF!,#REF!,#REF!,#REF!,#REF!,#REF!,#REF!,#REF!,#REF!,#REF!,#REF!,#REF!,#REF!,#REF!,#REF!</definedName>
    <definedName name="__APW_RESTORE_DATA1098__" hidden="1">#REF!,#REF!,#REF!,#REF!,#REF!,#REF!,#REF!,#REF!,#REF!,#REF!,#REF!,#REF!,#REF!,#REF!,#REF!</definedName>
    <definedName name="__APW_RESTORE_DATA1099__" hidden="1">#REF!,#REF!,#REF!,#REF!,#REF!,#REF!,#REF!,#REF!,#REF!,#REF!,#REF!,#REF!,#REF!,#REF!,#REF!</definedName>
    <definedName name="__APW_RESTORE_DATA1100__" hidden="1">#REF!,#REF!,#REF!,#REF!,#REF!,#REF!,#REF!,#REF!,#REF!,#REF!,#REF!,#REF!,#REF!,#REF!,#REF!</definedName>
    <definedName name="__APW_RESTORE_DATA1101__" hidden="1">#REF!,#REF!,#REF!,#REF!,#REF!,#REF!,#REF!,#REF!,#REF!,#REF!,#REF!,#REF!,#REF!,#REF!,#REF!</definedName>
    <definedName name="__APW_RESTORE_DATA1102__" hidden="1">#REF!,#REF!,#REF!,#REF!,#REF!,#REF!,#REF!,#REF!,#REF!,#REF!,#REF!,#REF!,#REF!,#REF!,#REF!</definedName>
    <definedName name="__APW_RESTORE_DATA1103__" hidden="1">#REF!,#REF!,#REF!,#REF!,#REF!,#REF!,#REF!,#REF!,#REF!,#REF!,#REF!,#REF!,#REF!,#REF!,#REF!</definedName>
    <definedName name="__APW_RESTORE_DATA1104__" hidden="1">#REF!,#REF!,#REF!,#REF!,#REF!,#REF!,#REF!,#REF!,#REF!,#REF!,#REF!,#REF!,#REF!,#REF!,#REF!</definedName>
    <definedName name="__APW_RESTORE_DATA1105__" hidden="1">#REF!,#REF!,#REF!,#REF!,#REF!,#REF!,#REF!,#REF!,#REF!,#REF!,#REF!,#REF!,#REF!,#REF!,#REF!</definedName>
    <definedName name="__APW_RESTORE_DATA1106__" hidden="1">#REF!,#REF!,#REF!,#REF!,#REF!,#REF!,#REF!,#REF!,#REF!,#REF!,#REF!,#REF!,#REF!,#REF!,#REF!</definedName>
    <definedName name="__APW_RESTORE_DATA1107__" hidden="1">#REF!,#REF!,#REF!,#REF!,#REF!,#REF!,#REF!,#REF!,#REF!,#REF!,#REF!,#REF!,#REF!,#REF!,#REF!</definedName>
    <definedName name="__APW_RESTORE_DATA1108__" hidden="1">#REF!,#REF!,#REF!,#REF!,#REF!,#REF!,#REF!,#REF!,#REF!,#REF!,#REF!,#REF!,#REF!,#REF!,#REF!</definedName>
    <definedName name="__APW_RESTORE_DATA1109__" hidden="1">#REF!,#REF!,#REF!,#REF!,#REF!,#REF!,#REF!,#REF!,#REF!,#REF!,#REF!,#REF!,#REF!,#REF!,#REF!</definedName>
    <definedName name="__APW_RESTORE_DATA1110__" hidden="1">#REF!,#REF!,#REF!,#REF!,#REF!,#REF!,#REF!,#REF!,#REF!,#REF!,#REF!,#REF!,#REF!,#REF!,#REF!</definedName>
    <definedName name="__APW_RESTORE_DATA1111__" hidden="1">#REF!,#REF!,#REF!,#REF!,#REF!,#REF!,#REF!,#REF!,#REF!,#REF!,#REF!,#REF!,#REF!,#REF!,#REF!</definedName>
    <definedName name="__APW_RESTORE_DATA1112__" hidden="1">#REF!,#REF!,#REF!,#REF!,#REF!,#REF!,#REF!,#REF!,#REF!,#REF!,#REF!,#REF!,#REF!,#REF!,#REF!</definedName>
    <definedName name="__APW_RESTORE_DATA1113__" hidden="1">#REF!,#REF!,#REF!,#REF!,#REF!,#REF!,#REF!,#REF!,#REF!,#REF!,#REF!,#REF!,#REF!,#REF!,#REF!</definedName>
    <definedName name="__APW_RESTORE_DATA1114__" hidden="1">#REF!,#REF!,#REF!,#REF!,#REF!,#REF!,#REF!,#REF!,#REF!,#REF!,#REF!,#REF!,#REF!,#REF!,#REF!</definedName>
    <definedName name="__APW_RESTORE_DATA1115__" hidden="1">#REF!,#REF!,#REF!,#REF!,#REF!,#REF!,#REF!,#REF!,#REF!,#REF!,#REF!,#REF!,#REF!,#REF!,#REF!</definedName>
    <definedName name="__APW_RESTORE_DATA1116__" hidden="1">#REF!,#REF!,#REF!,#REF!,#REF!,#REF!,#REF!,#REF!,#REF!,#REF!,#REF!,#REF!,#REF!,#REF!,#REF!</definedName>
    <definedName name="__APW_RESTORE_DATA1117__" hidden="1">#REF!,#REF!,#REF!,#REF!,#REF!,#REF!,#REF!,#REF!,#REF!,#REF!,#REF!,#REF!,#REF!,#REF!,#REF!</definedName>
    <definedName name="__APW_RESTORE_DATA1118__" hidden="1">#REF!,#REF!,#REF!,#REF!,#REF!,#REF!,#REF!,#REF!,#REF!,#REF!,#REF!,#REF!,#REF!,#REF!,#REF!</definedName>
    <definedName name="__APW_RESTORE_DATA1119__" hidden="1">#REF!,#REF!,#REF!,#REF!,#REF!,#REF!,#REF!,#REF!,#REF!,#REF!,#REF!,#REF!,#REF!,#REF!,#REF!</definedName>
    <definedName name="__APW_RESTORE_DATA1120__" hidden="1">#REF!,#REF!,#REF!,#REF!,#REF!,#REF!,#REF!,#REF!,#REF!,#REF!,#REF!,#REF!,#REF!,#REF!,#REF!</definedName>
    <definedName name="__APW_RESTORE_DATA1121__" hidden="1">#REF!,#REF!,#REF!,#REF!,#REF!,#REF!,#REF!,#REF!,#REF!,#REF!,#REF!,#REF!,#REF!,#REF!,#REF!</definedName>
    <definedName name="__APW_RESTORE_DATA1122__" hidden="1">#REF!,#REF!,#REF!,#REF!,#REF!,#REF!,#REF!,#REF!,#REF!,#REF!,#REF!,#REF!,#REF!,#REF!,#REF!</definedName>
    <definedName name="__APW_RESTORE_DATA1123__" hidden="1">#REF!,#REF!,#REF!,#REF!,#REF!,#REF!,#REF!,#REF!,#REF!,#REF!,#REF!,#REF!,#REF!,#REF!,#REF!</definedName>
    <definedName name="__APW_RESTORE_DATA1124__" hidden="1">#REF!,#REF!,#REF!,#REF!,#REF!,#REF!,#REF!,#REF!,#REF!,#REF!,#REF!,#REF!,#REF!,#REF!,#REF!</definedName>
    <definedName name="__APW_RESTORE_DATA1125__" hidden="1">#REF!,#REF!,#REF!,#REF!,#REF!,#REF!,#REF!,#REF!,#REF!,#REF!,#REF!,#REF!,#REF!,#REF!,#REF!</definedName>
    <definedName name="__APW_RESTORE_DATA1126__" hidden="1">#REF!,#REF!,#REF!,#REF!,#REF!,#REF!,#REF!,#REF!,#REF!,#REF!,#REF!,#REF!,#REF!,#REF!,#REF!</definedName>
    <definedName name="__APW_RESTORE_DATA1127__" hidden="1">#REF!,#REF!,#REF!,#REF!,#REF!,#REF!,#REF!,#REF!,#REF!,#REF!,#REF!,#REF!,#REF!,#REF!,#REF!</definedName>
    <definedName name="__APW_RESTORE_DATA1128__" hidden="1">#REF!,#REF!,#REF!,#REF!,#REF!,#REF!,#REF!,#REF!,#REF!,#REF!,#REF!,#REF!,#REF!,#REF!,#REF!</definedName>
    <definedName name="__APW_RESTORE_DATA1129__" hidden="1">#REF!,#REF!,#REF!,#REF!,#REF!,#REF!,#REF!,#REF!,#REF!,#REF!,#REF!,#REF!,#REF!,#REF!,#REF!</definedName>
    <definedName name="__APW_RESTORE_DATA1130__" hidden="1">#REF!,#REF!,#REF!,#REF!,#REF!,#REF!,#REF!,#REF!,#REF!,#REF!,#REF!,#REF!,#REF!,#REF!,#REF!</definedName>
    <definedName name="__APW_RESTORE_DATA1131__" hidden="1">#REF!,#REF!,#REF!,#REF!,#REF!,#REF!,#REF!,#REF!,#REF!,#REF!,#REF!,#REF!,#REF!,#REF!,#REF!</definedName>
    <definedName name="__APW_RESTORE_DATA1132__" hidden="1">#REF!,#REF!,#REF!,#REF!,#REF!,#REF!,#REF!,#REF!,#REF!,#REF!,#REF!,#REF!,#REF!,#REF!,#REF!</definedName>
    <definedName name="__APW_RESTORE_DATA1133__" hidden="1">#REF!,#REF!,#REF!,#REF!,#REF!,#REF!,#REF!,#REF!,#REF!,#REF!,#REF!,#REF!,#REF!,#REF!,#REF!</definedName>
    <definedName name="__APW_RESTORE_DATA1134__" hidden="1">#REF!,#REF!,#REF!,#REF!,#REF!,#REF!,#REF!,#REF!,#REF!,#REF!,#REF!,#REF!,#REF!,#REF!,#REF!</definedName>
    <definedName name="__APW_RESTORE_DATA1135__" hidden="1">#REF!,#REF!,#REF!,#REF!,#REF!,#REF!,#REF!,#REF!,#REF!,#REF!,#REF!,#REF!,#REF!,#REF!,#REF!</definedName>
    <definedName name="__APW_RESTORE_DATA1136__" hidden="1">#REF!,#REF!,#REF!,#REF!,#REF!,#REF!,#REF!,#REF!,#REF!,#REF!,#REF!,#REF!,#REF!,#REF!,#REF!</definedName>
    <definedName name="__APW_RESTORE_DATA1137__" hidden="1">#REF!,#REF!,#REF!,#REF!,#REF!,#REF!,#REF!,#REF!,#REF!,#REF!,#REF!,#REF!,#REF!,#REF!,#REF!</definedName>
    <definedName name="__APW_RESTORE_DATA1138__" hidden="1">#REF!,#REF!,#REF!,#REF!,#REF!,#REF!,#REF!,#REF!,#REF!,#REF!,#REF!,#REF!,#REF!,#REF!,#REF!</definedName>
    <definedName name="__APW_RESTORE_DATA1139__" hidden="1">#REF!,#REF!,#REF!,#REF!,#REF!,#REF!,#REF!,#REF!,#REF!,#REF!,#REF!,#REF!,#REF!,#REF!,#REF!</definedName>
    <definedName name="__APW_RESTORE_DATA1140__" hidden="1">#REF!,#REF!,#REF!,#REF!,#REF!,#REF!,#REF!,#REF!,#REF!,#REF!,#REF!,#REF!,#REF!,#REF!,#REF!</definedName>
    <definedName name="__APW_RESTORE_DATA1141__" hidden="1">#REF!,#REF!,#REF!,#REF!,#REF!,#REF!,#REF!,#REF!,#REF!,#REF!,#REF!,#REF!,#REF!,#REF!,#REF!</definedName>
    <definedName name="__APW_RESTORE_DATA1142__" hidden="1">#REF!,#REF!,#REF!,#REF!,#REF!,#REF!,#REF!,#REF!,#REF!,#REF!,#REF!,#REF!,#REF!,#REF!,#REF!</definedName>
    <definedName name="__APW_RESTORE_DATA1143__" hidden="1">#REF!,#REF!,#REF!,#REF!,#REF!,#REF!,#REF!,#REF!,#REF!,#REF!,#REF!,#REF!,#REF!,#REF!,#REF!</definedName>
    <definedName name="__APW_RESTORE_DATA1144__" hidden="1">#REF!,#REF!,#REF!,#REF!,#REF!,#REF!,#REF!,#REF!,#REF!,#REF!,#REF!,#REF!,#REF!,#REF!,#REF!</definedName>
    <definedName name="__APW_RESTORE_DATA1145__" hidden="1">#REF!,#REF!,#REF!,#REF!,#REF!,#REF!,#REF!,#REF!,#REF!,#REF!,#REF!,#REF!,#REF!,#REF!,#REF!</definedName>
    <definedName name="__APW_RESTORE_DATA1146__" hidden="1">#REF!,#REF!,#REF!,#REF!,#REF!,#REF!,#REF!,#REF!,#REF!,#REF!,#REF!,#REF!,#REF!,#REF!,#REF!</definedName>
    <definedName name="__APW_RESTORE_DATA1147__" hidden="1">#REF!,#REF!,#REF!,#REF!,#REF!,#REF!,#REF!,#REF!,#REF!,#REF!,#REF!,#REF!,#REF!,#REF!,#REF!</definedName>
    <definedName name="__APW_RESTORE_DATA1148__" hidden="1">#REF!,#REF!,#REF!,#REF!,#REF!,#REF!,#REF!,#REF!,#REF!,#REF!,#REF!,#REF!,#REF!,#REF!,#REF!</definedName>
    <definedName name="__APW_RESTORE_DATA1149__" hidden="1">#REF!,#REF!,#REF!,#REF!,#REF!</definedName>
    <definedName name="__APW_RESTORE_DATA1182__" hidden="1">#REF!,#REF!,#REF!,#REF!,#REF!</definedName>
    <definedName name="__APW_RESTORE_DATA54__" hidden="1">#REF!,#REF!,#REF!,#REF!,#REF!,#REF!,#REF!,#REF!,#REF!,#REF!,#REF!,#REF!,#REF!,#REF!,#REF!,#REF!</definedName>
    <definedName name="__APW_RESTORE_DATA55__" hidden="1">#REF!,#REF!,#REF!,#REF!,#REF!,#REF!,#REF!,#REF!,#REF!,#REF!,#REF!,#REF!,#REF!,#REF!,#REF!</definedName>
    <definedName name="__APW_RESTORE_DATA56__" hidden="1">#REF!,#REF!,#REF!,#REF!,#REF!,#REF!,#REF!,#REF!,#REF!,#REF!,#REF!,#REF!,#REF!,#REF!,#REF!</definedName>
    <definedName name="__APW_RESTORE_DATA57__" hidden="1">#REF!,#REF!,#REF!,#REF!,#REF!,#REF!,#REF!,#REF!,#REF!,#REF!,#REF!,#REF!,#REF!,#REF!,#REF!</definedName>
    <definedName name="__APW_RESTORE_DATA58__" hidden="1">#REF!,#REF!,#REF!,#REF!,#REF!,#REF!,#REF!,#REF!,#REF!,#REF!,#REF!,#REF!,#REF!,#REF!,#REF!</definedName>
    <definedName name="__APW_RESTORE_DATA59__" hidden="1">#REF!,#REF!,#REF!,#REF!,#REF!,#REF!,#REF!,#REF!,#REF!,#REF!,#REF!,#REF!,#REF!,#REF!,#REF!</definedName>
    <definedName name="__APW_RESTORE_DATA60__" hidden="1">#REF!,#REF!,#REF!,#REF!,#REF!,#REF!,#REF!,#REF!,#REF!,#REF!,#REF!,#REF!,#REF!,#REF!,#REF!</definedName>
    <definedName name="__APW_RESTORE_DATA61__" hidden="1">#REF!,#REF!,#REF!,#REF!,#REF!,#REF!,#REF!,#REF!,#REF!,#REF!,#REF!,#REF!,#REF!,#REF!</definedName>
    <definedName name="__APW_RESTORE_DATA62__" hidden="1">#REF!,#REF!,#REF!,#REF!,#REF!,#REF!,#REF!,#REF!,#REF!,#REF!</definedName>
    <definedName name="__APW_RESTORE_DATA63__" hidden="1">#REF!,#REF!,#REF!,#REF!,#REF!,#REF!,#REF!,#REF!,#REF!,#REF!,#REF!,#REF!,#REF!,#REF!,#REF!,#REF!</definedName>
    <definedName name="__APW_RESTORE_DATA64__" hidden="1">#REF!,#REF!,#REF!,#REF!,#REF!,#REF!,#REF!,#REF!,#REF!,#REF!,#REF!,#REF!,#REF!,#REF!,#REF!</definedName>
    <definedName name="__APW_RESTORE_DATA65__" hidden="1">#REF!,#REF!,#REF!,#REF!,#REF!,#REF!,#REF!,#REF!,#REF!,#REF!,#REF!,#REF!,#REF!,#REF!,#REF!</definedName>
    <definedName name="__APW_RESTORE_DATA66__" hidden="1">#REF!,#REF!,#REF!,#REF!,#REF!,#REF!,#REF!,#REF!,#REF!,#REF!,#REF!,#REF!,#REF!,#REF!,#REF!</definedName>
    <definedName name="__APW_RESTORE_DATA67__" hidden="1">#REF!,#REF!,#REF!,#REF!,#REF!,#REF!,#REF!,#REF!,#REF!,#REF!,#REF!,#REF!,#REF!,#REF!,#REF!</definedName>
    <definedName name="__APW_RESTORE_DATA68__" hidden="1">#REF!,#REF!,#REF!,#REF!,#REF!,#REF!,#REF!,#REF!,#REF!,#REF!,#REF!,#REF!,#REF!,#REF!,#REF!</definedName>
    <definedName name="__APW_RESTORE_DATA69__" hidden="1">#REF!,#REF!,#REF!,#REF!,#REF!,#REF!,#REF!,#REF!,#REF!,#REF!,#REF!,#REF!,#REF!,#REF!,#REF!</definedName>
    <definedName name="__APW_RESTORE_DATA70__" hidden="1">#REF!,#REF!,#REF!,#REF!,#REF!,#REF!,#REF!,#REF!,#REF!,#REF!,#REF!,#REF!,#REF!,#REF!</definedName>
    <definedName name="__APW_RESTORE_DATA71__" hidden="1">#REF!,#REF!,#REF!,#REF!,#REF!,#REF!,#REF!,#REF!,#REF!,#REF!</definedName>
    <definedName name="__APW_RESTORE_DATA72__" hidden="1">#REF!,#REF!,#REF!,#REF!,#REF!,#REF!,#REF!,#REF!,#REF!,#REF!,#REF!,#REF!,#REF!,#REF!,#REF!,#REF!</definedName>
    <definedName name="__APW_RESTORE_DATA73__" hidden="1">#REF!,#REF!,#REF!,#REF!,#REF!,#REF!,#REF!,#REF!,#REF!,#REF!,#REF!,#REF!,#REF!,#REF!,#REF!</definedName>
    <definedName name="__APW_RESTORE_DATA74__" hidden="1">#REF!,#REF!,#REF!,#REF!,#REF!,#REF!,#REF!,#REF!,#REF!,#REF!,#REF!,#REF!,#REF!,#REF!,#REF!</definedName>
    <definedName name="__APW_RESTORE_DATA75__" hidden="1">#REF!,#REF!,#REF!,#REF!,#REF!,#REF!,#REF!,#REF!,#REF!,#REF!,#REF!,#REF!,#REF!,#REF!,#REF!</definedName>
    <definedName name="__APW_RESTORE_DATA76__" hidden="1">#REF!,#REF!,#REF!,#REF!,#REF!,#REF!,#REF!,#REF!,#REF!,#REF!,#REF!,#REF!,#REF!,#REF!,#REF!</definedName>
    <definedName name="__APW_RESTORE_DATA77__" hidden="1">#REF!,#REF!,#REF!,#REF!,#REF!,#REF!,#REF!,#REF!,#REF!,#REF!,#REF!,#REF!,#REF!,#REF!,#REF!</definedName>
    <definedName name="__APW_RESTORE_DATA78__" hidden="1">#REF!,#REF!,#REF!,#REF!,#REF!,#REF!,#REF!,#REF!,#REF!,#REF!,#REF!,#REF!,#REF!,#REF!,#REF!</definedName>
    <definedName name="__APW_RESTORE_DATA79__" hidden="1">#REF!,#REF!,#REF!,#REF!,#REF!,#REF!,#REF!,#REF!,#REF!,#REF!,#REF!,#REF!,#REF!,#REF!</definedName>
    <definedName name="__APW_RESTORE_DATA80__" hidden="1">#REF!,#REF!,#REF!,#REF!,#REF!,#REF!,#REF!,#REF!,#REF!,#REF!</definedName>
    <definedName name="__APW_RESTORE_DATA945__" hidden="1">#REF!,#REF!,#REF!,#REF!,#REF!</definedName>
    <definedName name="__APW_RESTORE_DATA946__" hidden="1">#REF!,#REF!,#REF!,#REF!,#REF!,#REF!,#REF!,#REF!,#REF!,#REF!,#REF!,#REF!,#REF!,#REF!,#REF!,#REF!</definedName>
    <definedName name="__APW_RESTORE_DATA947__" hidden="1">#REF!,#REF!,#REF!,#REF!,#REF!,#REF!,#REF!,#REF!,#REF!,#REF!,#REF!,#REF!,#REF!,#REF!,#REF!,#REF!</definedName>
    <definedName name="__APW_RESTORE_DATA948__" hidden="1">#REF!,#REF!,#REF!,#REF!,#REF!,#REF!,#REF!,#REF!,#REF!,#REF!,#REF!,#REF!,#REF!,#REF!,#REF!,#REF!</definedName>
    <definedName name="__APW_RESTORE_DATA949__" hidden="1">#REF!,#REF!,#REF!,#REF!,#REF!,#REF!,#REF!,#REF!,#REF!,#REF!,#REF!,#REF!,#REF!,#REF!,#REF!,#REF!</definedName>
    <definedName name="__APW_RESTORE_DATA950__" hidden="1">#REF!,#REF!,#REF!,#REF!,#REF!,#REF!,#REF!,#REF!,#REF!,#REF!,#REF!,#REF!,#REF!,#REF!,#REF!,#REF!</definedName>
    <definedName name="__APW_RESTORE_DATA951__" hidden="1">#REF!,#REF!,#REF!,#REF!,#REF!,#REF!,#REF!,#REF!,#REF!,#REF!,#REF!,#REF!,#REF!,#REF!,#REF!</definedName>
    <definedName name="__APW_RESTORE_DATA952__" hidden="1">#REF!,#REF!,#REF!,#REF!,#REF!,#REF!,#REF!,#REF!,#REF!,#REF!,#REF!,#REF!,#REF!,#REF!,#REF!</definedName>
    <definedName name="__APW_RESTORE_DATA953__" hidden="1">#REF!,#REF!,#REF!,#REF!,#REF!,#REF!,#REF!,#REF!,#REF!,#REF!,#REF!,#REF!,#REF!,#REF!,#REF!</definedName>
    <definedName name="__APW_RESTORE_DATA954__" hidden="1">#REF!,#REF!,#REF!,#REF!,#REF!,#REF!,#REF!,#REF!,#REF!,#REF!,#REF!,#REF!,#REF!,#REF!,#REF!</definedName>
    <definedName name="__APW_RESTORE_DATA955__" hidden="1">#REF!,#REF!,#REF!,#REF!,#REF!,#REF!,#REF!,#REF!,#REF!,#REF!,#REF!,#REF!,#REF!,#REF!,#REF!</definedName>
    <definedName name="__APW_RESTORE_DATA956__" hidden="1">#REF!,#REF!,#REF!,#REF!,#REF!,#REF!,#REF!,#REF!,#REF!,#REF!,#REF!,#REF!,#REF!,#REF!,#REF!</definedName>
    <definedName name="__APW_RESTORE_DATA957__" hidden="1">#REF!,#REF!,#REF!,#REF!,#REF!,#REF!,#REF!,#REF!,#REF!,#REF!,#REF!,#REF!,#REF!,#REF!,#REF!</definedName>
    <definedName name="__APW_RESTORE_DATA958__" hidden="1">#REF!,#REF!,#REF!,#REF!,#REF!,#REF!,#REF!,#REF!,#REF!,#REF!,#REF!,#REF!,#REF!,#REF!,#REF!</definedName>
    <definedName name="__APW_RESTORE_DATA959__" hidden="1">#REF!,#REF!,#REF!,#REF!,#REF!,#REF!,#REF!,#REF!,#REF!,#REF!,#REF!,#REF!,#REF!,#REF!,#REF!</definedName>
    <definedName name="__APW_RESTORE_DATA960__" hidden="1">#REF!,#REF!,#REF!,#REF!,#REF!,#REF!,#REF!,#REF!,#REF!,#REF!,#REF!,#REF!,#REF!,#REF!,#REF!</definedName>
    <definedName name="__APW_RESTORE_DATA961__" hidden="1">#REF!,#REF!,#REF!,#REF!,#REF!,#REF!,#REF!,#REF!,#REF!,#REF!,#REF!,#REF!,#REF!,#REF!,#REF!</definedName>
    <definedName name="__APW_RESTORE_DATA962__" hidden="1">#REF!,#REF!,#REF!,#REF!,#REF!,#REF!,#REF!,#REF!,#REF!,#REF!</definedName>
    <definedName name="__APW_RESTORE_DATA963__" hidden="1">#REF!,#REF!,#REF!,#REF!,#REF!,#REF!,#REF!,#REF!,#REF!,#REF!,#REF!,#REF!,#REF!,#REF!,#REF!,#REF!</definedName>
    <definedName name="__APW_RESTORE_DATA964__" hidden="1">#REF!,#REF!,#REF!,#REF!,#REF!,#REF!,#REF!,#REF!,#REF!,#REF!,#REF!,#REF!,#REF!,#REF!,#REF!,#REF!</definedName>
    <definedName name="__APW_RESTORE_DATA965__" hidden="1">#REF!,#REF!,#REF!,#REF!,#REF!,#REF!,#REF!,#REF!,#REF!,#REF!,#REF!,#REF!,#REF!,#REF!,#REF!,#REF!</definedName>
    <definedName name="__APW_RESTORE_DATA966__" hidden="1">#REF!,#REF!,#REF!,#REF!,#REF!,#REF!,#REF!,#REF!,#REF!,#REF!,#REF!,#REF!,#REF!,#REF!,#REF!,#REF!</definedName>
    <definedName name="__APW_RESTORE_DATA967__" hidden="1">#REF!,#REF!,#REF!,#REF!,#REF!,#REF!,#REF!,#REF!,#REF!,#REF!,#REF!,#REF!,#REF!,#REF!,#REF!,#REF!</definedName>
    <definedName name="__APW_RESTORE_DATA968__" hidden="1">#REF!,#REF!,#REF!,#REF!,#REF!,#REF!,#REF!,#REF!,#REF!,#REF!,#REF!,#REF!,#REF!,#REF!,#REF!,#REF!</definedName>
    <definedName name="__APW_RESTORE_DATA969__" hidden="1">#REF!,#REF!,#REF!,#REF!,#REF!,#REF!,#REF!,#REF!,#REF!,#REF!,#REF!,#REF!,#REF!,#REF!,#REF!,#REF!</definedName>
    <definedName name="__APW_RESTORE_DATA970__" hidden="1">#REF!,#REF!,#REF!,#REF!,#REF!,#REF!,#REF!,#REF!,#REF!,#REF!,#REF!,#REF!,#REF!,#REF!,#REF!,#REF!</definedName>
    <definedName name="__APW_RESTORE_DATA971__" hidden="1">#REF!,#REF!,#REF!,#REF!,#REF!,#REF!,#REF!,#REF!,#REF!,#REF!,#REF!,#REF!,#REF!,#REF!,#REF!,#REF!</definedName>
    <definedName name="__APW_RESTORE_DATA972__" hidden="1">#REF!,#REF!,#REF!,#REF!,#REF!,#REF!,#REF!,#REF!,#REF!,#REF!,#REF!,#REF!,#REF!,#REF!,#REF!,#REF!</definedName>
    <definedName name="__APW_RESTORE_DATA973__" hidden="1">#REF!,#REF!,#REF!,#REF!,#REF!,#REF!,#REF!,#REF!,#REF!,#REF!,#REF!,#REF!,#REF!,#REF!,#REF!,#REF!</definedName>
    <definedName name="__APW_RESTORE_DATA974__" hidden="1">#REF!,#REF!,#REF!,#REF!,#REF!,#REF!,#REF!,#REF!,#REF!,#REF!,#REF!,#REF!,#REF!,#REF!,#REF!,#REF!</definedName>
    <definedName name="__APW_RESTORE_DATA975__" hidden="1">#REF!,#REF!,#REF!,#REF!,#REF!,#REF!,#REF!,#REF!,#REF!,#REF!,#REF!,#REF!,#REF!,#REF!,#REF!,#REF!</definedName>
    <definedName name="__APW_RESTORE_DATA976__" hidden="1">#REF!,#REF!,#REF!,#REF!,#REF!,#REF!,#REF!,#REF!,#REF!,#REF!,#REF!,#REF!,#REF!,#REF!,#REF!,#REF!</definedName>
    <definedName name="__APW_RESTORE_DATA977__" hidden="1">#REF!,#REF!,#REF!,#REF!,#REF!,#REF!,#REF!,#REF!,#REF!,#REF!,#REF!,#REF!,#REF!,#REF!,#REF!,#REF!</definedName>
    <definedName name="__APW_RESTORE_DATA978__" hidden="1">#REF!,#REF!,#REF!,#REF!,#REF!,#REF!,#REF!,#REF!,#REF!,#REF!,#REF!,#REF!,#REF!,#REF!,#REF!,#REF!</definedName>
    <definedName name="__APW_RESTORE_DATA979__" hidden="1">#REF!,#REF!,#REF!,#REF!,#REF!,#REF!,#REF!,#REF!,#REF!,#REF!,#REF!,#REF!,#REF!,#REF!,#REF!,#REF!</definedName>
    <definedName name="__APW_RESTORE_DATA980__" hidden="1">#REF!,#REF!,#REF!,#REF!,#REF!,#REF!,#REF!,#REF!,#REF!,#REF!,#REF!,#REF!,#REF!,#REF!,#REF!,#REF!</definedName>
    <definedName name="__APW_RESTORE_DATA981__" hidden="1">#REF!,#REF!,#REF!,#REF!,#REF!,#REF!,#REF!,#REF!,#REF!,#REF!,#REF!,#REF!,#REF!,#REF!,#REF!,#REF!</definedName>
    <definedName name="__APW_RESTORE_DATA982__" hidden="1">#REF!,#REF!,#REF!,#REF!,#REF!,#REF!,#REF!,#REF!,#REF!,#REF!,#REF!,#REF!,#REF!,#REF!,#REF!,#REF!</definedName>
    <definedName name="__APW_RESTORE_DATA983__" hidden="1">#REF!,#REF!,#REF!,#REF!,#REF!,#REF!,#REF!,#REF!,#REF!,#REF!,#REF!,#REF!,#REF!,#REF!,#REF!,#REF!</definedName>
    <definedName name="__APW_RESTORE_DATA984__" hidden="1">#REF!,#REF!,#REF!,#REF!,#REF!,#REF!,#REF!,#REF!,#REF!,#REF!,#REF!,#REF!,#REF!,#REF!,#REF!,#REF!</definedName>
    <definedName name="__APW_RESTORE_DATA985__" hidden="1">#REF!,#REF!,#REF!,#REF!,#REF!,#REF!,#REF!,#REF!,#REF!,#REF!,#REF!,#REF!,#REF!,#REF!,#REF!,#REF!</definedName>
    <definedName name="__APW_RESTORE_DATA986__" hidden="1">#REF!,#REF!,#REF!,#REF!,#REF!,#REF!,#REF!,#REF!,#REF!,#REF!,#REF!,#REF!,#REF!,#REF!,#REF!,#REF!</definedName>
    <definedName name="__APW_RESTORE_DATA987__" hidden="1">#REF!,#REF!,#REF!,#REF!,#REF!,#REF!,#REF!,#REF!,#REF!,#REF!,#REF!,#REF!,#REF!,#REF!,#REF!,#REF!</definedName>
    <definedName name="__APW_RESTORE_DATA988__" hidden="1">#REF!,#REF!,#REF!,#REF!,#REF!,#REF!,#REF!,#REF!,#REF!,#REF!,#REF!,#REF!,#REF!,#REF!,#REF!</definedName>
    <definedName name="__APW_RESTORE_DATA989__" hidden="1">#REF!,#REF!,#REF!,#REF!,#REF!,#REF!,#REF!,#REF!,#REF!,#REF!,#REF!,#REF!,#REF!,#REF!,#REF!</definedName>
    <definedName name="__APW_RESTORE_DATA990__" hidden="1">#REF!,#REF!,#REF!,#REF!,#REF!,#REF!,#REF!,#REF!,#REF!,#REF!,#REF!,#REF!,#REF!,#REF!,#REF!</definedName>
    <definedName name="__APW_RESTORE_DATA991__" hidden="1">#REF!,#REF!,#REF!,#REF!,#REF!,#REF!,#REF!,#REF!,#REF!,#REF!,#REF!,#REF!,#REF!,#REF!,#REF!</definedName>
    <definedName name="__APW_RESTORE_DATA992__" hidden="1">#REF!,#REF!,#REF!,#REF!,#REF!,#REF!,#REF!,#REF!,#REF!,#REF!,#REF!,#REF!,#REF!,#REF!,#REF!</definedName>
    <definedName name="__APW_RESTORE_DATA993__" hidden="1">#REF!,#REF!,#REF!,#REF!,#REF!,#REF!,#REF!,#REF!,#REF!,#REF!,#REF!,#REF!,#REF!,#REF!,#REF!</definedName>
    <definedName name="__APW_RESTORE_DATA994__" hidden="1">#REF!,#REF!,#REF!,#REF!,#REF!,#REF!,#REF!,#REF!,#REF!,#REF!,#REF!,#REF!,#REF!,#REF!,#REF!</definedName>
    <definedName name="__APW_RESTORE_DATA995__" hidden="1">#REF!,#REF!,#REF!,#REF!,#REF!,#REF!,#REF!,#REF!,#REF!,#REF!,#REF!,#REF!,#REF!,#REF!,#REF!</definedName>
    <definedName name="__APW_RESTORE_DATA996__" hidden="1">#REF!,#REF!,#REF!,#REF!,#REF!,#REF!,#REF!,#REF!,#REF!,#REF!,#REF!,#REF!,#REF!,#REF!,#REF!</definedName>
    <definedName name="__APW_RESTORE_DATA997__" hidden="1">#REF!,#REF!,#REF!,#REF!,#REF!,#REF!,#REF!,#REF!,#REF!,#REF!,#REF!,#REF!,#REF!,#REF!,#REF!</definedName>
    <definedName name="__APW_RESTORE_DATA998__" hidden="1">#REF!,#REF!,#REF!,#REF!,#REF!,#REF!,#REF!,#REF!,#REF!,#REF!,#REF!,#REF!,#REF!,#REF!,#REF!</definedName>
    <definedName name="__APW_RESTORE_DATA999__" hidden="1">#REF!,#REF!,#REF!,#REF!,#REF!,#REF!,#REF!,#REF!,#REF!,#REF!,#REF!,#REF!,#REF!,#REF!,#REF!</definedName>
    <definedName name="__b111" hidden="1">{#N/A,#N/A,FALSE,"Pharm";#N/A,#N/A,FALSE,"WWCM"}</definedName>
    <definedName name="__BS1" hidden="1">{"OEE OAP",#N/A,FALSE,"oap";"OEE APAP",#N/A,FALSE,"apap";"OEE nitros",#N/A,FALSE,"nitros"}</definedName>
    <definedName name="__c" hidden="1">{"Fiesta Facer Page",#N/A,FALSE,"Q_C_S";"Fiesta Main Page",#N/A,FALSE,"V_L";"Fiesta 95BP Struct",#N/A,FALSE,"StructBP";"Fiesta Post 95BP Struct",#N/A,FALSE,"AdjStructBP"}</definedName>
    <definedName name="__caj" hidden="1">#REF!</definedName>
    <definedName name="__dwa1" hidden="1">{#N/A,"PURCHM",FALSE,"Business Analysis";#N/A,"SPADD",FALSE,"Business Analysis"}</definedName>
    <definedName name="__eu93" hidden="1">{"Comp_of_Price_Effect",#N/A,FALSE,"QTRDPVAR"}</definedName>
    <definedName name="__FDS_HYPERLINK_TOGGLE_STATE__" hidden="1">"ON"</definedName>
    <definedName name="__FDS_UNIQUE_RANGE_ID_GENERATOR_COUNTER" hidden="1">25</definedName>
    <definedName name="__FDS_USED_FOR_REUSING_RANGE_IDS_RECYCLE" hidden="1">{152,168,338,189,173,195,158,390,7,11,232,378,159,175,261,183,177,129,8,155,265,394,57}</definedName>
    <definedName name="__FI4" hidden="1">{"Vinyl1999Q1IFOrecon",#N/A,TRUE,"Vinyl";"Vinyl1999Q2IFOrecon",#N/A,TRUE,"Vinyl";"Vinyl1999Q3IFOrecon",#N/A,TRUE,"Vinyl";"Vinyl1999Q4IFOrecon",#N/A,TRUE,"Vinyl";"Vinyl1999TotalIFOrecon",#N/A,TRUE,"Vinyl";#N/A,#N/A,TRUE,"Vinyl"}</definedName>
    <definedName name="__i3" hidden="1">{"vue1",#N/A,FALSE,"synthese";"vue2",#N/A,FALSE,"synthese"}</definedName>
    <definedName name="__IntlFixup" hidden="1">TRUE()</definedName>
    <definedName name="__key1" hidden="1">#REF!</definedName>
    <definedName name="__key2" hidden="1">#REF!</definedName>
    <definedName name="__lot3" hidden="1">{"First Page",#N/A,FALSE,"Surfactants LBO";"Second Page",#N/A,FALSE,"Surfactants LBO"}</definedName>
    <definedName name="__Mar08" hidden="1">{#N/A,#N/A,FALSE,"Aging Summary";#N/A,#N/A,FALSE,"Ratio Analysis";#N/A,#N/A,FALSE,"Test 120 Day Accts";#N/A,#N/A,FALSE,"Tickmarks"}</definedName>
    <definedName name="__mno9" hidden="1">{"detail",#N/A,FALSE,"mfg";"summary",#N/A,FALSE,"mfg"}</definedName>
    <definedName name="__new1" hidden="1">{#N/A,#N/A,FALSE,"Pharm";#N/A,#N/A,FALSE,"WWCM"}</definedName>
    <definedName name="__new2" hidden="1">{"Title",#N/A,FALSE,"Title";"Info",#N/A,FALSE,"Title";"Contents",#N/A,FALSE,"Title";"Sec.1",#N/A,FALSE,"Title";"Output1",#N/A,FALSE,"Output";"Sec.2",#N/A,FALSE,"Title";"Graph1",#N/A,FALSE,"Output";"Graph2",#N/A,FALSE,"Output";"Sec.3",#N/A,FALSE,"Title";"Gap1",#N/A,FALSE,"Output";"Sec.4",#N/A,FALSE,"Title";"Model_all",#N/A,FALSE,"Autostrade S.p.A."}</definedName>
    <definedName name="__new3" hidden="1">{"Title",#N/A,TRUE,"Title";"Content",#N/A,TRUE,"Title";"Section1",#N/A,TRUE,"Title";"Output1",#N/A,TRUE,"Output";"Section2",#N/A,TRUE,"Title";"Graph1",#N/A,TRUE,"Output";"Section3",#N/A,TRUE,"Title";"Graph2",#N/A,TRUE,"Output";"Section4",#N/A,TRUE,"Title";"Gap1",#N/A,TRUE,"Output";"Section5",#N/A,TRUE,"Title";"Model_all",#N/A,TRUE,"Autostrade S.p.A."}</definedName>
    <definedName name="__new4" hidden="1">{#N/A,#N/A,FALSE,"3";#N/A,#N/A,FALSE,"5";#N/A,#N/A,FALSE,"6";#N/A,#N/A,FALSE,"8";#N/A,#N/A,FALSE,"10";#N/A,#N/A,FALSE,"13";#N/A,#N/A,FALSE,"14";#N/A,#N/A,FALSE,"15";#N/A,#N/A,FALSE,"16"}</definedName>
    <definedName name="__new5" hidden="1">{#N/A,#N/A,FALSE,"3";#N/A,#N/A,FALSE,"5";#N/A,#N/A,FALSE,"6";#N/A,#N/A,FALSE,"8";#N/A,#N/A,FALSE,"10";#N/A,#N/A,FALSE,"13";#N/A,#N/A,FALSE,"14";#N/A,#N/A,FALSE,"15";#N/A,#N/A,FALSE,"16"}</definedName>
    <definedName name="__OK2" hidden="1">{#N/A,#N/A,FALSE,"00 P&amp;L vs 99"}</definedName>
    <definedName name="__q3" hidden="1">#REF!</definedName>
    <definedName name="__r" hidden="1">{#N/A,#N/A,FALSE,"Pharm";#N/A,#N/A,FALSE,"WWCM"}</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s34" hidden="1">{"QTD_GENERALH2",#N/A,FALSE,"QTD"}</definedName>
    <definedName name="__sd34" hidden="1">{"QTD",#N/A,FALSE,"SUM"}</definedName>
    <definedName name="__tft2" hidden="1">{#N/A,#N/A,FALSE,"3";#N/A,#N/A,FALSE,"5";#N/A,#N/A,FALSE,"6";#N/A,#N/A,FALSE,"8";#N/A,#N/A,FALSE,"10";#N/A,#N/A,FALSE,"13";#N/A,#N/A,FALSE,"14";#N/A,#N/A,FALSE,"15";#N/A,#N/A,FALSE,"16"}</definedName>
    <definedName name="__tm1" hidden="1">{#N/A,#N/A,FALSE,"Pharm";#N/A,#N/A,FALSE,"WWCM"}</definedName>
    <definedName name="__TT20" hidden="1">{0,0,0,0;0,0,0,0;0,0,0,0;0,0,0,0;0,0,0,0;0,0,0,0;0,0,0,0;0,0,0,0;0,0,0,0;0,0,0,0;0,0,0,0;0,0,0,0;0,#VALUE!,0,0;0,0,0,0;0,0,0,0;0,0,0,0;4.02506300418233E-305,0,0,0;0,0,0,0;3.33761291040418E-308,5.56268889233185E-308,8.90030392771069E-308,1.55755255047865E-307;2.6700903295667E-307,4.45015111635219E-307,0,0}</definedName>
    <definedName name="__wrm3" hidden="1">{"vue1",#N/A,FALSE,"synthese";"vue2",#N/A,FALSE,"synthese"}</definedName>
    <definedName name="__wrn2" hidden="1">{"vue1",#N/A,FALSE,"synthese";"vue2",#N/A,FALSE,"synthese"}</definedName>
    <definedName name="__wrn3" hidden="1">{"vue1",#N/A,FALSE,"synthese";"vue2",#N/A,FALSE,"synthese"}</definedName>
    <definedName name="__x1" hidden="1">{"detail",#N/A,FALSE,"mfg";"summary",#N/A,FALSE,"mfg"}</definedName>
    <definedName name="__X2" hidden="1">{#N/A,#N/A,FALSE,"Other";#N/A,#N/A,FALSE,"Ace";#N/A,#N/A,FALSE,"Derm"}</definedName>
    <definedName name="__x3" hidden="1">{"detail",#N/A,FALSE,"mfg";"summary",#N/A,FALSE,"mfg"}</definedName>
    <definedName name="__x4" hidden="1">{#N/A,"PURCHM",FALSE,"Business Analysis";#N/A,"SPADD",FALSE,"Business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fn.BAHTTEXT" hidden="1">#NAME?</definedName>
    <definedName name="__xx10" hidden="1">{#N/A,"PURCHM",FALSE,"Business Analysis";#N/A,"SPADD",FALSE,"Business Analysis"}</definedName>
    <definedName name="__xx3" hidden="1">{"detail",#N/A,FALSE,"mfg";"summary",#N/A,FALSE,"mfg"}</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hidden="1">{"oct_res_comm",#N/A,FALSE,"VarToBud"}</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hidden="1">{"AS REP",#N/A,FALSE,"EEFSNAP2";"PROP",#N/A,FALSE,"EEFSNAP2";"RISKS",#N/A,FALSE,"EEFSNAP2";"VIEW ALL",#N/A,FALSE,"EEFSNAP2"}</definedName>
    <definedName name="__z12" hidden="1">{"pro_view",#N/A,FALSE,"EEFSNAP2";"rep_view",#N/A,FALSE,"EEFSNAP2"}</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hidden="1">{"detail",#N/A,FALSE,"mfg";"summary",#N/A,FALSE,"mfg"}</definedName>
    <definedName name="__zz08" hidden="1">#REF!</definedName>
    <definedName name="__zz09" hidden="1">#REF!</definedName>
    <definedName name="__zz1" hidden="1">{"pro_view",#N/A,FALSE,"EEFSNAP2";"rep_view",#N/A,FALSE,"EEFSNAP2"}</definedName>
    <definedName name="__zz10" hidden="1">#REF!</definedName>
    <definedName name="__zz2" hidden="1">{#N/A,"PURADD",FALSE,"Business Analysis";#N/A,"PURSPP",FALSE,"Business Analysis";#N/A,"CTGIND",FALSE,"Business Analysis";#N/A,"PURCHM",FALSE,"Business Analysis";#N/A,"SPADD",FALSE,"Business Analysis";#N/A,"EPOXY",FALSE,"Business Analysis";#N/A,"PURPER",FALSE,"Business Analysis"}</definedName>
    <definedName name="_1__123Graph_ACHART_1" hidden="1">#REF!</definedName>
    <definedName name="_1__123Graph_CCHART_1" hidden="1">#REF!</definedName>
    <definedName name="_1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4"}</definedName>
    <definedName name="_1__FDSAUDITLINK___1" hidden="1">{"fdsup://directions/FAT Viewer?action=UPDATE&amp;creator=factset&amp;DYN_ARGS=TRUE&amp;DOC_NAME=FAT:FQL_AUDITING_CLIENT_TEMPLATE.FAT&amp;display_string=Audit&amp;VAR:KEY=UTWLAFCXKX&amp;VAR:QUERY=UkdGX0VOVFJQUl9WQUwoQU5OLDQwNTYyLCwsLCwsTk9BVURJVCk=&amp;WINDOW=FIRST_POPUP&amp;HEIGHT=450&amp;WI","DTH=450&amp;START_MAXIMIZED=FALSE&amp;VAR:CALENDAR=US&amp;VAR:SYMBOL=SYK&amp;VAR:INDEX=0"}</definedName>
    <definedName name="_1__FDSAUDITLINK___2" hidden="1">{"fdsup://directions/FAT Viewer?action=UPDATE&amp;creator=factset&amp;DYN_ARGS=TRUE&amp;DOC_NAME=FAT:FQL_AUDITING_CLIENT_TEMPLATE.FAT&amp;display_string=Audit&amp;VAR:KEY=UTWLAFCXKX&amp;VAR:QUERY=UkdGX0VOVFJQUl9WQUwoQU5OLDQwNTYyLCwsLCwsTk9BVURJVCk=&amp;WINDOW=FIRST_POPUP&amp;HEIGHT=450&amp;WI","DTH=450&amp;START_MAXIMIZED=FALSE&amp;VAR:CALENDAR=US&amp;VAR:SYMBOL=SYK&amp;VAR:INDEX=0"}</definedName>
    <definedName name="_1_0_0_K" hidden="1">#REF!</definedName>
    <definedName name="_10__123Graph_ACHART_28" hidden="1">#REF!</definedName>
    <definedName name="_10__123Graph_BCHART_12" hidden="1">#REF!</definedName>
    <definedName name="_10__123Graph_LBL_ACHART_3" hidden="1">#REF!</definedName>
    <definedName name="_10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9"}</definedName>
    <definedName name="_10__FDSAUDITLINK___1" hidden="1">{"fdsup://directions/FAT Viewer?action=UPDATE&amp;creator=factset&amp;DYN_ARGS=TRUE&amp;DOC_NAME=FAT:FQL_AUDITING_CLIENT_TEMPLATE.FAT&amp;display_string=Audit&amp;VAR:KEY=CTSPMZOHEL&amp;VAR:QUERY=UkdGX0VOVFJQUl9WQUwoQU5OLDQwNTYyLCwsLCwsTk9BVURJVCk=&amp;WINDOW=FIRST_POPUP&amp;HEIGHT=450&amp;WI","DTH=450&amp;START_MAXIMIZED=FALSE&amp;VAR:CALENDAR=US&amp;VAR:SYMBOL=ENDP&amp;VAR:INDEX=0"}</definedName>
    <definedName name="_10__FDSAUDITLINK___2" hidden="1">{"fdsup://directions/FAT Viewer?action=UPDATE&amp;creator=factset&amp;DYN_ARGS=TRUE&amp;DOC_NAME=FAT:FQL_AUDITING_CLIENT_TEMPLATE.FAT&amp;display_string=Audit&amp;VAR:KEY=CTSPMZOHEL&amp;VAR:QUERY=UkdGX0VOVFJQUl9WQUwoQU5OLDQwNTYyLCwsLCwsTk9BVURJVCk=&amp;WINDOW=FIRST_POPUP&amp;HEIGHT=450&amp;WI","DTH=450&amp;START_MAXIMIZED=FALSE&amp;VAR:CALENDAR=US&amp;VAR:SYMBOL=ENDP&amp;VAR:INDEX=0"}</definedName>
    <definedName name="_100__FDSAUDITLINK__" hidden="1">{"fdsup://IBCentral/FAT Viewer?action=UPDATE&amp;creator=factset&amp;DOC_NAME=fat:reuters_annual_source_window.fat&amp;display_string=Audit&amp;DYN_ARGS=TRUE&amp;VAR:ID1=30231G10&amp;VAR:RCODE=EIBT&amp;VAR:SDATE=20041299&amp;VAR:FREQ=Y&amp;VAR:RELITEM=RP&amp;VAR:CURRENCY=&amp;VAR:CURRSOURCE=EXSHARE&amp;V","AR:NATFREQ=ANNUAL&amp;VAR:RFIELD=FINALIZED&amp;VAR:DB_TYPE=&amp;VAR:UNITS=M&amp;window=popup&amp;width=450&amp;height=300&amp;START_MAXIMIZED=FALSE"}</definedName>
    <definedName name="_1000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1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2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4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5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6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7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8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9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1__FDSAUDITLINK__" hidden="1">{"fdsup://IBCentral/FAT Viewer?action=UPDATE&amp;creator=factset&amp;DOC_NAME=fat:reuters_annual_source_window.fat&amp;display_string=Audit&amp;DYN_ARGS=TRUE&amp;VAR:ID1=30231G10&amp;VAR:RCODE=EIBT&amp;VAR:SDATE=20031299&amp;VAR:FREQ=Y&amp;VAR:RELITEM=RP&amp;VAR:CURRENCY=&amp;VAR:CURRSOURCE=EXSHARE&amp;V","AR:NATFREQ=ANNUAL&amp;VAR:RFIELD=FINALIZED&amp;VAR:DB_TYPE=&amp;VAR:UNITS=M&amp;window=popup&amp;width=450&amp;height=300&amp;START_MAXIMIZED=FALSE"}</definedName>
    <definedName name="_1010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1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2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3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4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5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6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7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8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9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2__FDSAUDITLINK__" hidden="1">{"fdsup://IBCentral/FAT Viewer?action=UPDATE&amp;creator=factset&amp;DOC_NAME=fat:reuters_annual_source_window.fat&amp;display_string=Audit&amp;DYN_ARGS=TRUE&amp;VAR:ID1=30231G10&amp;VAR:RCODE=FDSINTEXPTOTAL&amp;VAR:SDATE=20071299&amp;VAR:FREQ=Y&amp;VAR:RELITEM=RP&amp;VAR:CURRENCY=&amp;VAR:CURRSOURCE","=EXSHARE&amp;VAR:NATFREQ=ANNUAL&amp;VAR:RFIELD=FINALIZED&amp;VAR:DB_TYPE=&amp;VAR:UNITS=M&amp;window=popup&amp;width=450&amp;height=300&amp;START_MAXIMIZED=FALSE"}</definedName>
    <definedName name="_1020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1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2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3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4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5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6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7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8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9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3__FDSAUDITLINK__" hidden="1">{"fdsup://IBCentral/FAT Viewer?action=UPDATE&amp;creator=factset&amp;DOC_NAME=fat:reuters_annual_source_window.fat&amp;display_string=Audit&amp;DYN_ARGS=TRUE&amp;VAR:ID1=30231G10&amp;VAR:RCODE=FDSINTEXPTOTAL&amp;VAR:SDATE=20061299&amp;VAR:FREQ=Y&amp;VAR:RELITEM=RP&amp;VAR:CURRENCY=&amp;VAR:CURRSOURCE","=EXSHARE&amp;VAR:NATFREQ=ANNUAL&amp;VAR:RFIELD=FINALIZED&amp;VAR:DB_TYPE=&amp;VAR:UNITS=M&amp;window=popup&amp;width=450&amp;height=300&amp;START_MAXIMIZED=FALSE"}</definedName>
    <definedName name="_1030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1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2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3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4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5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6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7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8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9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4__FDSAUDITLINK__" hidden="1">{"fdsup://IBCentral/FAT Viewer?action=UPDATE&amp;creator=factset&amp;DOC_NAME=fat:reuters_annual_source_window.fat&amp;display_string=Audit&amp;DYN_ARGS=TRUE&amp;VAR:ID1=30231G10&amp;VAR:RCODE=FDSINTEXPTOTAL&amp;VAR:SDATE=20051299&amp;VAR:FREQ=Y&amp;VAR:RELITEM=RP&amp;VAR:CURRENCY=&amp;VAR:CURRSOURCE","=EXSHARE&amp;VAR:NATFREQ=ANNUAL&amp;VAR:RFIELD=FINALIZED&amp;VAR:DB_TYPE=&amp;VAR:UNITS=M&amp;window=popup&amp;width=450&amp;height=300&amp;START_MAXIMIZED=FALSE"}</definedName>
    <definedName name="_1040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1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2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3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4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5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6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7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8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9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30231G10&amp;VAR:RCODE=FDSINTEXPTOTAL&amp;VAR:SDATE=20041299&amp;VAR:FREQ=Y&amp;VAR:RELITEM=RP&amp;VAR:CURRENCY=&amp;VAR:CURRSOURCE","=EXSHARE&amp;VAR:NATFREQ=ANNUAL&amp;VAR:RFIELD=FINALIZED&amp;VAR:DB_TYPE=&amp;VAR:UNITS=M&amp;window=popup&amp;width=450&amp;height=300&amp;START_MAXIMIZED=FALSE"}</definedName>
    <definedName name="_1050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1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2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3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4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5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6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8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9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6__FDSAUDITLINK__" hidden="1">{"fdsup://IBCentral/FAT Viewer?action=UPDATE&amp;creator=factset&amp;DOC_NAME=fat:reuters_annual_source_window.fat&amp;display_string=Audit&amp;DYN_ARGS=TRUE&amp;VAR:ID1=30231G10&amp;VAR:RCODE=FDSINTEXPTOTAL&amp;VAR:SDATE=20031299&amp;VAR:FREQ=Y&amp;VAR:RELITEM=RP&amp;VAR:CURRENCY=&amp;VAR:CURRSOURCE","=EXSHARE&amp;VAR:NATFREQ=ANNUAL&amp;VAR:RFIELD=FINALIZED&amp;VAR:DB_TYPE=&amp;VAR:UNITS=M&amp;window=popup&amp;width=450&amp;height=300&amp;START_MAXIMIZED=FALSE"}</definedName>
    <definedName name="_1060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1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2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3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4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5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6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7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8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9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7__FDSAUDITLINK__" hidden="1">{"fdsup://IBCentral/FAT Viewer?action=UPDATE&amp;creator=factset&amp;DOC_NAME=fat:reuters_annual_source_window.fat&amp;display_string=Audit&amp;DYN_ARGS=TRUE&amp;VAR:ID1=30231G10&amp;VAR:RCODE=EBIT&amp;VAR:SDATE=20071299&amp;VAR:FREQ=Y&amp;VAR:RELITEM=RP&amp;VAR:CURRENCY=&amp;VAR:CURRSOURCE=EXSHARE&amp;V","AR:NATFREQ=ANNUAL&amp;VAR:RFIELD=FINALIZED&amp;VAR:DB_TYPE=&amp;VAR:UNITS=M&amp;window=popup&amp;width=450&amp;height=300&amp;START_MAXIMIZED=FALSE"}</definedName>
    <definedName name="_1070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1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2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3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4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5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6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7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8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9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8__FDSAUDITLINK__" hidden="1">{"fdsup://IBCentral/FAT Viewer?action=UPDATE&amp;creator=factset&amp;DOC_NAME=fat:reuters_annual_source_window.fat&amp;display_string=Audit&amp;DYN_ARGS=TRUE&amp;VAR:ID1=30231G10&amp;VAR:RCODE=EBIT&amp;VAR:SDATE=20061299&amp;VAR:FREQ=Y&amp;VAR:RELITEM=RP&amp;VAR:CURRENCY=&amp;VAR:CURRSOURCE=EXSHARE&amp;V","AR:NATFREQ=ANNUAL&amp;VAR:RFIELD=FINALIZED&amp;VAR:DB_TYPE=&amp;VAR:UNITS=M&amp;window=popup&amp;width=450&amp;height=300&amp;START_MAXIMIZED=FALSE"}</definedName>
    <definedName name="_1080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1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2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3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4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5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6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7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8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9__FDSAUDITLINK__" hidden="1">{"fdsup://IBCentral/FAT Viewer?action=UPDATE&amp;creator=factset&amp;DOC_NAME=fat:reuters_annual_source_window.fat&amp;display_string=Audit&amp;DYN_ARGS=TRUE&amp;VAR:ID1=30231G10&amp;VAR:RCODE=EBIT&amp;VAR:SDATE=20051299&amp;VAR:FREQ=Y&amp;VAR:RELITEM=RP&amp;VAR:CURRENCY=&amp;VAR:CURRSOURCE=EXSHARE&amp;V","AR:NATFREQ=ANNUAL&amp;VAR:RFIELD=FINALIZED&amp;VAR:DB_TYPE=&amp;VAR:UNITS=M&amp;window=popup&amp;width=450&amp;height=300&amp;START_MAXIMIZED=FALSE"}</definedName>
    <definedName name="_1090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1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1__123Graph_BCHART_13" hidden="1">#REF!</definedName>
    <definedName name="_11__123Graph_LBL_DCHART_1" hidden="1">#REF!</definedName>
    <definedName name="_11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10"}</definedName>
    <definedName name="_11__FDSAUDITLINK___1" hidden="1">{"fdsup://IBCentral/FAT Viewer?action=UPDATE&amp;creator=factset&amp;DOC_NAME=fat:reuters_qtrly_source_window.fat&amp;display_string=Audit&amp;DYN_ARGS=TRUE&amp;VAR:ID1=46120310&amp;VAR:RCODE=ZCPS&amp;VAR:SDATE=20100999&amp;VAR:FREQ=Quarterly&amp;VAR:RELITEM=RP&amp;VAR:CURRENCY=&amp;VAR:CURRSOURCE=EX","SHARE&amp;VAR:NATFREQ=QUARTERLY&amp;VAR:RFIELD=FINALIZED&amp;VAR:DB_TYPE=&amp;VAR:UNITS=M&amp;window=popup&amp;width=450&amp;height=300&amp;START_MAXIMIZED=FALSE"}</definedName>
    <definedName name="_11__FDSAUDITLINK___2" hidden="1">{"fdsup://IBCentral/FAT Viewer?action=UPDATE&amp;creator=factset&amp;DOC_NAME=fat:reuters_qtrly_source_window.fat&amp;display_string=Audit&amp;DYN_ARGS=TRUE&amp;VAR:ID1=46120310&amp;VAR:RCODE=ZCPS&amp;VAR:SDATE=20100999&amp;VAR:FREQ=Quarterly&amp;VAR:RELITEM=RP&amp;VAR:CURRENCY=&amp;VAR:CURRSOURCE=EX","SHARE&amp;VAR:NATFREQ=QUARTERLY&amp;VAR:RFIELD=FINALIZED&amp;VAR:DB_TYPE=&amp;VAR:UNITS=M&amp;window=popup&amp;width=450&amp;height=300&amp;START_MAXIMIZED=FALSE"}</definedName>
    <definedName name="_110__FDSAUDITLINK__" hidden="1">{"fdsup://IBCentral/FAT Viewer?action=UPDATE&amp;creator=factset&amp;DOC_NAME=fat:reuters_annual_source_window.fat&amp;display_string=Audit&amp;DYN_ARGS=TRUE&amp;VAR:ID1=30231G10&amp;VAR:RCODE=EBIT&amp;VAR:SDATE=20041299&amp;VAR:FREQ=Y&amp;VAR:RELITEM=RP&amp;VAR:CURRENCY=&amp;VAR:CURRSOURCE=EXSHARE&amp;V","AR:NATFREQ=ANNUAL&amp;VAR:RFIELD=FINALIZED&amp;VAR:DB_TYPE=&amp;VAR:UNITS=M&amp;window=popup&amp;width=450&amp;height=300&amp;START_MAXIMIZED=FALSE"}</definedName>
    <definedName name="_1100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1__FDSAUDITLINK__" hidden="1">{"fdsup://IBCentral/FAT Viewer?action=UPDATE&amp;creator=factset&amp;DOC_NAME=fat:reuters_annual_source_window.fat&amp;display_string=Audit&amp;DYN_ARGS=TRUE&amp;VAR:ID1=30231G10&amp;VAR:RCODE=EBIT&amp;VAR:SDATE=20031299&amp;VAR:FREQ=Y&amp;VAR:RELITEM=RP&amp;VAR:CURRENCY=&amp;VAR:CURRSOURCE=EXSHARE&amp;V","AR:NATFREQ=ANNUAL&amp;VAR:RFIELD=FINALIZED&amp;VAR:DB_TYPE=&amp;VAR:UNITS=M&amp;window=popup&amp;width=450&amp;height=300&amp;START_MAXIMIZED=FALSE"}</definedName>
    <definedName name="_1110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__FDSAUDITLINK__" hidden="1">{"fdsup://IBCentral/FAT Viewer?action=UPDATE&amp;creator=factset&amp;DOC_NAME=fat:reuters_annual_source_window.fat&amp;display_string=Audit&amp;DYN_ARGS=TRUE&amp;VAR:ID1=30231G10&amp;VAR:RCODE=EBITDA&amp;VAR:SDATE=20071299&amp;VAR:FREQ=Y&amp;VAR:RELITEM=RP&amp;VAR:CURRENCY=&amp;VAR:CURRSOURCE=EXSHARE","&amp;VAR:NATFREQ=ANNUAL&amp;VAR:RFIELD=FINALIZED&amp;VAR:DB_TYPE=&amp;VAR:UNITS=M&amp;window=popup&amp;width=450&amp;height=300&amp;START_MAXIMIZED=FALSE"}</definedName>
    <definedName name="_1120__FDSAUDITLINK__"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3__FDSAUDITLINK__"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4__FDSAUDITLINK__"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6__FDSAUDITLINK__"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3__FDSAUDITLINK__" hidden="1">{"fdsup://IBCentral/FAT Viewer?action=UPDATE&amp;creator=factset&amp;DOC_NAME=fat:reuters_annual_source_window.fat&amp;display_string=Audit&amp;DYN_ARGS=TRUE&amp;VAR:ID1=30231G10&amp;VAR:RCODE=EBITDA&amp;VAR:SDATE=20061299&amp;VAR:FREQ=Y&amp;VAR:RELITEM=RP&amp;VAR:CURRENCY=&amp;VAR:CURRSOURCE=EXSHARE","&amp;VAR:NATFREQ=ANNUAL&amp;VAR:RFIELD=FINALIZED&amp;VAR:DB_TYPE=&amp;VAR:UNITS=M&amp;window=popup&amp;width=450&amp;height=300&amp;START_MAXIMIZED=FALSE"}</definedName>
    <definedName name="_1130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4__FDSAUDITLINK__" hidden="1">{"fdsup://IBCentral/FAT Viewer?action=UPDATE&amp;creator=factset&amp;DOC_NAME=fat:reuters_annual_source_window.fat&amp;display_string=Audit&amp;DYN_ARGS=TRUE&amp;VAR:ID1=30231G10&amp;VAR:RCODE=EBITDA&amp;VAR:SDATE=20051299&amp;VAR:FREQ=Y&amp;VAR:RELITEM=RP&amp;VAR:CURRENCY=&amp;VAR:CURRSOURCE=EXSHARE","&amp;VAR:NATFREQ=ANNUAL&amp;VAR:RFIELD=FINALIZED&amp;VAR:DB_TYPE=&amp;VAR:UNITS=M&amp;window=popup&amp;width=450&amp;height=300&amp;START_MAXIMIZED=FALSE"}</definedName>
    <definedName name="_1140__FDSAUDITLINK__"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5__FDSAUDITLINK__" hidden="1">{"fdsup://IBCentral/FAT Viewer?action=UPDATE&amp;creator=factset&amp;DOC_NAME=fat:reuters_annual_source_window.fat&amp;display_string=Audit&amp;DYN_ARGS=TRUE&amp;VAR:ID1=30231G10&amp;VAR:RCODE=EBITDA&amp;VAR:SDATE=20041299&amp;VAR:FREQ=Y&amp;VAR:RELITEM=RP&amp;VAR:CURRENCY=&amp;VAR:CURRSOURCE=EXSHARE","&amp;VAR:NATFREQ=ANNUAL&amp;VAR:RFIELD=FINALIZED&amp;VAR:DB_TYPE=&amp;VAR:UNITS=M&amp;window=popup&amp;width=450&amp;height=300&amp;START_MAXIMIZED=FALSE"}</definedName>
    <definedName name="_1150__FDSAUDITLINK__" hidden="1">{"fdsup://Directions/FactSet Auditing Viewer?action=AUDIT_VALUE&amp;DB=129&amp;ID1=94184810&amp;VALUEID=01250&amp;SDATE=2008&amp;PERIODTYPE=ANN_STD&amp;SCFT=3&amp;window=popup_no_bar&amp;width=385&amp;height=120&amp;START_MAXIMIZED=FALSE&amp;creator=factset&amp;display_string=Audit"}</definedName>
    <definedName name="_1151__FDSAUDITLINK__" hidden="1">{"fdsup://Directions/FactSet Auditing Viewer?action=AUDIT_VALUE&amp;DB=129&amp;ID1=94184810&amp;VALUEID=01250&amp;SDATE=2009&amp;PERIODTYPE=ANN_STD&amp;SCFT=3&amp;window=popup_no_bar&amp;width=385&amp;height=120&amp;START_MAXIMIZED=FALSE&amp;creator=factset&amp;display_string=Audit"}</definedName>
    <definedName name="_1152__FDSAUDITLINK__" hidden="1">{"fdsup://Directions/FactSet Auditing Viewer?action=AUDIT_VALUE&amp;DB=129&amp;ID1=028704&amp;VALUEID=01001&amp;SDATE=2009&amp;PERIODTYPE=ANN_STD&amp;SCFT=3&amp;window=popup_no_bar&amp;width=385&amp;height=120&amp;START_MAXIMIZED=FALSE&amp;creator=factset&amp;display_string=Audit"}</definedName>
    <definedName name="_1158__FDSAUDITLINK__" hidden="1">{"fdsup://Directions/FactSet Auditing Viewer?action=AUDIT_VALUE&amp;DB=129&amp;ID1=94184810&amp;VALUEID=01151&amp;SDATE=2008&amp;PERIODTYPE=ANN_STD&amp;SCFT=3&amp;window=popup_no_bar&amp;width=385&amp;height=120&amp;START_MAXIMIZED=FALSE&amp;creator=factset&amp;display_string=Audit"}</definedName>
    <definedName name="_1159__FDSAUDITLINK__" hidden="1">{"fdsup://directions/FAT Viewer?action=UPDATE&amp;creator=factset&amp;DYN_ARGS=TRUE&amp;DOC_NAME=FAT:FQL_AUDITING_CLIENT_TEMPLATE.FAT&amp;display_string=Audit&amp;VAR:KEY=MTQRABIZOX&amp;VAR:QUERY=RkZfRUJJVF9PUEVSKExUTVMsMCwsLCxJQ19DVVJSRU5DWV9JU08oKSk=&amp;WINDOW=FIRST_POPUP&amp;HEIGHT=45","0&amp;WIDTH=450&amp;START_MAXIMIZED=FALSE&amp;VAR:CALENDAR=US&amp;VAR:SYMBOL=94184810&amp;VAR:INDEX=0"}</definedName>
    <definedName name="_116__FDSAUDITLINK__" hidden="1">{"fdsup://IBCentral/FAT Viewer?action=UPDATE&amp;creator=factset&amp;DOC_NAME=fat:reuters_annual_source_window.fat&amp;display_string=Audit&amp;DYN_ARGS=TRUE&amp;VAR:ID1=30231G10&amp;VAR:RCODE=EBITDA&amp;VAR:SDATE=20031299&amp;VAR:FREQ=Y&amp;VAR:RELITEM=RP&amp;VAR:CURRENCY=&amp;VAR:CURRSOURCE=EXSHARE","&amp;VAR:NATFREQ=ANNUAL&amp;VAR:RFIELD=FINALIZED&amp;VAR:DB_TYPE=&amp;VAR:UNITS=M&amp;window=popup&amp;width=450&amp;height=300&amp;START_MAXIMIZED=FALSE"}</definedName>
    <definedName name="_1164__FDSAUDITLINK__" hidden="1">{"fdsup://directions/FAT Viewer?action=UPDATE&amp;creator=factset&amp;DYN_ARGS=TRUE&amp;DOC_NAME=FAT:FQL_AUDITING_CLIENT_TEMPLATE.FAT&amp;display_string=Audit&amp;VAR:KEY=GNYFCVUVGD&amp;VAR:QUERY=RkZfRVBTX0RJTChBTk4sNDA1NDIsLCwsSUNfQ1VSUkVOQ1lfSVNPKCkp&amp;WINDOW=FIRST_POPUP&amp;HEIGHT=45","0&amp;WIDTH=450&amp;START_MAXIMIZED=FALSE&amp;VAR:CALENDAR=US&amp;VAR:SYMBOL=94184810&amp;VAR:INDEX=0"}</definedName>
    <definedName name="_117__FDSAUDITLINK__" hidden="1">{"fdsup://IBCentral/FAT Viewer?action=UPDATE&amp;creator=factset&amp;DOC_NAME=fat:reuters_annual_source_window.fat&amp;display_string=Audit&amp;DYN_ARGS=TRUE&amp;VAR:ID1=30231G10&amp;VAR:RCODE=SGAFDS&amp;VAR:SDATE=20071299&amp;VAR:FREQ=Y&amp;VAR:RELITEM=RP&amp;VAR:CURRENCY=&amp;VAR:CURRSOURCE=EXSHARE","&amp;VAR:NATFREQ=ANNUAL&amp;VAR:RFIELD=FINALIZED&amp;VAR:DB_TYPE=&amp;VAR:UNITS=M&amp;window=popup&amp;width=450&amp;height=300&amp;START_MAXIMIZED=FALSE"}</definedName>
    <definedName name="_118__FDSAUDITLINK__" hidden="1">{"fdsup://IBCentral/FAT Viewer?action=UPDATE&amp;creator=factset&amp;DOC_NAME=fat:reuters_annual_source_window.fat&amp;display_string=Audit&amp;DYN_ARGS=TRUE&amp;VAR:ID1=30231G10&amp;VAR:RCODE=SGAFDS&amp;VAR:SDATE=20061299&amp;VAR:FREQ=Y&amp;VAR:RELITEM=RP&amp;VAR:CURRENCY=&amp;VAR:CURRSOURCE=EXSHARE","&amp;VAR:NATFREQ=ANNUAL&amp;VAR:RFIELD=FINALIZED&amp;VAR:DB_TYPE=&amp;VAR:UNITS=M&amp;window=popup&amp;width=450&amp;height=300&amp;START_MAXIMIZED=FALSE"}</definedName>
    <definedName name="_1187__FDSAUDITLINK__" hidden="1">{"fdsup://Directions/FactSet Auditing Viewer?action=AUDIT_VALUE&amp;DB=129&amp;ID1=23585110&amp;VALUEID=04831&amp;SDATE=2009&amp;PERIODTYPE=ANN_STD&amp;SCFT=3&amp;window=popup_no_bar&amp;width=385&amp;height=120&amp;START_MAXIMIZED=FALSE&amp;creator=factset&amp;display_string=Audit"}</definedName>
    <definedName name="_119__FDSAUDITLINK__" hidden="1">{"fdsup://IBCentral/FAT Viewer?action=UPDATE&amp;creator=factset&amp;DOC_NAME=fat:reuters_annual_source_window.fat&amp;display_string=Audit&amp;DYN_ARGS=TRUE&amp;VAR:ID1=30231G10&amp;VAR:RCODE=SGAFDS&amp;VAR:SDATE=20051299&amp;VAR:FREQ=Y&amp;VAR:RELITEM=RP&amp;VAR:CURRENCY=&amp;VAR:CURRSOURCE=EXSHARE","&amp;VAR:NATFREQ=ANNUAL&amp;VAR:RFIELD=FINALIZED&amp;VAR:DB_TYPE=&amp;VAR:UNITS=M&amp;window=popup&amp;width=450&amp;height=300&amp;START_MAXIMIZED=FALSE"}</definedName>
    <definedName name="_12__123Graph_ACHART_3" hidden="1">#REF!</definedName>
    <definedName name="_12__123Graph_BCHART_14" hidden="1">#REF!</definedName>
    <definedName name="_12__123Graph_LBL_ACHART_2" hidden="1">#REF!</definedName>
    <definedName name="_12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2"}</definedName>
    <definedName name="_12__FDSAUDITLINK___1" hidden="1">{"fdsup://IBCentral/FAT Viewer?action=UPDATE&amp;creator=factset&amp;DOC_NAME=fat:reuters_qtrly_source_window.fat&amp;display_string=Audit&amp;DYN_ARGS=TRUE&amp;VAR:ID1=46120310&amp;VAR:RCODE=LMIN&amp;VAR:SDATE=20100999&amp;VAR:FREQ=Quarterly&amp;VAR:RELITEM=RP&amp;VAR:CURRENCY=&amp;VAR:CURRSOURCE=EX","SHARE&amp;VAR:NATFREQ=QUARTERLY&amp;VAR:RFIELD=FINALIZED&amp;VAR:DB_TYPE=&amp;VAR:UNITS=M&amp;window=popup&amp;width=450&amp;height=300&amp;START_MAXIMIZED=FALSE"}</definedName>
    <definedName name="_12__FDSAUDITLINK___2" hidden="1">{"fdsup://IBCentral/FAT Viewer?action=UPDATE&amp;creator=factset&amp;DOC_NAME=fat:reuters_qtrly_source_window.fat&amp;display_string=Audit&amp;DYN_ARGS=TRUE&amp;VAR:ID1=46120310&amp;VAR:RCODE=LMIN&amp;VAR:SDATE=20100999&amp;VAR:FREQ=Quarterly&amp;VAR:RELITEM=RP&amp;VAR:CURRENCY=&amp;VAR:CURRSOURCE=EX","SHARE&amp;VAR:NATFREQ=QUARTERLY&amp;VAR:RFIELD=FINALIZED&amp;VAR:DB_TYPE=&amp;VAR:UNITS=M&amp;window=popup&amp;width=450&amp;height=300&amp;START_MAXIMIZED=FALSE"}</definedName>
    <definedName name="_120__FDSAUDITLINK__" hidden="1">{"fdsup://IBCentral/FAT Viewer?action=UPDATE&amp;creator=factset&amp;DOC_NAME=fat:reuters_annual_source_window.fat&amp;display_string=Audit&amp;DYN_ARGS=TRUE&amp;VAR:ID1=30231G10&amp;VAR:RCODE=SGAFDS&amp;VAR:SDATE=20041299&amp;VAR:FREQ=Y&amp;VAR:RELITEM=RP&amp;VAR:CURRENCY=&amp;VAR:CURRSOURCE=EXSHARE","&amp;VAR:NATFREQ=ANNUAL&amp;VAR:RFIELD=FINALIZED&amp;VAR:DB_TYPE=&amp;VAR:UNITS=M&amp;window=popup&amp;width=450&amp;height=300&amp;START_MAXIMIZED=FALSE"}</definedName>
    <definedName name="_121__FDSAUDITLINK__" hidden="1">{"fdsup://IBCentral/FAT Viewer?action=UPDATE&amp;creator=factset&amp;DOC_NAME=fat:reuters_annual_source_window.fat&amp;display_string=Audit&amp;DYN_ARGS=TRUE&amp;VAR:ID1=30231G10&amp;VAR:RCODE=SGAFDS&amp;VAR:SDATE=20031299&amp;VAR:FREQ=Y&amp;VAR:RELITEM=RP&amp;VAR:CURRENCY=&amp;VAR:CURRSOURCE=EXSHARE","&amp;VAR:NATFREQ=ANNUAL&amp;VAR:RFIELD=FINALIZED&amp;VAR:DB_TYPE=&amp;VAR:UNITS=M&amp;window=popup&amp;width=450&amp;height=300&amp;START_MAXIMIZED=FALSE"}</definedName>
    <definedName name="_1215__FDSAUDITLINK__" hidden="1">{"fdsup://directions/FAT Viewer?action=UPDATE&amp;creator=factset&amp;DYN_ARGS=TRUE&amp;DOC_NAME=FAT:FQL_AUDITING_CLIENT_TEMPLATE.FAT&amp;display_string=Audit&amp;VAR:KEY=KZATODAPYB&amp;VAR:QUERY=KCgoRkZfREVCVF9MVChRVFIsNDExNzIsLCwsRkZfQ1VSTl9ET0MoKSlARkZfREVCVF9MVChTRU1JLDQxMTcyL","CwsLEZGX0NVUk5fRE9DKCkpKUBGRl9ERUJUX0xUKFFUUiw0MTE3MiAtIDEsLCwsRkZfQ1VSTl9ET0MoKSkpQEZGX0RFQlRfTFQoU0VNSSw0MTE3MiAtIDEsLCwsRkZfQ1VSTl9ET0MoKSkp&amp;WINDOW=FIRST_POPUP&amp;HEIGHT=450&amp;WIDTH=450&amp;START_MAXIMIZED=FALSE&amp;VAR:CALENDAR=US&amp;VAR:SYMBOL=023208&amp;VAR:INDEX=0"}</definedName>
    <definedName name="_122__FDSAUDITLINK__" hidden="1">{"fdsup://IBCentral/FAT Viewer?action=UPDATE&amp;creator=factset&amp;DOC_NAME=fat:reuters_annual_source_window.fat&amp;display_string=Audit&amp;DYN_ARGS=TRUE&amp;VAR:ID1=30231G10&amp;VAR:RCODE=COGSFDS&amp;VAR:SDATE=20071299&amp;VAR:FREQ=Y&amp;VAR:RELITEM=RP&amp;VAR:CURRENCY=&amp;VAR:CURRSOURCE=EXSHAR","E&amp;VAR:NATFREQ=ANNUAL&amp;VAR:RFIELD=FINALIZED&amp;VAR:DB_TYPE=&amp;VAR:UNITS=M&amp;window=popup&amp;width=450&amp;height=300&amp;START_MAXIMIZED=FALSE"}</definedName>
    <definedName name="_123__FDSAUDITLINK__" hidden="1">{"fdsup://IBCentral/FAT Viewer?action=UPDATE&amp;creator=factset&amp;DOC_NAME=fat:reuters_annual_source_window.fat&amp;display_string=Audit&amp;DYN_ARGS=TRUE&amp;VAR:ID1=30231G10&amp;VAR:RCODE=COGSFDS&amp;VAR:SDATE=20061299&amp;VAR:FREQ=Y&amp;VAR:RELITEM=RP&amp;VAR:CURRENCY=&amp;VAR:CURRSOURCE=EXSHAR","E&amp;VAR:NATFREQ=ANNUAL&amp;VAR:RFIELD=FINALIZED&amp;VAR:DB_TYPE=&amp;VAR:UNITS=M&amp;window=popup&amp;width=450&amp;height=300&amp;START_MAXIMIZED=FALSE"}</definedName>
    <definedName name="_1237__FDSAUDITLINK__" hidden="1">{"fdsup://directions/FAT Viewer?action=UPDATE&amp;creator=factset&amp;DYN_ARGS=TRUE&amp;DOC_NAME=FAT:FQL_AUDITING_CLIENT_TEMPLATE.FAT&amp;display_string=Audit&amp;VAR:KEY=JONEZIBOTM&amp;VAR:QUERY=RkZfQ0FQRVgoQU5OLDQwMTQ3LCwsLElDX0NVUlJFTkNZX0lTTygpLE0p&amp;WINDOW=FIRST_POPUP&amp;HEIGHT=45","0&amp;WIDTH=450&amp;START_MAXIMIZED=FALSE&amp;VAR:CALENDAR=US&amp;VAR:SYMBOL=028704&amp;VAR:INDEX=0"}</definedName>
    <definedName name="_124__FDSAUDITLINK__" hidden="1">{"fdsup://IBCentral/FAT Viewer?action=UPDATE&amp;creator=factset&amp;DOC_NAME=fat:reuters_annual_source_window.fat&amp;display_string=Audit&amp;DYN_ARGS=TRUE&amp;VAR:ID1=30231G10&amp;VAR:RCODE=COGSFDS&amp;VAR:SDATE=20051299&amp;VAR:FREQ=Y&amp;VAR:RELITEM=RP&amp;VAR:CURRENCY=&amp;VAR:CURRSOURCE=EXSHAR","E&amp;VAR:NATFREQ=ANNUAL&amp;VAR:RFIELD=FINALIZED&amp;VAR:DB_TYPE=&amp;VAR:UNITS=M&amp;window=popup&amp;width=450&amp;height=300&amp;START_MAXIMIZED=FALSE"}</definedName>
    <definedName name="_1247__FDSAUDITLINK__" hidden="1">{"fdsup://Directions/FactSet Auditing Viewer?action=AUDIT_VALUE&amp;DB=129&amp;ID1=63651810&amp;VALUEID=03451&amp;SDATE=201202&amp;PERIODTYPE=QTR_STD&amp;SCFT=3&amp;window=popup_no_bar&amp;width=385&amp;height=120&amp;START_MAXIMIZED=FALSE&amp;creator=factset&amp;display_string=Audit"}</definedName>
    <definedName name="_125__FDSAUDITLINK__" hidden="1">{"fdsup://IBCentral/FAT Viewer?action=UPDATE&amp;creator=factset&amp;DOC_NAME=fat:reuters_annual_source_window.fat&amp;display_string=Audit&amp;DYN_ARGS=TRUE&amp;VAR:ID1=30231G10&amp;VAR:RCODE=COGSFDS&amp;VAR:SDATE=20041299&amp;VAR:FREQ=Y&amp;VAR:RELITEM=RP&amp;VAR:CURRENCY=&amp;VAR:CURRSOURCE=EXSHAR","E&amp;VAR:NATFREQ=ANNUAL&amp;VAR:RFIELD=FINALIZED&amp;VAR:DB_TYPE=&amp;VAR:UNITS=M&amp;window=popup&amp;width=450&amp;height=300&amp;START_MAXIMIZED=FALSE"}</definedName>
    <definedName name="_1255__FDSAUDITLINK__" hidden="1">{"fdsup://Directions/FactSet Auditing Viewer?action=AUDIT_VALUE&amp;DB=129&amp;ID1=94184810&amp;VALUEID=04831&amp;SDATE=2011&amp;PERIODTYPE=ANN_STD&amp;SCFT=3&amp;window=popup_no_bar&amp;width=385&amp;height=120&amp;START_MAXIMIZED=FALSE&amp;creator=factset&amp;display_string=Audit"}</definedName>
    <definedName name="_126__FDSAUDITLINK__" hidden="1">{"fdsup://IBCentral/FAT Viewer?action=UPDATE&amp;creator=factset&amp;DOC_NAME=fat:reuters_annual_source_window.fat&amp;display_string=Audit&amp;DYN_ARGS=TRUE&amp;VAR:ID1=30231G10&amp;VAR:RCODE=COGSFDS&amp;VAR:SDATE=20031299&amp;VAR:FREQ=Y&amp;VAR:RELITEM=RP&amp;VAR:CURRENCY=&amp;VAR:CURRSOURCE=EXSHAR","E&amp;VAR:NATFREQ=ANNUAL&amp;VAR:RFIELD=FINALIZED&amp;VAR:DB_TYPE=&amp;VAR:UNITS=M&amp;window=popup&amp;width=450&amp;height=300&amp;START_MAXIMIZED=FALSE"}</definedName>
    <definedName name="_1260__FDSAUDITLINK__" hidden="1">{"fdsup://Directions/FactSet Auditing Viewer?action=AUDIT_VALUE&amp;DB=129&amp;ID1=028704&amp;VALUEID=01151&amp;SDATE=2010&amp;PERIODTYPE=ANN_STD&amp;SCFT=3&amp;window=popup_no_bar&amp;width=385&amp;height=120&amp;START_MAXIMIZED=FALSE&amp;creator=factset&amp;display_string=Audit"}</definedName>
    <definedName name="_1262__FDSAUDITLINK__" hidden="1">{"fdsup://Directions/FactSet Auditing Viewer?action=AUDIT_VALUE&amp;DB=129&amp;ID1=63651810&amp;VALUEID=01151&amp;SDATE=2011&amp;PERIODTYPE=ANN_STD&amp;SCFT=3&amp;window=popup_no_bar&amp;width=385&amp;height=120&amp;START_MAXIMIZED=FALSE&amp;creator=factset&amp;display_string=Audit"}</definedName>
    <definedName name="_127__FDSAUDITLINK__" hidden="1">{"fdsup://IBCentral/FAT Viewer?action=UPDATE&amp;creator=factset&amp;DOC_NAME=fat:reuters_annual_source_window.fat&amp;display_string=Audit&amp;DYN_ARGS=TRUE&amp;VAR:ID1=30231G10&amp;VAR:RCODE=SALES&amp;VAR:SDATE=20071299&amp;VAR:FREQ=Y&amp;VAR:RELITEM=RP&amp;VAR:CURRENCY=&amp;VAR:CURRSOURCE=EXSHARE&amp;","VAR:NATFREQ=ANNUAL&amp;VAR:RFIELD=FINALIZED&amp;VAR:DB_TYPE=&amp;VAR:UNITS=M&amp;window=popup&amp;width=450&amp;height=300&amp;START_MAXIMIZED=FALSE"}</definedName>
    <definedName name="_1271__FDSAUDITLINK__" hidden="1">{"fdsup://Directions/FactSet Auditing Viewer?action=AUDIT_VALUE&amp;DB=129&amp;ID1=94184810&amp;VALUEID=04831&amp;SDATE=2008&amp;PERIODTYPE=ANN_STD&amp;SCFT=3&amp;window=popup_no_bar&amp;width=385&amp;height=120&amp;START_MAXIMIZED=FALSE&amp;creator=factset&amp;display_string=Audit"}</definedName>
    <definedName name="_1276__FDSAUDITLINK__" hidden="1">{"fdsup://Directions/FactSet Auditing Viewer?action=AUDIT_VALUE&amp;DB=129&amp;ID1=028704&amp;VALUEID=05194&amp;SDATE=2010&amp;PERIODTYPE=ANNR_STD&amp;SCFT=3&amp;window=popup_no_bar&amp;width=385&amp;height=120&amp;START_MAXIMIZED=FALSE&amp;creator=factset&amp;display_string=Audit"}</definedName>
    <definedName name="_128__FDSAUDITLINK__" hidden="1">{"fdsup://IBCentral/FAT Viewer?action=UPDATE&amp;creator=factset&amp;DOC_NAME=fat:reuters_annual_source_window.fat&amp;display_string=Audit&amp;DYN_ARGS=TRUE&amp;VAR:ID1=30231G10&amp;VAR:RCODE=SALES&amp;VAR:SDATE=20061299&amp;VAR:FREQ=Y&amp;VAR:RELITEM=RP&amp;VAR:CURRENCY=&amp;VAR:CURRSOURCE=EXSHARE&amp;","VAR:NATFREQ=ANNUAL&amp;VAR:RFIELD=FINALIZED&amp;VAR:DB_TYPE=&amp;VAR:UNITS=M&amp;window=popup&amp;width=450&amp;height=300&amp;START_MAXIMIZED=FALSE"}</definedName>
    <definedName name="_129__FDSAUDITLINK__" hidden="1">{"fdsup://IBCentral/FAT Viewer?action=UPDATE&amp;creator=factset&amp;DOC_NAME=fat:reuters_annual_source_window.fat&amp;display_string=Audit&amp;DYN_ARGS=TRUE&amp;VAR:ID1=30231G10&amp;VAR:RCODE=SALES&amp;VAR:SDATE=20051299&amp;VAR:FREQ=Y&amp;VAR:RELITEM=RP&amp;VAR:CURRENCY=&amp;VAR:CURRSOURCE=EXSHARE&amp;","VAR:NATFREQ=ANNUAL&amp;VAR:RFIELD=FINALIZED&amp;VAR:DB_TYPE=&amp;VAR:UNITS=M&amp;window=popup&amp;width=450&amp;height=300&amp;START_MAXIMIZED=FALSE"}</definedName>
    <definedName name="_13__123Graph_ACHART_30" hidden="1">#REF!</definedName>
    <definedName name="_13__123Graph_BCHART_2" hidden="1">#REF!</definedName>
    <definedName name="_13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1"}</definedName>
    <definedName name="_13__FDSAUDITLINK___1" hidden="1">{"fdsup://IBCentral/FAT Viewer?action=UPDATE&amp;creator=factset&amp;DOC_NAME=fat:reuters_qtrly_source_window.fat&amp;display_string=Audit&amp;DYN_ARGS=TRUE&amp;VAR:ID1=46120310&amp;VAR:RCODE=ACAE&amp;VAR:SDATE=20100999&amp;VAR:FREQ=Quarterly&amp;VAR:RELITEM=RP&amp;VAR:CURRENCY=&amp;VAR:CURRSOURCE=EX","SHARE&amp;VAR:NATFREQ=QUARTERLY&amp;VAR:RFIELD=FINALIZED&amp;VAR:DB_TYPE=&amp;VAR:UNITS=M&amp;window=popup&amp;width=450&amp;height=300&amp;START_MAXIMIZED=FALSE"}</definedName>
    <definedName name="_13__FDSAUDITLINK___2" hidden="1">{"fdsup://IBCentral/FAT Viewer?action=UPDATE&amp;creator=factset&amp;DOC_NAME=fat:reuters_qtrly_source_window.fat&amp;display_string=Audit&amp;DYN_ARGS=TRUE&amp;VAR:ID1=46120310&amp;VAR:RCODE=ACAE&amp;VAR:SDATE=20100999&amp;VAR:FREQ=Quarterly&amp;VAR:RELITEM=RP&amp;VAR:CURRENCY=&amp;VAR:CURRSOURCE=EX","SHARE&amp;VAR:NATFREQ=QUARTERLY&amp;VAR:RFIELD=FINALIZED&amp;VAR:DB_TYPE=&amp;VAR:UNITS=M&amp;window=popup&amp;width=450&amp;height=300&amp;START_MAXIMIZED=FALSE"}</definedName>
    <definedName name="_130__FDSAUDITLINK__" hidden="1">{"fdsup://IBCentral/FAT Viewer?action=UPDATE&amp;creator=factset&amp;DOC_NAME=fat:reuters_annual_source_window.fat&amp;display_string=Audit&amp;DYN_ARGS=TRUE&amp;VAR:ID1=30231G10&amp;VAR:RCODE=SALES&amp;VAR:SDATE=20041299&amp;VAR:FREQ=Y&amp;VAR:RELITEM=RP&amp;VAR:CURRENCY=&amp;VAR:CURRSOURCE=EXSHARE&amp;","VAR:NATFREQ=ANNUAL&amp;VAR:RFIELD=FINALIZED&amp;VAR:DB_TYPE=&amp;VAR:UNITS=M&amp;window=popup&amp;width=450&amp;height=300&amp;START_MAXIMIZED=FALSE"}</definedName>
    <definedName name="_131__FDSAUDITLINK__" hidden="1">{"fdsup://IBCentral/FAT Viewer?action=UPDATE&amp;creator=factset&amp;DOC_NAME=fat:reuters_annual_source_window.fat&amp;display_string=Audit&amp;DYN_ARGS=TRUE&amp;VAR:ID1=30231G10&amp;VAR:RCODE=SALES&amp;VAR:SDATE=20031299&amp;VAR:FREQ=Y&amp;VAR:RELITEM=RP&amp;VAR:CURRENCY=&amp;VAR:CURRSOURCE=EXSHARE&amp;","VAR:NATFREQ=ANNUAL&amp;VAR:RFIELD=FINALIZED&amp;VAR:DB_TYPE=&amp;VAR:UNITS=M&amp;window=popup&amp;width=450&amp;height=300&amp;START_MAXIMIZED=FALSE"}</definedName>
    <definedName name="_132__FDSAUDITLINK__" hidden="1">{"fdsup://IBCentral/FAT Viewer?action=UPDATE&amp;creator=factset&amp;DOC_NAME=fat:reuters_annual_source_window.fat&amp;display_string=Audit&amp;DYN_ARGS=TRUE&amp;VAR:ID1=30231G10&amp;VAR:RCODE=SALES&amp;VAR:SDATE=20071299&amp;VAR:FREQ=Y&amp;VAR:RELITEM=RP&amp;VAR:CURRENCY=&amp;VAR:CURRSOURCE=EXSHARE&amp;","VAR:NATFREQ=ANNUAL&amp;VAR:RFIELD=FINALIZED&amp;VAR:DB_TYPE=&amp;VAR:UNITS=M&amp;window=popup&amp;width=450&amp;height=300&amp;START_MAXIMIZED=FALSE"}</definedName>
    <definedName name="_133__FDSAUDITLINK__" hidden="1">{"fdsup://IBCentral/FAT Viewer?action=UPDATE&amp;creator=factset&amp;DOC_NAME=fat:reuters_annual_source_window.fat&amp;display_string=Audit&amp;DYN_ARGS=TRUE&amp;VAR:ID1=30231G10&amp;VAR:RCODE=COGSFDS&amp;VAR:SDATE=19981299&amp;VAR:FREQ=Y&amp;VAR:RELITEM=RP&amp;VAR:CURRENCY=&amp;VAR:CURRSOURCE=EXSHAR","E&amp;VAR:NATFREQ=ANNUAL&amp;VAR:RFIELD=FINALIZED&amp;VAR:DB_TYPE=&amp;VAR:UNITS=M&amp;window=popup&amp;width=450&amp;height=300&amp;START_MAXIMIZED=FALSE"}</definedName>
    <definedName name="_134__FDSAUDITLINK__" hidden="1">{"fdsup://IBCentral/FAT Viewer?action=UPDATE&amp;creator=factset&amp;DOC_NAME=fat:reuters_annual_source_window.fat&amp;display_string=Audit&amp;DYN_ARGS=TRUE&amp;VAR:ID1=30231G10&amp;VAR:RCODE=COGSFDS&amp;VAR:SDATE=19991299&amp;VAR:FREQ=Y&amp;VAR:RELITEM=RP&amp;VAR:CURRENCY=&amp;VAR:CURRSOURCE=EXSHAR","E&amp;VAR:NATFREQ=ANNUAL&amp;VAR:RFIELD=FINALIZED&amp;VAR:DB_TYPE=&amp;VAR:UNITS=M&amp;window=popup&amp;width=450&amp;height=300&amp;START_MAXIMIZED=FALSE"}</definedName>
    <definedName name="_135__FDSAUDITLINK__" hidden="1">{"fdsup://IBCentral/FAT Viewer?action=UPDATE&amp;creator=factset&amp;DOC_NAME=fat:reuters_annual_source_window.fat&amp;display_string=Audit&amp;DYN_ARGS=TRUE&amp;VAR:ID1=30231G10&amp;VAR:RCODE=COGSFDS&amp;VAR:SDATE=20001299&amp;VAR:FREQ=Y&amp;VAR:RELITEM=RP&amp;VAR:CURRENCY=&amp;VAR:CURRSOURCE=EXSHAR","E&amp;VAR:NATFREQ=ANNUAL&amp;VAR:RFIELD=FINALIZED&amp;VAR:DB_TYPE=&amp;VAR:UNITS=M&amp;window=popup&amp;width=450&amp;height=300&amp;START_MAXIMIZED=FALSE"}</definedName>
    <definedName name="_136__FDSAUDITLINK__" hidden="1">{"fdsup://IBCentral/FAT Viewer?action=UPDATE&amp;creator=factset&amp;DOC_NAME=fat:reuters_annual_source_window.fat&amp;display_string=Audit&amp;DYN_ARGS=TRUE&amp;VAR:ID1=30231G10&amp;VAR:RCODE=COGSFDS&amp;VAR:SDATE=20011299&amp;VAR:FREQ=Y&amp;VAR:RELITEM=RP&amp;VAR:CURRENCY=&amp;VAR:CURRSOURCE=EXSHAR","E&amp;VAR:NATFREQ=ANNUAL&amp;VAR:RFIELD=FINALIZED&amp;VAR:DB_TYPE=&amp;VAR:UNITS=M&amp;window=popup&amp;width=450&amp;height=300&amp;START_MAXIMIZED=FALSE"}</definedName>
    <definedName name="_137__FDSAUDITLINK__" hidden="1">{"fdsup://IBCentral/FAT Viewer?action=UPDATE&amp;creator=factset&amp;DOC_NAME=fat:reuters_annual_source_window.fat&amp;display_string=Audit&amp;DYN_ARGS=TRUE&amp;VAR:ID1=30231G10&amp;VAR:RCODE=COGSFDS&amp;VAR:SDATE=20021299&amp;VAR:FREQ=Y&amp;VAR:RELITEM=RP&amp;VAR:CURRENCY=&amp;VAR:CURRSOURCE=EXSHAR","E&amp;VAR:NATFREQ=ANNUAL&amp;VAR:RFIELD=FINALIZED&amp;VAR:DB_TYPE=&amp;VAR:UNITS=M&amp;window=popup&amp;width=450&amp;height=300&amp;START_MAXIMIZED=FALSE"}</definedName>
    <definedName name="_138__FDSAUDITLINK__" hidden="1">{"fdsup://IBCentral/FAT Viewer?action=UPDATE&amp;creator=factset&amp;DOC_NAME=fat:reuters_annual_source_window.fat&amp;display_string=Audit&amp;DYN_ARGS=TRUE&amp;VAR:ID1=30231G10&amp;VAR:RCODE=COGSFDS&amp;VAR:SDATE=20031299&amp;VAR:FREQ=Y&amp;VAR:RELITEM=RP&amp;VAR:CURRENCY=&amp;VAR:CURRSOURCE=EXSHAR","E&amp;VAR:NATFREQ=ANNUAL&amp;VAR:RFIELD=FINALIZED&amp;VAR:DB_TYPE=&amp;VAR:UNITS=M&amp;window=popup&amp;width=450&amp;height=300&amp;START_MAXIMIZED=FALSE"}</definedName>
    <definedName name="_139__FDSAUDITLINK__" hidden="1">{"fdsup://IBCentral/FAT Viewer?action=UPDATE&amp;creator=factset&amp;DOC_NAME=fat:reuters_annual_source_window.fat&amp;display_string=Audit&amp;DYN_ARGS=TRUE&amp;VAR:ID1=30231G10&amp;VAR:RCODE=COGSFDS&amp;VAR:SDATE=20041299&amp;VAR:FREQ=Y&amp;VAR:RELITEM=RP&amp;VAR:CURRENCY=&amp;VAR:CURRSOURCE=EXSHAR","E&amp;VAR:NATFREQ=ANNUAL&amp;VAR:RFIELD=FINALIZED&amp;VAR:DB_TYPE=&amp;VAR:UNITS=M&amp;window=popup&amp;width=450&amp;height=300&amp;START_MAXIMIZED=FALSE"}</definedName>
    <definedName name="_14__123Graph_BCHART_3" hidden="1">#REF!</definedName>
    <definedName name="_14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9"}</definedName>
    <definedName name="_14__FDSAUDITLINK___1" hidden="1">{"fdsup://IBCentral/FAT Viewer?action=UPDATE&amp;creator=factset&amp;DOC_NAME=fat:reuters_qtrly_source_window.fat&amp;display_string=Audit&amp;DYN_ARGS=TRUE&amp;VAR:ID1=46120310&amp;VAR:RCODE=DSTT&amp;VAR:SDATE=20100999&amp;VAR:FREQ=Quarterly&amp;VAR:RELITEM=RP&amp;VAR:CURRENCY=&amp;VAR:CURRSOURCE=EX","SHARE&amp;VAR:NATFREQ=QUARTERLY&amp;VAR:RFIELD=FINALIZED&amp;VAR:DB_TYPE=&amp;VAR:UNITS=M&amp;window=popup&amp;width=450&amp;height=300&amp;START_MAXIMIZED=FALSE"}</definedName>
    <definedName name="_14__FDSAUDITLINK___2" hidden="1">{"fdsup://IBCentral/FAT Viewer?action=UPDATE&amp;creator=factset&amp;DOC_NAME=fat:reuters_qtrly_source_window.fat&amp;display_string=Audit&amp;DYN_ARGS=TRUE&amp;VAR:ID1=46120310&amp;VAR:RCODE=DSTT&amp;VAR:SDATE=20100999&amp;VAR:FREQ=Quarterly&amp;VAR:RELITEM=RP&amp;VAR:CURRENCY=&amp;VAR:CURRSOURCE=EX","SHARE&amp;VAR:NATFREQ=QUARTERLY&amp;VAR:RFIELD=FINALIZED&amp;VAR:DB_TYPE=&amp;VAR:UNITS=M&amp;window=popup&amp;width=450&amp;height=300&amp;START_MAXIMIZED=FALSE"}</definedName>
    <definedName name="_140__FDSAUDITLINK__" hidden="1">{"fdsup://IBCentral/FAT Viewer?action=UPDATE&amp;creator=factset&amp;DOC_NAME=fat:reuters_annual_source_window.fat&amp;display_string=Audit&amp;DYN_ARGS=TRUE&amp;VAR:ID1=30231G10&amp;VAR:RCODE=COGSFDS&amp;VAR:SDATE=20051299&amp;VAR:FREQ=Y&amp;VAR:RELITEM=RP&amp;VAR:CURRENCY=&amp;VAR:CURRSOURCE=EXSHAR","E&amp;VAR:NATFREQ=ANNUAL&amp;VAR:RFIELD=FINALIZED&amp;VAR:DB_TYPE=&amp;VAR:UNITS=M&amp;window=popup&amp;width=450&amp;height=300&amp;START_MAXIMIZED=FALSE"}</definedName>
    <definedName name="_141__FDSAUDITLINK__" hidden="1">{"fdsup://IBCentral/FAT Viewer?action=UPDATE&amp;creator=factset&amp;DOC_NAME=fat:reuters_annual_source_window.fat&amp;display_string=Audit&amp;DYN_ARGS=TRUE&amp;VAR:ID1=30231G10&amp;VAR:RCODE=COGSFDS&amp;VAR:SDATE=20061299&amp;VAR:FREQ=Y&amp;VAR:RELITEM=RP&amp;VAR:CURRENCY=&amp;VAR:CURRSOURCE=EXSHAR","E&amp;VAR:NATFREQ=ANNUAL&amp;VAR:RFIELD=FINALIZED&amp;VAR:DB_TYPE=&amp;VAR:UNITS=M&amp;window=popup&amp;width=450&amp;height=300&amp;START_MAXIMIZED=FALSE"}</definedName>
    <definedName name="_142__FDSAUDITLINK__" hidden="1">{"fdsup://IBCentral/FAT Viewer?action=UPDATE&amp;creator=factset&amp;DOC_NAME=fat:reuters_annual_source_window.fat&amp;display_string=Audit&amp;DYN_ARGS=TRUE&amp;VAR:ID1=30231G10&amp;VAR:RCODE=COGSFDS&amp;VAR:SDATE=20071299&amp;VAR:FREQ=Y&amp;VAR:RELITEM=RP&amp;VAR:CURRENCY=&amp;VAR:CURRSOURCE=EXSHAR","E&amp;VAR:NATFREQ=ANNUAL&amp;VAR:RFIELD=FINALIZED&amp;VAR:DB_TYPE=&amp;VAR:UNITS=M&amp;window=popup&amp;width=450&amp;height=300&amp;START_MAXIMIZED=FALSE"}</definedName>
    <definedName name="_143__FDSAUDITLINK__" hidden="1">{"fdsup://IBCentral/FAT Viewer?action=UPDATE&amp;creator=factset&amp;DOC_NAME=fat:reuters_annual_source_window.fat&amp;display_string=Audit&amp;DYN_ARGS=TRUE&amp;VAR:ID1=30231G10&amp;VAR:RCODE=SALES&amp;VAR:SDATE=19981299&amp;VAR:FREQ=Y&amp;VAR:RELITEM=RP&amp;VAR:CURRENCY=&amp;VAR:CURRSOURCE=EXSHARE&amp;","VAR:NATFREQ=ANNUAL&amp;VAR:RFIELD=FINALIZED&amp;VAR:DB_TYPE=&amp;VAR:UNITS=M&amp;window=popup&amp;width=450&amp;height=300&amp;START_MAXIMIZED=FALSE"}</definedName>
    <definedName name="_144__FDSAUDITLINK__" hidden="1">{"fdsup://IBCentral/FAT Viewer?action=UPDATE&amp;creator=factset&amp;DOC_NAME=fat:reuters_annual_source_window.fat&amp;display_string=Audit&amp;DYN_ARGS=TRUE&amp;VAR:ID1=30231G10&amp;VAR:RCODE=SALES&amp;VAR:SDATE=19991299&amp;VAR:FREQ=Y&amp;VAR:RELITEM=RP&amp;VAR:CURRENCY=&amp;VAR:CURRSOURCE=EXSHARE&amp;","VAR:NATFREQ=ANNUAL&amp;VAR:RFIELD=FINALIZED&amp;VAR:DB_TYPE=&amp;VAR:UNITS=M&amp;window=popup&amp;width=450&amp;height=300&amp;START_MAXIMIZED=FALSE"}</definedName>
    <definedName name="_145__FDSAUDITLINK__" hidden="1">{"fdsup://IBCentral/FAT Viewer?action=UPDATE&amp;creator=factset&amp;DOC_NAME=fat:reuters_annual_source_window.fat&amp;display_string=Audit&amp;DYN_ARGS=TRUE&amp;VAR:ID1=30231G10&amp;VAR:RCODE=SALES&amp;VAR:SDATE=20001299&amp;VAR:FREQ=Y&amp;VAR:RELITEM=RP&amp;VAR:CURRENCY=&amp;VAR:CURRSOURCE=EXSHARE&amp;","VAR:NATFREQ=ANNUAL&amp;VAR:RFIELD=FINALIZED&amp;VAR:DB_TYPE=&amp;VAR:UNITS=M&amp;window=popup&amp;width=450&amp;height=300&amp;START_MAXIMIZED=FALSE"}</definedName>
    <definedName name="_146__FDSAUDITLINK__" hidden="1">{"fdsup://IBCentral/FAT Viewer?action=UPDATE&amp;creator=factset&amp;DOC_NAME=fat:reuters_annual_source_window.fat&amp;display_string=Audit&amp;DYN_ARGS=TRUE&amp;VAR:ID1=30231G10&amp;VAR:RCODE=SALES&amp;VAR:SDATE=20011299&amp;VAR:FREQ=Y&amp;VAR:RELITEM=RP&amp;VAR:CURRENCY=&amp;VAR:CURRSOURCE=EXSHARE&amp;","VAR:NATFREQ=ANNUAL&amp;VAR:RFIELD=FINALIZED&amp;VAR:DB_TYPE=&amp;VAR:UNITS=M&amp;window=popup&amp;width=450&amp;height=300&amp;START_MAXIMIZED=FALSE"}</definedName>
    <definedName name="_147__FDSAUDITLINK__" hidden="1">{"fdsup://IBCentral/FAT Viewer?action=UPDATE&amp;creator=factset&amp;DOC_NAME=fat:reuters_annual_source_window.fat&amp;display_string=Audit&amp;DYN_ARGS=TRUE&amp;VAR:ID1=30231G10&amp;VAR:RCODE=SALES&amp;VAR:SDATE=20021299&amp;VAR:FREQ=Y&amp;VAR:RELITEM=RP&amp;VAR:CURRENCY=&amp;VAR:CURRSOURCE=EXSHARE&amp;","VAR:NATFREQ=ANNUAL&amp;VAR:RFIELD=FINALIZED&amp;VAR:DB_TYPE=&amp;VAR:UNITS=M&amp;window=popup&amp;width=450&amp;height=300&amp;START_MAXIMIZED=FALSE"}</definedName>
    <definedName name="_148__FDSAUDITLINK__" hidden="1">{"fdsup://IBCentral/FAT Viewer?action=UPDATE&amp;creator=factset&amp;DOC_NAME=fat:reuters_annual_source_window.fat&amp;display_string=Audit&amp;DYN_ARGS=TRUE&amp;VAR:ID1=30231G10&amp;VAR:RCODE=SALES&amp;VAR:SDATE=20031299&amp;VAR:FREQ=Y&amp;VAR:RELITEM=RP&amp;VAR:CURRENCY=&amp;VAR:CURRSOURCE=EXSHARE&amp;","VAR:NATFREQ=ANNUAL&amp;VAR:RFIELD=FINALIZED&amp;VAR:DB_TYPE=&amp;VAR:UNITS=M&amp;window=popup&amp;width=450&amp;height=300&amp;START_MAXIMIZED=FALSE"}</definedName>
    <definedName name="_149__FDSAUDITLINK__" hidden="1">{"fdsup://IBCentral/FAT Viewer?action=UPDATE&amp;creator=factset&amp;DOC_NAME=fat:reuters_annual_source_window.fat&amp;display_string=Audit&amp;DYN_ARGS=TRUE&amp;VAR:ID1=30231G10&amp;VAR:RCODE=SALES&amp;VAR:SDATE=20041299&amp;VAR:FREQ=Y&amp;VAR:RELITEM=RP&amp;VAR:CURRENCY=&amp;VAR:CURRSOURCE=EXSHARE&amp;","VAR:NATFREQ=ANNUAL&amp;VAR:RFIELD=FINALIZED&amp;VAR:DB_TYPE=&amp;VAR:UNITS=M&amp;window=popup&amp;width=450&amp;height=300&amp;START_MAXIMIZED=FALSE"}</definedName>
    <definedName name="_15__123Graph_ACHART_4" hidden="1">#REF!</definedName>
    <definedName name="_15__123Graph_CCHART_12" hidden="1">#REF!</definedName>
    <definedName name="_15__123Graph_XCHART_1" hidden="1">#REF!</definedName>
    <definedName name="_15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5"}</definedName>
    <definedName name="_15__FDSAUDITLINK___1" hidden="1">{"fdsup://IBCentral/FAT Viewer?action=UPDATE&amp;creator=factset&amp;DOC_NAME=fat:reuters_qtrly_source_window.fat&amp;display_string=Audit&amp;DYN_ARGS=TRUE&amp;VAR:ID1=46120310&amp;VAR:RCODE=LTTD&amp;VAR:SDATE=20100999&amp;VAR:FREQ=Quarterly&amp;VAR:RELITEM=RP&amp;VAR:CURRENCY=&amp;VAR:CURRSOURCE=EX","SHARE&amp;VAR:NATFREQ=QUARTERLY&amp;VAR:RFIELD=FINALIZED&amp;VAR:DB_TYPE=&amp;VAR:UNITS=M&amp;window=popup&amp;width=450&amp;height=300&amp;START_MAXIMIZED=FALSE"}</definedName>
    <definedName name="_15__FDSAUDITLINK___2" hidden="1">{"fdsup://IBCentral/FAT Viewer?action=UPDATE&amp;creator=factset&amp;DOC_NAME=fat:reuters_qtrly_source_window.fat&amp;display_string=Audit&amp;DYN_ARGS=TRUE&amp;VAR:ID1=46120310&amp;VAR:RCODE=LTTD&amp;VAR:SDATE=20100999&amp;VAR:FREQ=Quarterly&amp;VAR:RELITEM=RP&amp;VAR:CURRENCY=&amp;VAR:CURRSOURCE=EX","SHARE&amp;VAR:NATFREQ=QUARTERLY&amp;VAR:RFIELD=FINALIZED&amp;VAR:DB_TYPE=&amp;VAR:UNITS=M&amp;window=popup&amp;width=450&amp;height=300&amp;START_MAXIMIZED=FALSE"}</definedName>
    <definedName name="_150__FDSAUDITLINK__" hidden="1">{"fdsup://IBCentral/FAT Viewer?action=UPDATE&amp;creator=factset&amp;DOC_NAME=fat:reuters_annual_source_window.fat&amp;display_string=Audit&amp;DYN_ARGS=TRUE&amp;VAR:ID1=30231G10&amp;VAR:RCODE=SALES&amp;VAR:SDATE=20051299&amp;VAR:FREQ=Y&amp;VAR:RELITEM=RP&amp;VAR:CURRENCY=&amp;VAR:CURRSOURCE=EXSHARE&amp;","VAR:NATFREQ=ANNUAL&amp;VAR:RFIELD=FINALIZED&amp;VAR:DB_TYPE=&amp;VAR:UNITS=M&amp;window=popup&amp;width=450&amp;height=300&amp;START_MAXIMIZED=FALSE"}</definedName>
    <definedName name="_151__FDSAUDITLINK__" hidden="1">{"fdsup://IBCentral/FAT Viewer?action=UPDATE&amp;creator=factset&amp;DOC_NAME=fat:reuters_annual_source_window.fat&amp;display_string=Audit&amp;DYN_ARGS=TRUE&amp;VAR:ID1=30231G10&amp;VAR:RCODE=SALES&amp;VAR:SDATE=20061299&amp;VAR:FREQ=Y&amp;VAR:RELITEM=RP&amp;VAR:CURRENCY=&amp;VAR:CURRSOURCE=EXSHARE&amp;","VAR:NATFREQ=ANNUAL&amp;VAR:RFIELD=FINALIZED&amp;VAR:DB_TYPE=&amp;VAR:UNITS=M&amp;window=popup&amp;width=450&amp;height=300&amp;START_MAXIMIZED=FALSE"}</definedName>
    <definedName name="_152__FDSAUDITLINK__" hidden="1">{"fdsup://IBCentral/FAT Viewer?action=UPDATE&amp;creator=factset&amp;DOC_NAME=fat:reuters_annual_source_window.fat&amp;display_string=Audit&amp;DYN_ARGS=TRUE&amp;VAR:ID1=30231G10&amp;VAR:RCODE=SALES&amp;VAR:SDATE=20071299&amp;VAR:FREQ=Y&amp;VAR:RELITEM=RP&amp;VAR:CURRENCY=&amp;VAR:CURRSOURCE=EXSHARE&amp;","VAR:NATFREQ=ANNUAL&amp;VAR:RFIELD=FINALIZED&amp;VAR:DB_TYPE=&amp;VAR:UNITS=M&amp;window=popup&amp;width=450&amp;height=300&amp;START_MAXIMIZED=FALSE"}</definedName>
    <definedName name="_153__FDSAUDITLINK__" hidden="1">{"fdsup://IBCentral/FAT Viewer?action=UPDATE&amp;creator=factset&amp;DOC_NAME=fat:reuters_annual_source_window.fat&amp;display_string=Audit&amp;DYN_ARGS=TRUE&amp;VAR:ID1=30231G10&amp;VAR:RCODE=COGSFDS&amp;VAR:SDATE=20021299&amp;VAR:FREQ=Y&amp;VAR:RELITEM=RP&amp;VAR:CURRENCY=&amp;VAR:CURRSOURCE=EXSHAR","E&amp;VAR:NATFREQ=ANNUAL&amp;VAR:RFIELD=FINALIZED&amp;VAR:DB_TYPE=&amp;VAR:UNITS=M&amp;window=popup&amp;width=450&amp;height=300&amp;START_MAXIMIZED=FALSE"}</definedName>
    <definedName name="_154__FDSAUDITLINK__" hidden="1">{"fdsup://IBCentral/FAT Viewer?action=UPDATE&amp;creator=factset&amp;DOC_NAME=fat:reuters_annual_source_window.fat&amp;display_string=Audit&amp;DYN_ARGS=TRUE&amp;VAR:ID1=30231G10&amp;VAR:RCODE=SALES&amp;VAR:SDATE=20071299&amp;VAR:FREQ=Y&amp;VAR:RELITEM=RP&amp;VAR:CURRENCY=&amp;VAR:CURRSOURCE=EXSHARE&amp;","VAR:NATFREQ=ANNUAL&amp;VAR:RFIELD=FINALIZED&amp;VAR:DB_TYPE=&amp;VAR:UNITS=M&amp;window=popup&amp;width=450&amp;height=300&amp;START_MAXIMIZED=FALSE"}</definedName>
    <definedName name="_155__FDSAUDITLINK__" hidden="1">{"fdsup://IBCentral/FAT Viewer?action=UPDATE&amp;creator=factset&amp;DOC_NAME=fat:reuters_annual_source_window.fat&amp;display_string=Audit&amp;DYN_ARGS=TRUE&amp;VAR:ID1=71708110&amp;VAR:RCODE=SCSI&amp;VAR:SDATE=20081299&amp;VAR:FREQ=FISCAL_YEARLY&amp;VAR:RELITEM=NOAUDIT&amp;VAR:CURRENCY=&amp;VAR:CUR","RSOURCE=EXSHARE&amp;VAR:NATFREQ=ANNUAL&amp;VAR:RFIELD=FINALIZED&amp;VAR:DB_TYPE=&amp;VAR:UNITS=M&amp;window=popup&amp;width=450&amp;height=300&amp;START_MAXIMIZED=FALSE"}</definedName>
    <definedName name="_156__FDSAUDITLINK__" hidden="1">{"fdsup://IBCentral/FAT Viewer?action=UPDATE&amp;creator=factset&amp;DOC_NAME=fat:reuters_annual_source_window.fat&amp;display_string=Audit&amp;DYN_ARGS=TRUE&amp;VAR:ID1=03525510&amp;VAR:RCODE=SALES&amp;VAR:SDATE=20081299&amp;VAR:FREQ=FISCAL_YEARLY&amp;VAR:RELITEM=NOAUDIT&amp;VAR:CURRENCY=&amp;VAR:CU","RRSOURCE=EXSHARE&amp;VAR:NATFREQ=ANNUAL&amp;VAR:RFIELD=FINALIZED&amp;VAR:DB_TYPE=&amp;VAR:UNITS=M&amp;window=popup&amp;width=450&amp;height=300&amp;START_MAXIMIZED=FALSE"}</definedName>
    <definedName name="_157__FDSAUDITLINK__" hidden="1">{"fdsup://IBCentral/FAT Viewer?action=UPDATE&amp;creator=factset&amp;DOC_NAME=fat:reuters_annual_source_window.fat&amp;display_string=Audit&amp;DYN_ARGS=TRUE&amp;VAR:ID1=09065G10&amp;VAR:RCODE=SALES&amp;VAR:SDATE=20080699&amp;VAR:FREQ=FISCAL_YEARLY&amp;VAR:RELITEM=NOAUDIT&amp;VAR:CURRENCY=&amp;VAR:CU","RRSOURCE=EXSHARE&amp;VAR:NATFREQ=ANNUAL&amp;VAR:RFIELD=FINALIZED&amp;VAR:DB_TYPE=&amp;VAR:UNITS=M&amp;window=popup&amp;width=450&amp;height=300&amp;START_MAXIMIZED=FALSE"}</definedName>
    <definedName name="_158__FDSAUDITLINK__" hidden="1">{"fdsup://IBCentral/FAT Viewer?action=UPDATE&amp;creator=factset&amp;DOC_NAME=fat:reuters_annual_source_window.fat&amp;display_string=Audit&amp;DYN_ARGS=TRUE&amp;VAR:ID1=G9825R10&amp;VAR:RCODE=SALES&amp;VAR:SDATE=20081299&amp;VAR:FREQ=FISCAL_YEARLY&amp;VAR:RELITEM=NOAUDIT&amp;VAR:CURRENCY=&amp;VAR:CU","RRSOURCE=EXSHARE&amp;VAR:NATFREQ=ANNUAL&amp;VAR:RFIELD=FINALIZED&amp;VAR:DB_TYPE=&amp;VAR:UNITS=M&amp;window=popup&amp;width=450&amp;height=300&amp;START_MAXIMIZED=FALSE"}</definedName>
    <definedName name="_159__FDSAUDITLINK__" hidden="1">{"fdsup://IBCentral/FAT Viewer?action=UPDATE&amp;creator=factset&amp;DOC_NAME=fat:reuters_annual_source_window.fat&amp;display_string=Audit&amp;DYN_ARGS=TRUE&amp;VAR:ID1=45031X20&amp;VAR:RCODE=SALES&amp;VAR:SDATE=20081299&amp;VAR:FREQ=FISCAL_YEARLY&amp;VAR:RELITEM=NOAUDIT&amp;VAR:CURRENCY=&amp;VAR:CU","RRSOURCE=EXSHARE&amp;VAR:NATFREQ=ANNUAL&amp;VAR:RFIELD=FINALIZED&amp;VAR:DB_TYPE=&amp;VAR:UNITS=M&amp;window=popup&amp;width=450&amp;height=300&amp;START_MAXIMIZED=FALSE"}</definedName>
    <definedName name="_16__123Graph_CCHART_13" hidden="1">#REF!</definedName>
    <definedName name="_16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4"}</definedName>
    <definedName name="_16__FDSAUDITLINK___1" hidden="1">{"fdsup://IBCentral/FAT Viewer?action=UPDATE&amp;creator=factset&amp;DOC_NAME=fat:reuters_qtrly_source_window.fat&amp;display_string=Audit&amp;DYN_ARGS=TRUE&amp;VAR:ID1=86366710&amp;VAR:RCODE=ACAE&amp;VAR:SDATE=20100999&amp;VAR:FREQ=Quarterly&amp;VAR:RELITEM=RP&amp;VAR:CURRENCY=&amp;VAR:CURRSOURCE=EX","SHARE&amp;VAR:NATFREQ=QUARTERLY&amp;VAR:RFIELD=FINALIZED&amp;VAR:DB_TYPE=&amp;VAR:UNITS=M&amp;window=popup&amp;width=450&amp;height=300&amp;START_MAXIMIZED=FALSE"}</definedName>
    <definedName name="_16__FDSAUDITLINK___2" hidden="1">{"fdsup://IBCentral/FAT Viewer?action=UPDATE&amp;creator=factset&amp;DOC_NAME=fat:reuters_qtrly_source_window.fat&amp;display_string=Audit&amp;DYN_ARGS=TRUE&amp;VAR:ID1=86366710&amp;VAR:RCODE=ACAE&amp;VAR:SDATE=20100999&amp;VAR:FREQ=Quarterly&amp;VAR:RELITEM=RP&amp;VAR:CURRENCY=&amp;VAR:CURRSOURCE=EX","SHARE&amp;VAR:NATFREQ=QUARTERLY&amp;VAR:RFIELD=FINALIZED&amp;VAR:DB_TYPE=&amp;VAR:UNITS=M&amp;window=popup&amp;width=450&amp;height=300&amp;START_MAXIMIZED=FALSE"}</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1__FDSAUDITLINK__" hidden="1">{"fdsup://IBCentral/FAT Viewer?action=UPDATE&amp;creator=factset&amp;DOC_NAME=fat:reuters_annual_source_window.fat&amp;display_string=Audit&amp;DYN_ARGS=TRUE&amp;VAR:ID1=80862K10&amp;VAR:RCODE=SALES&amp;VAR:SDATE=20081299&amp;VAR:FREQ=FISCAL_YEARLY&amp;VAR:RELITEM=NOAUDIT&amp;VAR:CURRENCY=&amp;VAR:CU","RRSOURCE=EXSHARE&amp;VAR:NATFREQ=ANNUAL&amp;VAR:RFIELD=FINALIZED&amp;VAR:DB_TYPE=&amp;VAR:UNITS=M&amp;window=popup&amp;width=450&amp;height=300&amp;START_MAXIMIZED=FALSE"}</definedName>
    <definedName name="_162__FDSAUDITLINK__" hidden="1">{"fdsup://IBCentral/FAT Viewer?action=UPDATE&amp;creator=factset&amp;DOC_NAME=fat:reuters_annual_source_window.fat&amp;display_string=Audit&amp;DYN_ARGS=TRUE&amp;VAR:ID1=19777910&amp;VAR:RCODE=SALES&amp;VAR:SDATE=20081299&amp;VAR:FREQ=FISCAL_YEARLY&amp;VAR:RELITEM=NOAUDIT&amp;VAR:CURRENCY=&amp;VAR:CU","RRSOURCE=EXSHARE&amp;VAR:NATFREQ=ANNUAL&amp;VAR:RFIELD=FINALIZED&amp;VAR:DB_TYPE=&amp;VAR:UNITS=M&amp;window=popup&amp;width=450&amp;height=300&amp;START_MAXIMIZED=FALSE"}</definedName>
    <definedName name="_163__FDSAUDITLINK__" hidden="1">{"fdsup://IBCentral/FAT Viewer?action=UPDATE&amp;creator=factset&amp;DOC_NAME=fat:reuters_annual_source_window.fat&amp;display_string=Audit&amp;DYN_ARGS=TRUE&amp;VAR:ID1=80281730&amp;VAR:RCODE=SALES&amp;VAR:SDATE=20081299&amp;VAR:FREQ=FISCAL_YEARLY&amp;VAR:RELITEM=NOAUDIT&amp;VAR:CURRENCY=&amp;VAR:CU","RRSOURCE=EXSHARE&amp;VAR:NATFREQ=ANNUAL&amp;VAR:RFIELD=FINALIZED&amp;VAR:DB_TYPE=&amp;VAR:UNITS=M&amp;window=popup&amp;width=450&amp;height=300&amp;START_MAXIMIZED=FALSE"}</definedName>
    <definedName name="_164__FDSAUDITLINK__" hidden="1">{"fdsup://IBCentral/FAT Viewer?action=UPDATE&amp;creator=factset&amp;DOC_NAME=fat:reuters_annual_source_window.fat&amp;display_string=Audit&amp;DYN_ARGS=TRUE&amp;VAR:ID1=00724X10&amp;VAR:RCODE=SALES&amp;VAR:SDATE=20081299&amp;VAR:FREQ=FISCAL_YEARLY&amp;VAR:RELITEM=NOAUDIT&amp;VAR:CURRENCY=&amp;VAR:CU","RRSOURCE=EXSHARE&amp;VAR:NATFREQ=ANNUAL&amp;VAR:RFIELD=FINALIZED&amp;VAR:DB_TYPE=&amp;VAR:UNITS=M&amp;window=popup&amp;width=450&amp;height=300&amp;START_MAXIMIZED=FALSE"}</definedName>
    <definedName name="_165__FDSAUDITLINK__" hidden="1">{"fdsup://IBCentral/FAT Viewer?action=UPDATE&amp;creator=factset&amp;DOC_NAME=fat:reuters_annual_source_window.fat&amp;display_string=Audit&amp;DYN_ARGS=TRUE&amp;VAR:ID1=00972810&amp;VAR:RCODE=SALES&amp;VAR:SDATE=20081299&amp;VAR:FREQ=FISCAL_YEARLY&amp;VAR:RELITEM=NOAUDIT&amp;VAR:CURRENCY=&amp;VAR:CU","RRSOURCE=EXSHARE&amp;VAR:NATFREQ=ANNUAL&amp;VAR:RFIELD=FINALIZED&amp;VAR:DB_TYPE=&amp;VAR:UNITS=M&amp;window=popup&amp;width=450&amp;height=300&amp;START_MAXIMIZED=FALSE"}</definedName>
    <definedName name="_166__FDSAUDITLINK__" hidden="1">{"fdsup://IBCentral/FAT Viewer?action=UPDATE&amp;creator=factset&amp;DOC_NAME=fat:reuters_annual_source_window.fat&amp;display_string=Audit&amp;DYN_ARGS=TRUE&amp;VAR:ID1=24990810&amp;VAR:RCODE=SALES&amp;VAR:SDATE=20081299&amp;VAR:FREQ=FISCAL_YEARLY&amp;VAR:RELITEM=NOAUDIT&amp;VAR:CURRENCY=&amp;VAR:CU","RRSOURCE=EXSHARE&amp;VAR:NATFREQ=ANNUAL&amp;VAR:RFIELD=FINALIZED&amp;VAR:DB_TYPE=&amp;VAR:UNITS=M&amp;window=popup&amp;width=450&amp;height=300&amp;START_MAXIMIZED=FALSE"}</definedName>
    <definedName name="_167__FDSAUDITLINK__" hidden="1">{"fdsup://IBCentral/FAT Viewer?action=UPDATE&amp;creator=factset&amp;DOC_NAME=fat:reuters_annual_source_window.fat&amp;display_string=Audit&amp;DYN_ARGS=TRUE&amp;VAR:ID1=14075T10&amp;VAR:RCODE=SALES&amp;VAR:SDATE=20080399&amp;VAR:FREQ=FISCAL_YEARLY&amp;VAR:RELITEM=NOAUDIT&amp;VAR:CURRENCY=&amp;VAR:CU","RRSOURCE=EXSHARE&amp;VAR:NATFREQ=ANNUAL&amp;VAR:RFIELD=FINALIZED&amp;VAR:DB_TYPE=&amp;VAR:UNITS=M&amp;window=popup&amp;width=450&amp;height=300&amp;START_MAXIMIZED=FALSE"}</definedName>
    <definedName name="_168__FDSAUDITLINK__" hidden="1">{"fdsup://IBCentral/FAT Viewer?action=UPDATE&amp;creator=factset&amp;DOC_NAME=fat:reuters_annual_source_window.fat&amp;display_string=Audit&amp;DYN_ARGS=TRUE&amp;VAR:ID1=62936P10&amp;VAR:RCODE=SALES&amp;VAR:SDATE=20081299&amp;VAR:FREQ=FISCAL_YEARLY&amp;VAR:RELITEM=NOAUDIT&amp;VAR:CURRENCY=&amp;VAR:CU","RRSOURCE=EXSHARE&amp;VAR:NATFREQ=ANNUAL&amp;VAR:RFIELD=FINALIZED&amp;VAR:DB_TYPE=&amp;VAR:UNITS=M&amp;window=popup&amp;width=450&amp;height=300&amp;START_MAXIMIZED=FALSE"}</definedName>
    <definedName name="_169__FDSAUDITLINK__" hidden="1">{"fdsup://IBCentral/FAT Viewer?action=UPDATE&amp;creator=factset&amp;DOC_NAME=fat:reuters_annual_source_window.fat&amp;display_string=Audit&amp;DYN_ARGS=TRUE&amp;VAR:ID1=73941U10&amp;VAR:RCODE=SALES&amp;VAR:SDATE=20081299&amp;VAR:FREQ=FISCAL_YEARLY&amp;VAR:RELITEM=NOAUDIT&amp;VAR:CURRENCY=&amp;VAR:CU","RRSOURCE=EXSHARE&amp;VAR:NATFREQ=ANNUAL&amp;VAR:RFIELD=FINALIZED&amp;VAR:DB_TYPE=&amp;VAR:UNITS=M&amp;window=popup&amp;width=450&amp;height=300&amp;START_MAXIMIZED=FALSE"}</definedName>
    <definedName name="_17__123Graph_BCHART_1" hidden="1">#REF!</definedName>
    <definedName name="_17__123Graph_CCHART_14" hidden="1">#REF!</definedName>
    <definedName name="_17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3"}</definedName>
    <definedName name="_17__FDSAUDITLINK___1" hidden="1">{"fdsup://IBCentral/FAT Viewer?action=UPDATE&amp;creator=factset&amp;DOC_NAME=fat:reuters_qtrly_source_window.fat&amp;display_string=Audit&amp;DYN_ARGS=TRUE&amp;VAR:ID1=86366710&amp;VAR:RCODE=DSTT&amp;VAR:SDATE=20100999&amp;VAR:FREQ=Quarterly&amp;VAR:RELITEM=RP&amp;VAR:CURRENCY=&amp;VAR:CURRSOURCE=EX","SHARE&amp;VAR:NATFREQ=QUARTERLY&amp;VAR:RFIELD=FINALIZED&amp;VAR:DB_TYPE=&amp;VAR:UNITS=M&amp;window=popup&amp;width=450&amp;height=300&amp;START_MAXIMIZED=FALSE"}</definedName>
    <definedName name="_17__FDSAUDITLINK___2" hidden="1">{"fdsup://IBCentral/FAT Viewer?action=UPDATE&amp;creator=factset&amp;DOC_NAME=fat:reuters_qtrly_source_window.fat&amp;display_string=Audit&amp;DYN_ARGS=TRUE&amp;VAR:ID1=86366710&amp;VAR:RCODE=DSTT&amp;VAR:SDATE=20100999&amp;VAR:FREQ=Quarterly&amp;VAR:RELITEM=RP&amp;VAR:CURRENCY=&amp;VAR:CURRSOURCE=EX","SHARE&amp;VAR:NATFREQ=QUARTERLY&amp;VAR:RFIELD=FINALIZED&amp;VAR:DB_TYPE=&amp;VAR:UNITS=M&amp;window=popup&amp;width=450&amp;height=300&amp;START_MAXIMIZED=FALSE"}</definedName>
    <definedName name="_170__FDSAUDITLINK__" hidden="1">{"fdsup://IBCentral/FAT Viewer?action=UPDATE&amp;creator=factset&amp;DOC_NAME=fat:reuters_annual_source_window.fat&amp;display_string=Audit&amp;DYN_ARGS=TRUE&amp;VAR:ID1=74318710&amp;VAR:RCODE=SALES&amp;VAR:SDATE=20081299&amp;VAR:FREQ=FISCAL_YEARLY&amp;VAR:RELITEM=NOAUDIT&amp;VAR:CURRENCY=&amp;VAR:CU","RRSOURCE=EXSHARE&amp;VAR:NATFREQ=ANNUAL&amp;VAR:RFIELD=FINALIZED&amp;VAR:DB_TYPE=&amp;VAR:UNITS=M&amp;window=popup&amp;width=450&amp;height=300&amp;START_MAXIMIZED=FALSE"}</definedName>
    <definedName name="_171__FDSAUDITLINK__" hidden="1">{"fdsup://IBCentral/FAT Viewer?action=UPDATE&amp;creator=factset&amp;DOC_NAME=fat:reuters_annual_source_window.fat&amp;display_string=Audit&amp;DYN_ARGS=TRUE&amp;VAR:ID1=29390410&amp;VAR:RCODE=SALES&amp;VAR:SDATE=20081299&amp;VAR:FREQ=FISCAL_YEARLY&amp;VAR:RELITEM=NOAUDIT&amp;VAR:CURRENCY=&amp;VAR:CU","RRSOURCE=EXSHARE&amp;VAR:NATFREQ=ANNUAL&amp;VAR:RFIELD=FINALIZED&amp;VAR:DB_TYPE=&amp;VAR:UNITS=M&amp;window=popup&amp;width=450&amp;height=300&amp;START_MAXIMIZED=FALSE"}</definedName>
    <definedName name="_172__FDSAUDITLINK__" hidden="1">{"fdsup://IBCentral/FAT Viewer?action=UPDATE&amp;creator=factset&amp;DOC_NAME=fat:reuters_annual_source_window.fat&amp;display_string=Audit&amp;DYN_ARGS=TRUE&amp;VAR:ID1=67000910&amp;VAR:RCODE=SALES&amp;VAR:SDATE=20081299&amp;VAR:FREQ=FISCAL_YEARLY&amp;VAR:RELITEM=NOAUDIT&amp;VAR:CURRENCY=&amp;VAR:CU","RRSOURCE=EXSHARE&amp;VAR:NATFREQ=ANNUAL&amp;VAR:RFIELD=FINALIZED&amp;VAR:DB_TYPE=&amp;VAR:UNITS=M&amp;window=popup&amp;width=450&amp;height=300&amp;START_MAXIMIZED=FALSE"}</definedName>
    <definedName name="_173__FDSAUDITLINK__" hidden="1">{"fdsup://IBCentral/FAT Viewer?action=UPDATE&amp;creator=factset&amp;DOC_NAME=fat:reuters_annual_source_window.fat&amp;display_string=Audit&amp;DYN_ARGS=TRUE&amp;VAR:ID1=45773310&amp;VAR:RCODE=SALES&amp;VAR:SDATE=20081299&amp;VAR:FREQ=FISCAL_YEARLY&amp;VAR:RELITEM=NOAUDIT&amp;VAR:CURRENCY=&amp;VAR:CU","RRSOURCE=EXSHARE&amp;VAR:NATFREQ=ANNUAL&amp;VAR:RFIELD=FINALIZED&amp;VAR:DB_TYPE=&amp;VAR:UNITS=M&amp;window=popup&amp;width=450&amp;height=300&amp;START_MAXIMIZED=FALSE"}</definedName>
    <definedName name="_174__FDSAUDITLINK__" hidden="1">{"fdsup://IBCentral/FAT Viewer?action=UPDATE&amp;creator=factset&amp;DOC_NAME=fat:reuters_annual_source_window.fat&amp;display_string=Audit&amp;DYN_ARGS=TRUE&amp;VAR:ID1=98985T10&amp;VAR:RCODE=SALES&amp;VAR:SDATE=20081299&amp;VAR:FREQ=FISCAL_YEARLY&amp;VAR:RELITEM=NOAUDIT&amp;VAR:CURRENCY=&amp;VAR:CU","RRSOURCE=EXSHARE&amp;VAR:NATFREQ=ANNUAL&amp;VAR:RFIELD=FINALIZED&amp;VAR:DB_TYPE=&amp;VAR:UNITS=M&amp;window=popup&amp;width=450&amp;height=300&amp;START_MAXIMIZED=FALSE"}</definedName>
    <definedName name="_175__FDSAUDITLINK__" hidden="1">{"fdsup://IBCentral/FAT Viewer?action=UPDATE&amp;creator=factset&amp;DOC_NAME=fat:reuters_annual_source_window.fat&amp;display_string=Audit&amp;DYN_ARGS=TRUE&amp;VAR:ID1=45256B10&amp;VAR:RCODE=SALES&amp;VAR:SDATE=20081299&amp;VAR:FREQ=FISCAL_YEARLY&amp;VAR:RELITEM=NOAUDIT&amp;VAR:CURRENCY=&amp;VAR:CU","RRSOURCE=EXSHARE&amp;VAR:NATFREQ=ANNUAL&amp;VAR:RFIELD=FINALIZED&amp;VAR:DB_TYPE=&amp;VAR:UNITS=M&amp;window=popup&amp;width=450&amp;height=300&amp;START_MAXIMIZED=FALSE"}</definedName>
    <definedName name="_176__FDSAUDITLINK__" hidden="1">{"fdsup://IBCentral/FAT Viewer?action=UPDATE&amp;creator=factset&amp;DOC_NAME=fat:reuters_annual_source_window.fat&amp;display_string=Audit&amp;DYN_ARGS=TRUE&amp;VAR:ID1=86490910&amp;VAR:RCODE=SALES&amp;VAR:SDATE=20081299&amp;VAR:FREQ=FISCAL_YEARLY&amp;VAR:RELITEM=NOAUDIT&amp;VAR:CURRENCY=&amp;VAR:CU","RRSOURCE=EXSHARE&amp;VAR:NATFREQ=ANNUAL&amp;VAR:RFIELD=FINALIZED&amp;VAR:DB_TYPE=&amp;VAR:UNITS=M&amp;window=popup&amp;width=450&amp;height=300&amp;START_MAXIMIZED=FALSE"}</definedName>
    <definedName name="_177__FDSAUDITLINK__" hidden="1">{"fdsup://IBCentral/FAT Viewer?action=UPDATE&amp;creator=factset&amp;DOC_NAME=fat:reuters_annual_source_window.fat&amp;display_string=Audit&amp;DYN_ARGS=TRUE&amp;VAR:ID1=74835Y10&amp;VAR:RCODE=SALES&amp;VAR:SDATE=20081299&amp;VAR:FREQ=FISCAL_YEARLY&amp;VAR:RELITEM=NOAUDIT&amp;VAR:CURRENCY=&amp;VAR:CU","RRSOURCE=EXSHARE&amp;VAR:NATFREQ=ANNUAL&amp;VAR:RFIELD=FINALIZED&amp;VAR:DB_TYPE=&amp;VAR:UNITS=M&amp;window=popup&amp;width=450&amp;height=300&amp;START_MAXIMIZED=FALSE"}</definedName>
    <definedName name="_178__FDSAUDITLINK__" hidden="1">{"fdsup://IBCentral/FAT Viewer?action=UPDATE&amp;creator=factset&amp;DOC_NAME=fat:reuters_annual_source_window.fat&amp;display_string=Audit&amp;DYN_ARGS=TRUE&amp;VAR:ID1=29089Q10&amp;VAR:RCODE=SALES&amp;VAR:SDATE=20081299&amp;VAR:FREQ=FISCAL_YEARLY&amp;VAR:RELITEM=NOAUDIT&amp;VAR:CURRENCY=&amp;VAR:CU","RRSOURCE=EXSHARE&amp;VAR:NATFREQ=ANNUAL&amp;VAR:RFIELD=FINALIZED&amp;VAR:DB_TYPE=&amp;VAR:UNITS=M&amp;window=popup&amp;width=450&amp;height=300&amp;START_MAXIMIZED=FALSE"}</definedName>
    <definedName name="_179__FDSAUDITLINK__" hidden="1">{"fdsup://IBCentral/FAT Viewer?action=UPDATE&amp;creator=factset&amp;DOC_NAME=fat:reuters_annual_source_window.fat&amp;display_string=Audit&amp;DYN_ARGS=TRUE&amp;VAR:ID1=69888P10&amp;VAR:RCODE=SALES&amp;VAR:SDATE=20081299&amp;VAR:FREQ=FISCAL_YEARLY&amp;VAR:RELITEM=NOAUDIT&amp;VAR:CURRENCY=&amp;VAR:CU","RRSOURCE=EXSHARE&amp;VAR:NATFREQ=ANNUAL&amp;VAR:RFIELD=FINALIZED&amp;VAR:DB_TYPE=&amp;VAR:UNITS=M&amp;window=popup&amp;width=450&amp;height=300&amp;START_MAXIMIZED=FALSE"}</definedName>
    <definedName name="_18__123Graph_BCHART_2" hidden="1">#REF!</definedName>
    <definedName name="_18__123Graph_CCHART_2" hidden="1">#REF!</definedName>
    <definedName name="_18__123Graph_XCHART_2" hidden="1">#REF!</definedName>
    <definedName name="_18__FDSAUDITLINK__" hidden="1">{"fdsup://Directions/FactSet Auditing Viewer?action=AUDIT_VALUE&amp;DB=129&amp;ID1=088470&amp;VALUEID=01001&amp;SDATE=2007&amp;PERIODTYPE=ANN_STD&amp;window=popup_no_bar&amp;width=385&amp;height=120&amp;START_MAXIMIZED=FALSE&amp;creator=factset&amp;display_string=Audit"}</definedName>
    <definedName name="_18__FDSAUDITLINK___1" hidden="1">{"fdsup://IBCentral/FAT Viewer?action=UPDATE&amp;creator=factset&amp;DOC_NAME=fat:reuters_qtrly_source_window.fat&amp;display_string=Audit&amp;DYN_ARGS=TRUE&amp;VAR:ID1=86366710&amp;VAR:RCODE=LTTD&amp;VAR:SDATE=20100999&amp;VAR:FREQ=Quarterly&amp;VAR:RELITEM=RP&amp;VAR:CURRENCY=&amp;VAR:CURRSOURCE=EX","SHARE&amp;VAR:NATFREQ=QUARTERLY&amp;VAR:RFIELD=FINALIZED&amp;VAR:DB_TYPE=&amp;VAR:UNITS=M&amp;window=popup&amp;width=450&amp;height=300&amp;START_MAXIMIZED=FALSE"}</definedName>
    <definedName name="_18__FDSAUDITLINK___2" hidden="1">{"fdsup://IBCentral/FAT Viewer?action=UPDATE&amp;creator=factset&amp;DOC_NAME=fat:reuters_qtrly_source_window.fat&amp;display_string=Audit&amp;DYN_ARGS=TRUE&amp;VAR:ID1=86366710&amp;VAR:RCODE=LTTD&amp;VAR:SDATE=20100999&amp;VAR:FREQ=Quarterly&amp;VAR:RELITEM=RP&amp;VAR:CURRENCY=&amp;VAR:CURRSOURCE=EX","SHARE&amp;VAR:NATFREQ=QUARTERLY&amp;VAR:RFIELD=FINALIZED&amp;VAR:DB_TYPE=&amp;VAR:UNITS=M&amp;window=popup&amp;width=450&amp;height=300&amp;START_MAXIMIZED=FALSE"}</definedName>
    <definedName name="_180__FDSAUDITLINK__" hidden="1">{"fdsup://IBCentral/FAT Viewer?action=UPDATE&amp;creator=factset&amp;DOC_NAME=fat:reuters_annual_source_window.fat&amp;display_string=Audit&amp;DYN_ARGS=TRUE&amp;VAR:ID1=92824110&amp;VAR:RCODE=SALES&amp;VAR:SDATE=20081299&amp;VAR:FREQ=FISCAL_YEARLY&amp;VAR:RELITEM=NOAUDIT&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64026810&amp;VAR:RCODE=SALES&amp;VAR:SDATE=20081299&amp;VAR:FREQ=FISCAL_YEARLY&amp;VAR:RELITEM=NOAUDIT&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79543510&amp;VAR:RCODE=SALES&amp;VAR:SDATE=20081299&amp;VAR:FREQ=FISCAL_YEARLY&amp;VAR:RELITEM=NOAUDIT&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58468810&amp;VAR:RCODE=SALES&amp;VAR:SDATE=20081299&amp;VAR:FREQ=FISCAL_YEARLY&amp;VAR:RELITEM=NOAUDIT&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45884X10&amp;VAR:RCODE=SALES&amp;VAR:SDATE=20081299&amp;VAR:FREQ=FISCAL_YEARLY&amp;VAR:RELITEM=NOAUDIT&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00484M10&amp;VAR:RCODE=SALES&amp;VAR:SDATE=20081299&amp;VAR:FREQ=FISCAL_YEARLY&amp;VAR:RELITEM=NOAUDIT&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annual_source_window.fat&amp;display_string=Audit&amp;DYN_ARGS=TRUE&amp;VAR:ID1=58469030&amp;VAR:RCODE=SALES&amp;VAR:SDATE=20081299&amp;VAR:FREQ=FISCAL_YEARLY&amp;VAR:RELITEM=NOAUDIT&amp;VAR:CURRENCY=&amp;VAR:CU","RRSOURCE=EXSHARE&amp;VAR:NATFREQ=ANNUAL&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01642T10&amp;VAR:RCODE=SALES&amp;VAR:SDATE=20080399&amp;VAR:FREQ=FISCAL_YEARLY&amp;VAR:RELITEM=NOAUDIT&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69329Y10&amp;VAR:RCODE=SALES&amp;VAR:SDATE=20081299&amp;VAR:FREQ=FISCAL_YEARLY&amp;VAR:RELITEM=NOAUDIT&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05334D10&amp;VAR:RCODE=SALES&amp;VAR:SDATE=20081299&amp;VAR:FREQ=FISCAL_YEARLY&amp;VAR:RELITEM=NOAUDIT&amp;VAR:CURRENCY=&amp;VAR:CU","RRSOURCE=EXSHARE&amp;VAR:NATFREQ=ANNUAL&amp;VAR:RFIELD=FINALIZED&amp;VAR:DB_TYPE=&amp;VAR:UNITS=M&amp;window=popup&amp;width=450&amp;height=300&amp;START_MAXIMIZED=FALSE"}</definedName>
    <definedName name="_19__123Graph_ACHART_1" hidden="1">#N/A</definedName>
    <definedName name="_19__123Graph_DCHART_1" hidden="1">#REF!</definedName>
    <definedName name="_19__FDSAUDITLINK__" hidden="1">{"fdsup://Directions/FactSet Auditing Viewer?action=AUDIT_VALUE&amp;DB=129&amp;ID1=088470&amp;VALUEID=01001&amp;SDATE=2008&amp;PERIODTYPE=ANN_STD&amp;window=popup_no_bar&amp;width=385&amp;height=120&amp;START_MAXIMIZED=FALSE&amp;creator=factset&amp;display_string=Audit"}</definedName>
    <definedName name="_19__FDSAUDITLINK___1" hidden="1">{"fdsup://IBCentral/FAT Viewer?action=UPDATE&amp;creator=factset&amp;DOC_NAME=fat:reuters_qtrly_source_window.fat&amp;display_string=Audit&amp;DYN_ARGS=TRUE&amp;VAR:ID1=86366710&amp;VAR:RCODE=ZCPS&amp;VAR:SDATE=20100999&amp;VAR:FREQ=Quarterly&amp;VAR:RELITEM=RP&amp;VAR:CURRENCY=&amp;VAR:CURRSOURCE=EX","SHARE&amp;VAR:NATFREQ=QUARTERLY&amp;VAR:RFIELD=FINALIZED&amp;VAR:DB_TYPE=&amp;VAR:UNITS=M&amp;window=popup&amp;width=450&amp;height=300&amp;START_MAXIMIZED=FALSE"}</definedName>
    <definedName name="_19__FDSAUDITLINK___2" hidden="1">{"fdsup://IBCentral/FAT Viewer?action=UPDATE&amp;creator=factset&amp;DOC_NAME=fat:reuters_qtrly_source_window.fat&amp;display_string=Audit&amp;DYN_ARGS=TRUE&amp;VAR:ID1=86366710&amp;VAR:RCODE=ZCPS&amp;VAR:SDATE=20100999&amp;VAR:FREQ=Quarterly&amp;VAR:RELITEM=RP&amp;VAR:CURRENCY=&amp;VAR:CURRSOURCE=EX","SHARE&amp;VAR:NATFREQ=QUARTERLY&amp;VAR:RFIELD=FINALIZED&amp;VAR:DB_TYPE=&amp;VAR:UNITS=M&amp;window=popup&amp;width=450&amp;height=300&amp;START_MAXIMIZED=FALSE"}</definedName>
    <definedName name="_190__FDSAUDITLINK__" hidden="1">{"fdsup://IBCentral/FAT Viewer?action=UPDATE&amp;creator=factset&amp;DOC_NAME=fat:reuters_annual_source_window.fat&amp;display_string=Audit&amp;DYN_ARGS=TRUE&amp;VAR:ID1=22967810&amp;VAR:RCODE=SALES&amp;VAR:SDATE=20081299&amp;VAR:FREQ=FISCAL_YEARLY&amp;VAR:RELITEM=NOAUDIT&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75886F10&amp;VAR:RCODE=SALES&amp;VAR:SDATE=20081299&amp;VAR:FREQ=FISCAL_YEARLY&amp;VAR:RELITEM=NOAUDIT&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12666710&amp;VAR:RCODE=SALES&amp;VAR:SDATE=20081299&amp;VAR:FREQ=FISCAL_YEARLY&amp;VAR:RELITEM=NOAUDIT&amp;VAR:CURRENCY=&amp;VAR:CU","RRSOURCE=EXSHARE&amp;VAR:NATFREQ=ANNUAL&amp;VAR:RFIELD=FINALIZED&amp;VAR:DB_TYPE=&amp;VAR:UNITS=M&amp;window=popup&amp;width=450&amp;height=300&amp;START_MAXIMIZED=FALSE"}</definedName>
    <definedName name="_193__FDSAUDITLINK__" hidden="1">{"fdsup://IBCentral/FAT Viewer?action=UPDATE&amp;creator=factset&amp;DOC_NAME=fat:reuters_annual_source_window.fat&amp;display_string=Audit&amp;DYN_ARGS=TRUE&amp;VAR:ID1=09061G10&amp;VAR:RCODE=SALES&amp;VAR:SDATE=20081299&amp;VAR:FREQ=FISCAL_YEARLY&amp;VAR:RELITEM=NOAUDIT&amp;VAR:CURRENCY=&amp;VAR:CU","RRSOURCE=EXSHARE&amp;VAR:NATFREQ=ANNUAL&amp;VAR:RFIELD=FINALIZED&amp;VAR:DB_TYPE=&amp;VAR:UNITS=M&amp;window=popup&amp;width=450&amp;height=300&amp;START_MAXIMIZED=FALSE"}</definedName>
    <definedName name="_194__FDSAUDITLINK__" hidden="1">{"fdsup://IBCentral/FAT Viewer?action=UPDATE&amp;creator=factset&amp;DOC_NAME=fat:reuters_annual_source_window.fat&amp;display_string=Audit&amp;DYN_ARGS=TRUE&amp;VAR:ID1=03234610&amp;VAR:RCODE=SALES&amp;VAR:SDATE=20081299&amp;VAR:FREQ=FISCAL_YEARLY&amp;VAR:RELITEM=NOAUDIT&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91911X10&amp;VAR:RCODE=SALES&amp;VAR:SDATE=20081299&amp;VAR:FREQ=FISCAL_YEARLY&amp;VAR:RELITEM=NOAUDIT&amp;VAR:CURRENCY=&amp;VAR:CU","RRSOURCE=EXSHARE&amp;VAR:NATFREQ=ANNUAL&amp;VAR:RFIELD=FINALIZED&amp;VAR:DB_TYPE=&amp;VAR:UNITS=M&amp;window=popup&amp;width=450&amp;height=300&amp;START_MAXIMIZED=FALSE"}</definedName>
    <definedName name="_196__FDSAUDITLINK__" hidden="1">{"fdsup://IBCentral/FAT Viewer?action=UPDATE&amp;creator=factset&amp;DOC_NAME=fat:reuters_annual_source_window.fat&amp;display_string=Audit&amp;DYN_ARGS=TRUE&amp;VAR:ID1=46433010&amp;VAR:RCODE=SALES&amp;VAR:SDATE=20081299&amp;VAR:FREQ=FISCAL_YEARLY&amp;VAR:RELITEM=NOAUDIT&amp;VAR:CURRENCY=&amp;VAR:CU","RRSOURCE=EXSHARE&amp;VAR:NATFREQ=ANNUAL&amp;VAR:RFIELD=FINALIZED&amp;VAR:DB_TYPE=&amp;VAR:UNITS=M&amp;window=popup&amp;width=450&amp;height=300&amp;START_MAXIMIZED=FALSE"}</definedName>
    <definedName name="_197__FDSAUDITLINK__" hidden="1">{"fdsup://IBCentral/FAT Viewer?action=UPDATE&amp;creator=factset&amp;DOC_NAME=fat:reuters_annual_source_window.fat&amp;display_string=Audit&amp;DYN_ARGS=TRUE&amp;VAR:ID1=68339910&amp;VAR:RCODE=SALES&amp;VAR:SDATE=20081299&amp;VAR:FREQ=FISCAL_YEARLY&amp;VAR:RELITEM=NOAUDIT&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81731510&amp;VAR:RCODE=SALES&amp;VAR:SDATE=20081299&amp;VAR:FREQ=FISCAL_YEARLY&amp;VAR:RELITEM=NOAUDIT&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91307C10&amp;VAR:RCODE=SALES&amp;VAR:SDATE=20081299&amp;VAR:FREQ=FISCAL_YEARLY&amp;VAR:RELITEM=NOAUDIT&amp;VAR:CURRENCY=&amp;VAR:CU","RRSOURCE=EXSHARE&amp;VAR:NATFREQ=ANNUAL&amp;VAR:RFIELD=FINALIZED&amp;VAR:DB_TYPE=&amp;VAR:UNITS=M&amp;window=popup&amp;width=450&amp;height=300&amp;START_MAXIMIZED=FALSE"}</definedName>
    <definedName name="_2__123Graph_ACHART_18" hidden="1">#REF!</definedName>
    <definedName name="_2__123Graph_ACHART_2" hidden="1">#REF!</definedName>
    <definedName name="_2__123Graph_DCHART_1" hidden="1">#REF!</definedName>
    <definedName name="_2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3"}</definedName>
    <definedName name="_2__FDSAUDITLINK___1" hidden="1">{"fdsup://directions/FAT Viewer?action=UPDATE&amp;creator=factset&amp;DYN_ARGS=TRUE&amp;DOC_NAME=FAT:FQL_AUDITING_CLIENT_TEMPLATE.FAT&amp;display_string=Audit&amp;VAR:KEY=OBIPIJIDUT&amp;VAR:QUERY=UkdGX0VOVFJQUl9WQUwoQU5OLDQwNTYyLCwsLCwsTk9BVURJVCk=&amp;WINDOW=FIRST_POPUP&amp;HEIGHT=450&amp;WI","DTH=450&amp;START_MAXIMIZED=FALSE&amp;VAR:CALENDAR=US&amp;VAR:SYMBOL=IVC&amp;VAR:INDEX=0"}</definedName>
    <definedName name="_2__FDSAUDITLINK___2" hidden="1">{"fdsup://directions/FAT Viewer?action=UPDATE&amp;creator=factset&amp;DYN_ARGS=TRUE&amp;DOC_NAME=FAT:FQL_AUDITING_CLIENT_TEMPLATE.FAT&amp;display_string=Audit&amp;VAR:KEY=OBIPIJIDUT&amp;VAR:QUERY=UkdGX0VOVFJQUl9WQUwoQU5OLDQwNTYyLCwsLCwsTk9BVURJVCk=&amp;WINDOW=FIRST_POPUP&amp;HEIGHT=450&amp;WI","DTH=450&amp;START_MAXIMIZED=FALSE&amp;VAR:CALENDAR=US&amp;VAR:SYMBOL=IVC&amp;VAR:INDEX=0"}</definedName>
    <definedName name="_2_0_0_S" hidden="1">#REF!</definedName>
    <definedName name="_20__123Graph_ACHART_2" hidden="1">#REF!</definedName>
    <definedName name="_20__123Graph_BCHART_3" hidden="1">#REF!</definedName>
    <definedName name="_20__123Graph_LBL_ACHART_1" hidden="1">#REF!</definedName>
    <definedName name="_20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8"}</definedName>
    <definedName name="_20__FDSAUDITLINK___1" hidden="1">{"fdsup://IBCentral/FAT Viewer?action=UPDATE&amp;creator=factset&amp;DOC_NAME=fat:reuters_qtrly_source_window.fat&amp;display_string=Audit&amp;DYN_ARGS=TRUE&amp;VAR:ID1=86366710&amp;VAR:RCODE=LMIN&amp;VAR:SDATE=20100999&amp;VAR:FREQ=Quarterly&amp;VAR:RELITEM=RP&amp;VAR:CURRENCY=&amp;VAR:CURRSOURCE=EX","SHARE&amp;VAR:NATFREQ=QUARTERLY&amp;VAR:RFIELD=FINALIZED&amp;VAR:DB_TYPE=&amp;VAR:UNITS=M&amp;window=popup&amp;width=450&amp;height=300&amp;START_MAXIMIZED=FALSE"}</definedName>
    <definedName name="_20__FDSAUDITLINK___2" hidden="1">{"fdsup://IBCentral/FAT Viewer?action=UPDATE&amp;creator=factset&amp;DOC_NAME=fat:reuters_qtrly_source_window.fat&amp;display_string=Audit&amp;DYN_ARGS=TRUE&amp;VAR:ID1=86366710&amp;VAR:RCODE=LMIN&amp;VAR:SDATE=20100999&amp;VAR:FREQ=Quarterly&amp;VAR:RELITEM=RP&amp;VAR:CURRENCY=&amp;VAR:CURRSOURCE=EX","SHARE&amp;VAR:NATFREQ=QUARTERLY&amp;VAR:RFIELD=FINALIZED&amp;VAR:DB_TYPE=&amp;VAR:UNITS=M&amp;window=popup&amp;width=450&amp;height=300&amp;START_MAXIMIZED=FALSE"}</definedName>
    <definedName name="_200__FDSAUDITLINK__" hidden="1">{"fdsup://IBCentral/FAT Viewer?action=UPDATE&amp;creator=factset&amp;DOC_NAME=fat:reuters_annual_source_window.fat&amp;display_string=Audit&amp;DYN_ARGS=TRUE&amp;VAR:ID1=00383Y10&amp;VAR:RCODE=SALES&amp;VAR:SDATE=20081299&amp;VAR:FREQ=FISCAL_YEARLY&amp;VAR:RELITEM=NOAUDIT&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annual_source_window.fat&amp;display_string=Audit&amp;DYN_ARGS=TRUE&amp;VAR:ID1=49558210&amp;VAR:RCODE=SALES&amp;VAR:SDATE=20081299&amp;VAR:FREQ=FISCAL_YEARLY&amp;VAR:RELITEM=NOAUDIT&amp;VAR:CURRENCY=&amp;VAR:CU","RRSOURCE=EXSHARE&amp;VAR:NATFREQ=ANNUAL&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67104010&amp;VAR:RCODE=SALES&amp;VAR:SDATE=20081299&amp;VAR:FREQ=FISCAL_YEARLY&amp;VAR:RELITEM=NOAUDIT&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annual_source_window.fat&amp;display_string=Audit&amp;DYN_ARGS=TRUE&amp;VAR:ID1=29264F20&amp;VAR:RCODE=SALES&amp;VAR:SDATE=20081299&amp;VAR:FREQ=FISCAL_YEARLY&amp;VAR:RELITEM=NOAUDIT&amp;VAR:CURRENCY=&amp;VAR:CU","RRSOURCE=EXSHARE&amp;VAR:NATFREQ=ANNUAL&amp;VAR:RFIELD=FINALIZED&amp;VAR:DB_TYPE=&amp;VAR:UNITS=M&amp;window=popup&amp;width=450&amp;height=300&amp;START_MAXIMIZED=FALSE"}</definedName>
    <definedName name="_204__FDSAUDITLINK__" hidden="1">{"fdsup://IBCentral/FAT Viewer?action=UPDATE&amp;creator=factset&amp;DOC_NAME=fat:reuters_annual_source_window.fat&amp;display_string=Audit&amp;DYN_ARGS=TRUE&amp;VAR:ID1=71429010&amp;VAR:RCODE=SALES&amp;VAR:SDATE=20080699&amp;VAR:FREQ=FISCAL_YEARLY&amp;VAR:RELITEM=NOAUDIT&amp;VAR:CURRENCY=&amp;VAR:CU","RRSOURCE=EXSHARE&amp;VAR:NATFREQ=ANNUAL&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G9435N10&amp;VAR:RCODE=SALES&amp;VAR:SDATE=20081299&amp;VAR:FREQ=FISCAL_YEARLY&amp;VAR:RELITEM=NOAUDIT&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annual_source_window.fat&amp;display_string=Audit&amp;DYN_ARGS=TRUE&amp;VAR:ID1=94268310&amp;VAR:RCODE=SALES&amp;VAR:SDATE=20081299&amp;VAR:FREQ=FISCAL_YEARLY&amp;VAR:RELITEM=NOAUDIT&amp;VAR:CURRENCY=&amp;VAR:CU","RRSOURCE=EXSHARE&amp;VAR:NATFREQ=ANNUAL&amp;VAR:RFIELD=FINALIZED&amp;VAR:DB_TYPE=&amp;VAR:UNITS=M&amp;window=popup&amp;width=450&amp;height=300&amp;START_MAXIMIZED=FALSE"}</definedName>
    <definedName name="_208__FDSAUDITLINK__" hidden="1">{"fdsup://IBCentral/FAT Viewer?action=UPDATE&amp;creator=factset&amp;DOC_NAME=fat:reuters_annual_source_window.fat&amp;display_string=Audit&amp;DYN_ARGS=TRUE&amp;VAR:ID1=62853010&amp;VAR:RCODE=SALES&amp;VAR:SDATE=20081299&amp;VAR:FREQ=FISCAL_YEARLY&amp;VAR:RELITEM=NOAUDIT&amp;VAR:CURRENCY=&amp;VAR:CU","RRSOURCE=EXSHARE&amp;VAR:NATFREQ=ANNUAL&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15670810&amp;VAR:RCODE=SALES&amp;VAR:SDATE=20081299&amp;VAR:FREQ=FISCAL_YEARLY&amp;VAR:RELITEM=NOAUDIT&amp;VAR:CURRENCY=&amp;VAR:CU","RRSOURCE=EXSHARE&amp;VAR:NATFREQ=ANNUAL&amp;VAR:RFIELD=FINALIZED&amp;VAR:DB_TYPE=&amp;VAR:UNITS=M&amp;window=popup&amp;width=450&amp;height=300&amp;START_MAXIMIZED=FALSE"}</definedName>
    <definedName name="_21__123Graph_LBL_ACHART_3" hidden="1">#REF!</definedName>
    <definedName name="_21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8"}</definedName>
    <definedName name="_21__FDSAUDITLINK___1" hidden="1">{"fdsup://IBCentral/FAT Viewer?action=UPDATE&amp;creator=factset&amp;DOC_NAME=fat:reuters_semi_source_window.fat&amp;display_string=Audit&amp;DYN_ARGS=TRUE&amp;VAR:ID1=OFIX&amp;VAR:RCODE=FDSPFDSTKTOTAL&amp;VAR:SDATE=0&amp;VAR:FREQ=FSA&amp;VAR:RELITEM=RP&amp;VAR:CURRENCY=&amp;VAR:CURRSOURCE=EXSHARE&amp;VA","R:NATFREQ=FSA&amp;VAR:RFIELD=FINALIZED&amp;VAR:DB_TYPE=&amp;VAR:UNITS=M&amp;window=popup&amp;width=450&amp;height=300&amp;START_MAXIMIZED=FALSE"}</definedName>
    <definedName name="_21__FDSAUDITLINK___2" hidden="1">{"fdsup://IBCentral/FAT Viewer?action=UPDATE&amp;creator=factset&amp;DOC_NAME=fat:reuters_semi_source_window.fat&amp;display_string=Audit&amp;DYN_ARGS=TRUE&amp;VAR:ID1=OFIX&amp;VAR:RCODE=FDSPFDSTKTOTAL&amp;VAR:SDATE=0&amp;VAR:FREQ=FSA&amp;VAR:RELITEM=RP&amp;VAR:CURRENCY=&amp;VAR:CURRSOURCE=EXSHARE&amp;VA","R:NATFREQ=FSA&amp;VAR:RFIELD=FINALIZED&amp;VAR:DB_TYPE=&amp;VAR:UNITS=M&amp;window=popup&amp;width=450&amp;height=300&amp;START_MAXIMIZED=FALSE"}</definedName>
    <definedName name="_210__FDSAUDITLINK__" hidden="1">{"fdsup://IBCentral/FAT Viewer?action=UPDATE&amp;creator=factset&amp;DOC_NAME=fat:reuters_annual_source_window.fat&amp;display_string=Audit&amp;DYN_ARGS=TRUE&amp;VAR:ID1=92532F10&amp;VAR:RCODE=SALES&amp;VAR:SDATE=20081299&amp;VAR:FREQ=FISCAL_YEARLY&amp;VAR:RELITEM=NOAUDIT&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34583810&amp;VAR:RCODE=SALES&amp;VAR:SDATE=20080399&amp;VAR:FREQ=FISCAL_YEARLY&amp;VAR:RELITEM=NOAUDIT&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annual_source_window.fat&amp;display_string=Audit&amp;DYN_ARGS=TRUE&amp;VAR:ID1=01849010&amp;VAR:RCODE=SALES&amp;VAR:SDATE=20081299&amp;VAR:FREQ=FISCAL_YEARLY&amp;VAR:RELITEM=NOAUDIT&amp;VAR:CURRENCY=&amp;VAR:CU","RRSOURCE=EXSHARE&amp;VAR:NATFREQ=ANNUAL&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37291710&amp;VAR:RCODE=SALES&amp;VAR:SDATE=20081299&amp;VAR:FREQ=FISCAL_YEARLY&amp;VAR:RELITEM=NOAUDIT&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09062X10&amp;VAR:RCODE=SALES&amp;VAR:SDATE=20081299&amp;VAR:FREQ=FISCAL_YEARLY&amp;VAR:RELITEM=NOAUDIT&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annual_source_window.fat&amp;display_string=Audit&amp;DYN_ARGS=TRUE&amp;VAR:ID1=15102010&amp;VAR:RCODE=SALES&amp;VAR:SDATE=20081299&amp;VAR:FREQ=FISCAL_YEARLY&amp;VAR:RELITEM=NOAUDIT&amp;VAR:CURRENCY=&amp;VAR:CU","RRSOURCE=EXSHARE&amp;VAR:NATFREQ=ANNUAL&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37555810&amp;VAR:RCODE=SALES&amp;VAR:SDATE=20081299&amp;VAR:FREQ=FISCAL_YEARLY&amp;VAR:RELITEM=NOAUDIT&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annual_source_window.fat&amp;display_string=Audit&amp;DYN_ARGS=TRUE&amp;VAR:ID1=03116210&amp;VAR:RCODE=SALES&amp;VAR:SDATE=20081299&amp;VAR:FREQ=FISCAL_YEARLY&amp;VAR:RELITEM=NOAUDIT&amp;VAR:CURRENCY=&amp;VAR:CU","RRSOURCE=EXSHARE&amp;VAR:NATFREQ=ANNUAL&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00282410&amp;VAR:RCODE=SALES&amp;VAR:SDATE=20081299&amp;VAR:FREQ=FISCAL_YEARLY&amp;VAR:RELITEM=NOAUDIT&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71708110&amp;VAR:RCODE=SALES&amp;VAR:SDATE=20081299&amp;VAR:FREQ=FISCAL_YEARLY&amp;VAR:RELITEM=NOAUDIT&amp;VAR:CURRENCY=&amp;VAR:CU","RRSOURCE=EXSHARE&amp;VAR:NATFREQ=ANNUAL&amp;VAR:RFIELD=FINALIZED&amp;VAR:DB_TYPE=&amp;VAR:UNITS=M&amp;window=popup&amp;width=450&amp;height=300&amp;START_MAXIMIZED=FALSE"}</definedName>
    <definedName name="_22__123Graph_BCHART_1" hidden="1">#N/A</definedName>
    <definedName name="_22__123Graph_BCHART_4" hidden="1">#REF!</definedName>
    <definedName name="_22__123Graph_LBL_DCHART_1" hidden="1">#REF!</definedName>
    <definedName name="_22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7"}</definedName>
    <definedName name="_22__FDSAUDITLINK___1" hidden="1">{"fdsup://IBCentral/FAT Viewer?action=UPDATE&amp;creator=factset&amp;DOC_NAME=fat:reuters_semi_source_window.fat&amp;display_string=Audit&amp;DYN_ARGS=TRUE&amp;VAR:ID1=WMGI&amp;VAR:RCODE=FDSPFDSTKTOTAL&amp;VAR:SDATE=0&amp;VAR:FREQ=FSA&amp;VAR:RELITEM=RP&amp;VAR:CURRENCY=&amp;VAR:CURRSOURCE=EXSHARE&amp;VA","R:NATFREQ=FSA&amp;VAR:RFIELD=FINALIZED&amp;VAR:DB_TYPE=&amp;VAR:UNITS=M&amp;window=popup&amp;width=450&amp;height=300&amp;START_MAXIMIZED=FALSE"}</definedName>
    <definedName name="_22__FDSAUDITLINK___2" hidden="1">{"fdsup://IBCentral/FAT Viewer?action=UPDATE&amp;creator=factset&amp;DOC_NAME=fat:reuters_semi_source_window.fat&amp;display_string=Audit&amp;DYN_ARGS=TRUE&amp;VAR:ID1=WMGI&amp;VAR:RCODE=FDSPFDSTKTOTAL&amp;VAR:SDATE=0&amp;VAR:FREQ=FSA&amp;VAR:RELITEM=RP&amp;VAR:CURRENCY=&amp;VAR:CURRSOURCE=EXSHARE&amp;VA","R:NATFREQ=FSA&amp;VAR:RFIELD=FINALIZED&amp;VAR:DB_TYPE=&amp;VAR:UNITS=M&amp;window=popup&amp;width=450&amp;height=300&amp;START_MAXIMIZED=FALSE"}</definedName>
    <definedName name="_220__FDSAUDITLINK__" hidden="1">{"fdsup://IBCentral/FAT Viewer?action=UPDATE&amp;creator=factset&amp;DOC_NAME=fat:reuters_annual_source_window.fat&amp;display_string=Audit&amp;DYN_ARGS=TRUE&amp;VAR:ID1=03525510&amp;VAR:RCODE=SCSI&amp;VAR:SDATE=20081299&amp;VAR:FREQ=FISCAL_YEARLY&amp;VAR:RELITEM=NOAUDIT&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42840B10&amp;VAR:RCODE=SCSI&amp;VAR:SDATE=20080499&amp;VAR:FREQ=FISCAL_YEARLY&amp;VAR:RELITEM=NOAUDIT&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74835Y10&amp;VAR:RCODE=SCSI&amp;VAR:SDATE=20081299&amp;VAR:FREQ=FISCAL_YEARLY&amp;VAR:RELITEM=NOAUDIT&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67000910&amp;VAR:RCODE=SCSI&amp;VAR:SDATE=20081299&amp;VAR:FREQ=FISCAL_YEARLY&amp;VAR:RELITEM=NOAUDIT&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86490910&amp;VAR:RCODE=SCSI&amp;VAR:SDATE=20081299&amp;VAR:FREQ=FISCAL_YEARLY&amp;VAR:RELITEM=NOAUDIT&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29089Q10&amp;VAR:RCODE=SCSI&amp;VAR:SDATE=20081299&amp;VAR:FREQ=FISCAL_YEARLY&amp;VAR:RELITEM=NOAUDIT&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68339910&amp;VAR:RCODE=SCSI&amp;VAR:SDATE=20081299&amp;VAR:FREQ=FISCAL_YEARLY&amp;VAR:RELITEM=NOAUDIT&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45256B10&amp;VAR:RCODE=SCSI&amp;VAR:SDATE=20081299&amp;VAR:FREQ=FISCAL_YEARLY&amp;VAR:RELITEM=NOAUDIT&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92824110&amp;VAR:RCODE=SCSI&amp;VAR:SDATE=20081299&amp;VAR:FREQ=FISCAL_YEARLY&amp;VAR:RELITEM=NOAUDIT&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01642T10&amp;VAR:RCODE=SCSI&amp;VAR:SDATE=20080399&amp;VAR:FREQ=FISCAL_YEARLY&amp;VAR:RELITEM=NOAUDIT&amp;VAR:CURRENCY=&amp;VAR:CUR","RSOURCE=EXSHARE&amp;VAR:NATFREQ=ANNUAL&amp;VAR:RFIELD=FINALIZED&amp;VAR:DB_TYPE=&amp;VAR:UNITS=M&amp;window=popup&amp;width=450&amp;height=300&amp;START_MAXIMIZED=FALSE"}</definedName>
    <definedName name="_23__123Graph_BCHART_2" hidden="1">#REF!</definedName>
    <definedName name="_23__123Graph_CCHART_2" hidden="1">#REF!</definedName>
    <definedName name="_23__123Graph_XCHART_1" hidden="1">#REF!</definedName>
    <definedName name="_23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6"}</definedName>
    <definedName name="_23__FDSAUDITLINK___1" hidden="1">{"fdsup://IBCentral/FAT Viewer?action=UPDATE&amp;creator=factset&amp;DOC_NAME=fat:reuters_qtrly_source_window.fat&amp;display_string=Audit&amp;DYN_ARGS=TRUE&amp;VAR:ID1=N6748L10&amp;VAR:RCODE=STLD&amp;VAR:SDATE=20100699&amp;VAR:FREQ=Quarterly&amp;VAR:RELITEM=RP&amp;VAR:CURRENCY=&amp;VAR:CURRSOURCE=EX","SHARE&amp;VAR:NATFREQ=QUARTERLY&amp;VAR:RFIELD=FINALIZED&amp;VAR:DB_TYPE=&amp;VAR:UNITS=M&amp;window=popup&amp;width=450&amp;height=300&amp;START_MAXIMIZED=FALSE"}</definedName>
    <definedName name="_23__FDSAUDITLINK___2" hidden="1">{"fdsup://IBCentral/FAT Viewer?action=UPDATE&amp;creator=factset&amp;DOC_NAME=fat:reuters_qtrly_source_window.fat&amp;display_string=Audit&amp;DYN_ARGS=TRUE&amp;VAR:ID1=N6748L10&amp;VAR:RCODE=STLD&amp;VAR:SDATE=20100699&amp;VAR:FREQ=Quarterly&amp;VAR:RELITEM=RP&amp;VAR:CURRENCY=&amp;VAR:CURRSOURCE=EX","SHARE&amp;VAR:NATFREQ=QUARTERLY&amp;VAR:RFIELD=FINALIZED&amp;VAR:DB_TYPE=&amp;VAR:UNITS=M&amp;window=popup&amp;width=450&amp;height=300&amp;START_MAXIMIZED=FALSE"}</definedName>
    <definedName name="_230__FDSAUDITLINK__" hidden="1">{"fdsup://IBCentral/FAT Viewer?action=UPDATE&amp;creator=factset&amp;DOC_NAME=fat:reuters_annual_source_window.fat&amp;display_string=Audit&amp;DYN_ARGS=TRUE&amp;VAR:ID1=01535110&amp;VAR:RCODE=SCSI&amp;VAR:SDATE=20081299&amp;VAR:FREQ=FISCAL_YEARLY&amp;VAR:RELITEM=NOAUDIT&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09061G10&amp;VAR:RCODE=SCSI&amp;VAR:SDATE=20081299&amp;VAR:FREQ=FISCAL_YEARLY&amp;VAR:RELITEM=NOAUDIT&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69329Y10&amp;VAR:RCODE=SCSI&amp;VAR:SDATE=20081299&amp;VAR:FREQ=FISCAL_YEARLY&amp;VAR:RELITEM=NOAUDIT&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67104010&amp;VAR:RCODE=SCSI&amp;VAR:SDATE=20081299&amp;VAR:FREQ=FISCAL_YEARLY&amp;VAR:RELITEM=NOAUDIT&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14075T10&amp;VAR:RCODE=SCSI&amp;VAR:SDATE=20080399&amp;VAR:FREQ=FISCAL_YEARLY&amp;VAR:RELITEM=NOAUDIT&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22967810&amp;VAR:RCODE=SCSI&amp;VAR:SDATE=20081299&amp;VAR:FREQ=FISCAL_YEARLY&amp;VAR:RELITEM=NOAUDIT&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58469030&amp;VAR:RCODE=SCSI&amp;VAR:SDATE=20081299&amp;VAR:FREQ=FISCAL_YEARLY&amp;VAR:RELITEM=NOAUDIT&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29264F20&amp;VAR:RCODE=SCSI&amp;VAR:SDATE=20081299&amp;VAR:FREQ=FISCAL_YEARLY&amp;VAR:RELITEM=NOAUDIT&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81731510&amp;VAR:RCODE=SCSI&amp;VAR:SDATE=20081299&amp;VAR:FREQ=FISCAL_YEARLY&amp;VAR:RELITEM=NOAUDIT&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71429010&amp;VAR:RCODE=SCSI&amp;VAR:SDATE=20080699&amp;VAR:FREQ=FISCAL_YEARLY&amp;VAR:RELITEM=NOAUDIT&amp;VAR:CURRENCY=&amp;VAR:CUR","RSOURCE=EXSHARE&amp;VAR:NATFREQ=ANNUAL&amp;VAR:RFIELD=FINALIZED&amp;VAR:DB_TYPE=&amp;VAR:UNITS=M&amp;window=popup&amp;width=450&amp;height=300&amp;START_MAXIMIZED=FALSE"}</definedName>
    <definedName name="_24__123Graph_XCHART_12" hidden="1">#REF!</definedName>
    <definedName name="_24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0"}</definedName>
    <definedName name="_24__FDSAUDITLINK___1" hidden="1">{"fdsup://IBCentral/FAT Viewer?action=UPDATE&amp;creator=factset&amp;DOC_NAME=fat:reuters_qtrly_source_window.fat&amp;display_string=Audit&amp;DYN_ARGS=TRUE&amp;VAR:ID1=98235T10&amp;VAR:RCODE=STLD&amp;VAR:SDATE=20100699&amp;VAR:FREQ=Quarterly&amp;VAR:RELITEM=RP&amp;VAR:CURRENCY=&amp;VAR:CURRSOURCE=EX","SHARE&amp;VAR:NATFREQ=QUARTERLY&amp;VAR:RFIELD=FINALIZED&amp;VAR:DB_TYPE=&amp;VAR:UNITS=M&amp;window=popup&amp;width=450&amp;height=300&amp;START_MAXIMIZED=FALSE"}</definedName>
    <definedName name="_24__FDSAUDITLINK___2" hidden="1">{"fdsup://IBCentral/FAT Viewer?action=UPDATE&amp;creator=factset&amp;DOC_NAME=fat:reuters_qtrly_source_window.fat&amp;display_string=Audit&amp;DYN_ARGS=TRUE&amp;VAR:ID1=98235T10&amp;VAR:RCODE=STLD&amp;VAR:SDATE=20100699&amp;VAR:FREQ=Quarterly&amp;VAR:RELITEM=RP&amp;VAR:CURRENCY=&amp;VAR:CURRSOURCE=EX","SHARE&amp;VAR:NATFREQ=QUARTERLY&amp;VAR:RFIELD=FINALIZED&amp;VAR:DB_TYPE=&amp;VAR:UNITS=M&amp;window=popup&amp;width=450&amp;height=300&amp;START_MAXIMIZED=FALSE"}</definedName>
    <definedName name="_240__FDSAUDITLINK__" hidden="1">{"fdsup://IBCentral/FAT Viewer?action=UPDATE&amp;creator=factset&amp;DOC_NAME=fat:reuters_annual_source_window.fat&amp;display_string=Audit&amp;DYN_ARGS=TRUE&amp;VAR:ID1=15670810&amp;VAR:RCODE=SCSI&amp;VAR:SDATE=20081299&amp;VAR:FREQ=FISCAL_YEARLY&amp;VAR:RELITEM=NOAUDIT&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94268310&amp;VAR:RCODE=SCSI&amp;VAR:SDATE=20081299&amp;VAR:FREQ=FISCAL_YEARLY&amp;VAR:RELITEM=NOAUDIT&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34583810&amp;VAR:RCODE=SCSI&amp;VAR:SDATE=20080399&amp;VAR:FREQ=FISCAL_YEARLY&amp;VAR:RELITEM=NOAUDIT&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09062X10&amp;VAR:RCODE=SCSI&amp;VAR:SDATE=20081299&amp;VAR:FREQ=FISCAL_YEARLY&amp;VAR:RELITEM=NOAUDIT&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01849010&amp;VAR:RCODE=SCSI&amp;VAR:SDATE=20081299&amp;VAR:FREQ=FISCAL_YEARLY&amp;VAR:RELITEM=NOAUDIT&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37291710&amp;VAR:RCODE=SCSI&amp;VAR:SDATE=20081299&amp;VAR:FREQ=FISCAL_YEARLY&amp;VAR:RELITEM=NOAUDIT&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37555810&amp;VAR:RCODE=SCSI&amp;VAR:SDATE=20081299&amp;VAR:FREQ=FISCAL_YEARLY&amp;VAR:RELITEM=NOAUDIT&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03116210&amp;VAR:RCODE=SCSI&amp;VAR:SDATE=20081299&amp;VAR:FREQ=FISCAL_YEARLY&amp;VAR:RELITEM=NOAUDIT&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24990810&amp;VAR:RCODE=SCSI&amp;VAR:SDATE=20081299&amp;VAR:FREQ=FISCAL_YEARLY&amp;VAR:RELITEM=NOAUDIT&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19777910&amp;VAR:RCODE=SCSI&amp;VAR:SDATE=20081299&amp;VAR:FREQ=FISCAL_YEARLY&amp;VAR:RELITEM=NOAUDIT&amp;VAR:CURRENCY=&amp;VAR:CUR","RSOURCE=EXSHARE&amp;VAR:NATFREQ=ANNUAL&amp;VAR:RFIELD=FINALIZED&amp;VAR:DB_TYPE=&amp;VAR:UNITS=M&amp;window=popup&amp;width=450&amp;height=300&amp;START_MAXIMIZED=FALSE"}</definedName>
    <definedName name="_25__123Graph_CCHART_3" hidden="1">#REF!</definedName>
    <definedName name="_25__123Graph_DCHART_1" hidden="1">#N/A</definedName>
    <definedName name="_25__123Graph_XCHART_13" hidden="1">#REF!</definedName>
    <definedName name="_25__FDSAUDITLINK__" hidden="1">{"fdsup://IBCentral/FAT Viewer?action=UPDATE&amp;creator=factset&amp;DOC_NAME=fat:reuters_annual_source_window.fat&amp;display_string=Audit&amp;DYN_ARGS=TRUE&amp;VAR:ID1=30231G10&amp;VAR:RCODE=QTLE&amp;VAR:SDATE=20041299&amp;VAR:FREQ=Y&amp;VAR:RELITEM=RP&amp;VAR:CURRENCY=&amp;VAR:CURRSOURCE=EXSHARE&amp;V","AR:NATFREQ=ANNUAL&amp;VAR:RFIELD=FINALIZED&amp;VAR:DB_TYPE=&amp;VAR:UNITS=M&amp;window=popup&amp;width=450&amp;height=300&amp;START_MAXIMIZED=FALSE"}</definedName>
    <definedName name="_25__FDSAUDITLINK___1" hidden="1">{"fdsup://IBCentral/FAT Viewer?action=UPDATE&amp;creator=factset&amp;DOC_NAME=fat:reuters_qtrly_source_window.fat&amp;display_string=Audit&amp;DYN_ARGS=TRUE&amp;VAR:ID1=B2QKY0&amp;VAR:RCODE=STLD&amp;VAR:SDATE=20100699&amp;VAR:FREQ=Quarterly&amp;VAR:RELITEM=RP&amp;VAR:CURRENCY=&amp;VAR:CURRSOURCE=EXSH","ARE&amp;VAR:NATFREQ=QUARTERLY&amp;VAR:RFIELD=FINALIZED&amp;VAR:DB_TYPE=&amp;VAR:UNITS=M&amp;window=popup&amp;width=450&amp;height=300&amp;START_MAXIMIZED=FALSE"}</definedName>
    <definedName name="_25__FDSAUDITLINK___2" hidden="1">{"fdsup://IBCentral/FAT Viewer?action=UPDATE&amp;creator=factset&amp;DOC_NAME=fat:reuters_qtrly_source_window.fat&amp;display_string=Audit&amp;DYN_ARGS=TRUE&amp;VAR:ID1=B2QKY0&amp;VAR:RCODE=STLD&amp;VAR:SDATE=20100699&amp;VAR:FREQ=Quarterly&amp;VAR:RELITEM=RP&amp;VAR:CURRENCY=&amp;VAR:CURRSOURCE=EXSH","ARE&amp;VAR:NATFREQ=QUARTERLY&amp;VAR:RFIELD=FINALIZED&amp;VAR:DB_TYPE=&amp;VAR:UNITS=M&amp;window=popup&amp;width=450&amp;height=300&amp;START_MAXIMIZED=FALSE"}</definedName>
    <definedName name="_250__FDSAUDITLINK__" hidden="1">{"fdsup://IBCentral/FAT Viewer?action=UPDATE&amp;creator=factset&amp;DOC_NAME=fat:reuters_annual_source_window.fat&amp;display_string=Audit&amp;DYN_ARGS=TRUE&amp;VAR:ID1=00484M10&amp;VAR:RCODE=SCSI&amp;VAR:SDATE=20081299&amp;VAR:FREQ=FISCAL_YEARLY&amp;VAR:RELITEM=NOAUDIT&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annual_source_window.fat&amp;display_string=Audit&amp;DYN_ARGS=TRUE&amp;VAR:ID1=45884X10&amp;VAR:RCODE=SCSI&amp;VAR:SDATE=20081299&amp;VAR:FREQ=FISCAL_YEARLY&amp;VAR:RELITEM=NOAUDIT&amp;VAR:CURRENCY=&amp;VAR:CUR","RSOURCE=EXSHARE&amp;VAR:NATFREQ=ANNUAL&amp;VAR:RFIELD=FINALIZED&amp;VAR:DB_TYPE=&amp;VAR:UNITS=M&amp;window=popup&amp;width=450&amp;height=300&amp;START_MAXIMIZED=FALSE"}</definedName>
    <definedName name="_252__FDSAUDITLINK__" hidden="1">{"fdsup://IBCentral/FAT Viewer?action=UPDATE&amp;creator=factset&amp;DOC_NAME=fat:reuters_annual_source_window.fat&amp;display_string=Audit&amp;DYN_ARGS=TRUE&amp;VAR:ID1=00724X10&amp;VAR:RCODE=SCSI&amp;VAR:SDATE=20081299&amp;VAR:FREQ=FISCAL_YEARLY&amp;VAR:RELITEM=NOAUDIT&amp;VAR:CURRENCY=&amp;VAR:CUR","RSOURCE=EXSHARE&amp;VAR:NATFREQ=ANNUAL&amp;VAR:RFIELD=FINALIZED&amp;VAR:DB_TYPE=&amp;VAR:UNITS=M&amp;window=popup&amp;width=450&amp;height=300&amp;START_MAXIMIZED=FALSE"}</definedName>
    <definedName name="_253__FDSAUDITLINK__" hidden="1">{"fdsup://IBCentral/FAT Viewer?action=UPDATE&amp;creator=factset&amp;DOC_NAME=fat:reuters_annual_source_window.fat&amp;display_string=Audit&amp;DYN_ARGS=TRUE&amp;VAR:ID1=80862K10&amp;VAR:RCODE=SCSI&amp;VAR:SDATE=20081299&amp;VAR:FREQ=FISCAL_YEARLY&amp;VAR:RELITEM=NOAUDIT&amp;VAR:CURRENCY=&amp;VAR:CUR","RSOURCE=EXSHARE&amp;VAR:NATFREQ=ANNUAL&amp;VAR:RFIELD=FINALIZED&amp;VAR:DB_TYPE=&amp;VAR:UNITS=M&amp;window=popup&amp;width=450&amp;height=300&amp;START_MAXIMIZED=FALSE"}</definedName>
    <definedName name="_254__FDSAUDITLINK__" hidden="1">{"fdsup://IBCentral/FAT Viewer?action=UPDATE&amp;creator=factset&amp;DOC_NAME=fat:reuters_annual_source_window.fat&amp;display_string=Audit&amp;DYN_ARGS=TRUE&amp;VAR:ID1=73941U10&amp;VAR:RCODE=SCSI&amp;VAR:SDATE=20081299&amp;VAR:FREQ=FISCAL_YEARLY&amp;VAR:RELITEM=NOAUDIT&amp;VAR:CURRENCY=&amp;VAR:CUR","RSOURCE=EXSHARE&amp;VAR:NATFREQ=ANNUAL&amp;VAR:RFIELD=FINALIZED&amp;VAR:DB_TYPE=&amp;VAR:UNITS=M&amp;window=popup&amp;width=450&amp;height=300&amp;START_MAXIMIZED=FALSE"}</definedName>
    <definedName name="_255__FDSAUDITLINK__" hidden="1">{"fdsup://IBCentral/FAT Viewer?action=UPDATE&amp;creator=factset&amp;DOC_NAME=fat:reuters_annual_source_window.fat&amp;display_string=Audit&amp;DYN_ARGS=TRUE&amp;VAR:ID1=09065G10&amp;VAR:RCODE=SCSI&amp;VAR:SDATE=20080699&amp;VAR:FREQ=FISCAL_YEARLY&amp;VAR:RELITEM=NOAUDIT&amp;VAR:CURRENCY=&amp;VAR:CUR","RSOURCE=EXSHARE&amp;VAR:NATFREQ=ANNUAL&amp;VAR:RFIELD=FINALIZED&amp;VAR:DB_TYPE=&amp;VAR:UNITS=M&amp;window=popup&amp;width=450&amp;height=300&amp;START_MAXIMIZED=FALSE"}</definedName>
    <definedName name="_256__FDSAUDITLINK__" hidden="1">{"fdsup://IBCentral/FAT Viewer?action=UPDATE&amp;creator=factset&amp;DOC_NAME=fat:reuters_annual_source_window.fat&amp;display_string=Audit&amp;DYN_ARGS=TRUE&amp;VAR:ID1=74318710&amp;VAR:RCODE=SCSI&amp;VAR:SDATE=20081299&amp;VAR:FREQ=FISCAL_YEARLY&amp;VAR:RELITEM=NOAUDIT&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G9825R10&amp;VAR:RCODE=SCSI&amp;VAR:SDATE=20081299&amp;VAR:FREQ=FISCAL_YEARLY&amp;VAR:RELITEM=NOAUDIT&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annual_source_window.fat&amp;display_string=Audit&amp;DYN_ARGS=TRUE&amp;VAR:ID1=45773310&amp;VAR:RCODE=SCSI&amp;VAR:SDATE=20081299&amp;VAR:FREQ=FISCAL_YEARLY&amp;VAR:RELITEM=NOAUDIT&amp;VAR:CURRENCY=&amp;VAR:CUR","RSOURCE=EXSHARE&amp;VAR:NATFREQ=ANNUAL&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98985T10&amp;VAR:RCODE=SCSI&amp;VAR:SDATE=20081299&amp;VAR:FREQ=FISCAL_YEARLY&amp;VAR:RELITEM=NOAUDIT&amp;VAR:CURRENCY=&amp;VAR:CUR","RSOURCE=EXSHARE&amp;VAR:NATFREQ=ANNUAL&amp;VAR:RFIELD=FINALIZED&amp;VAR:DB_TYPE=&amp;VAR:UNITS=M&amp;window=popup&amp;width=450&amp;height=300&amp;START_MAXIMIZED=FALSE"}</definedName>
    <definedName name="_26__123Graph_DCHART_2" hidden="1">#REF!</definedName>
    <definedName name="_26__123Graph_XCHART_14" hidden="1">#REF!</definedName>
    <definedName name="_26__FDSAUDITLINK__" hidden="1">{"fdsup://IBCentral/FAT Viewer?action=UPDATE&amp;creator=factset&amp;DOC_NAME=fat:reuters_annual_source_window.fat&amp;display_string=Audit&amp;DYN_ARGS=TRUE&amp;VAR:ID1=30231G10&amp;VAR:RCODE=QTLE&amp;VAR:SDATE=20031299&amp;VAR:FREQ=Y&amp;VAR:RELITEM=RP&amp;VAR:CURRENCY=&amp;VAR:CURRSOURCE=EXSHARE&amp;V","AR:NATFREQ=ANNUAL&amp;VAR:RFIELD=FINALIZED&amp;VAR:DB_TYPE=&amp;VAR:UNITS=M&amp;window=popup&amp;width=450&amp;height=300&amp;START_MAXIMIZED=FALSE"}</definedName>
    <definedName name="_26__FDSAUDITLINK___1" hidden="1">{"fdsup://IBCentral/FAT Viewer?action=UPDATE&amp;creator=factset&amp;DOC_NAME=fat:reuters_qtrly_source_window.fat&amp;display_string=Audit&amp;DYN_ARGS=TRUE&amp;VAR:ID1=B1CC9H&amp;VAR:RCODE=STLD&amp;VAR:SDATE=20100699&amp;VAR:FREQ=Quarterly&amp;VAR:RELITEM=RP&amp;VAR:CURRENCY=&amp;VAR:CURRSOURCE=EXSH","ARE&amp;VAR:NATFREQ=QUARTERLY&amp;VAR:RFIELD=FINALIZED&amp;VAR:DB_TYPE=&amp;VAR:UNITS=M&amp;window=popup&amp;width=450&amp;height=300&amp;START_MAXIMIZED=FALSE"}</definedName>
    <definedName name="_26__FDSAUDITLINK___2" hidden="1">{"fdsup://IBCentral/FAT Viewer?action=UPDATE&amp;creator=factset&amp;DOC_NAME=fat:reuters_qtrly_source_window.fat&amp;display_string=Audit&amp;DYN_ARGS=TRUE&amp;VAR:ID1=B1CC9H&amp;VAR:RCODE=STLD&amp;VAR:SDATE=20100699&amp;VAR:FREQ=Quarterly&amp;VAR:RELITEM=RP&amp;VAR:CURRENCY=&amp;VAR:CURRSOURCE=EXSH","ARE&amp;VAR:NATFREQ=QUARTERLY&amp;VAR:RFIELD=FINALIZED&amp;VAR:DB_TYPE=&amp;VAR:UNITS=M&amp;window=popup&amp;width=450&amp;height=300&amp;START_MAXIMIZED=FALSE"}</definedName>
    <definedName name="_260__FDSAUDITLINK__" hidden="1">{"fdsup://IBCentral/FAT Viewer?action=UPDATE&amp;creator=factset&amp;DOC_NAME=fat:reuters_annual_source_window.fat&amp;display_string=Audit&amp;DYN_ARGS=TRUE&amp;VAR:ID1=45031X20&amp;VAR:RCODE=SCSI&amp;VAR:SDATE=20081299&amp;VAR:FREQ=FISCAL_YEARLY&amp;VAR:RELITEM=NOAUDIT&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64026810&amp;VAR:RCODE=SCSI&amp;VAR:SDATE=20081299&amp;VAR:FREQ=FISCAL_YEARLY&amp;VAR:RELITEM=NOAUDIT&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00972810&amp;VAR:RCODE=SCSI&amp;VAR:SDATE=20081299&amp;VAR:FREQ=FISCAL_YEARLY&amp;VAR:RELITEM=NOAUDIT&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62936P10&amp;VAR:RCODE=SCSI&amp;VAR:SDATE=20081299&amp;VAR:FREQ=FISCAL_YEARLY&amp;VAR:RELITEM=NOAUDIT&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46433010&amp;VAR:RCODE=SCSI&amp;VAR:SDATE=20081299&amp;VAR:FREQ=FISCAL_YEARLY&amp;VAR:RELITEM=NOAUDIT&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05334D10&amp;VAR:RCODE=SCSI&amp;VAR:SDATE=20081299&amp;VAR:FREQ=FISCAL_YEARLY&amp;VAR:RELITEM=NOAUDIT&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80281730&amp;VAR:RCODE=SCSI&amp;VAR:SDATE=20081299&amp;VAR:FREQ=FISCAL_YEARLY&amp;VAR:RELITEM=NOAUDIT&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12666710&amp;VAR:RCODE=SCSI&amp;VAR:SDATE=20081299&amp;VAR:FREQ=FISCAL_YEARLY&amp;VAR:RELITEM=NOAUDIT&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92532F10&amp;VAR:RCODE=SCSI&amp;VAR:SDATE=20081299&amp;VAR:FREQ=FISCAL_YEARLY&amp;VAR:RELITEM=NOAUDIT&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79543510&amp;VAR:RCODE=SCSI&amp;VAR:SDATE=20081299&amp;VAR:FREQ=FISCAL_YEARLY&amp;VAR:RELITEM=NOAUDIT&amp;VAR:CURRENCY=&amp;VAR:CUR","RSOURCE=EXSHARE&amp;VAR:NATFREQ=ANNUAL&amp;VAR:RFIELD=FINALIZED&amp;VAR:DB_TYPE=&amp;VAR:UNITS=M&amp;window=popup&amp;width=450&amp;height=300&amp;START_MAXIMIZED=FALSE"}</definedName>
    <definedName name="_27__123Graph_DCHART_3" hidden="1">#REF!</definedName>
    <definedName name="_27__123Graph_LBL_ACHART_1" hidden="1">#N/A</definedName>
    <definedName name="_27__123Graph_XCHART_2" hidden="1">#REF!</definedName>
    <definedName name="_27__FDSAUDITLINK__" hidden="1">{"fdsup://IBCentral/FAT Viewer?action=UPDATE&amp;creator=factset&amp;DOC_NAME=fat:reuters_annual_source_window.fat&amp;display_string=Audit&amp;DYN_ARGS=TRUE&amp;VAR:ID1=30231G10&amp;VAR:RCODE=FDSPFDSTKTOTAL&amp;VAR:SDATE=20071299&amp;VAR:FREQ=Y&amp;VAR:RELITEM=RP&amp;VAR:CURRENCY=&amp;VAR:CURRSOURCE","=EXSHARE&amp;VAR:NATFREQ=ANNUAL&amp;VAR:RFIELD=FINALIZED&amp;VAR:DB_TYPE=&amp;VAR:UNITS=M&amp;window=popup&amp;width=450&amp;height=300&amp;START_MAXIMIZED=FALSE"}</definedName>
    <definedName name="_27__FDSAUDITLINK___1" hidden="1">{"fdsup://IBCentral/FAT Viewer?action=UPDATE&amp;creator=factset&amp;DOC_NAME=fat:reuters_qtrly_source_window.fat&amp;display_string=Audit&amp;DYN_ARGS=TRUE&amp;VAR:ID1=37555810&amp;VAR:RCODE=STLD&amp;VAR:SDATE=20100699&amp;VAR:FREQ=Quarterly&amp;VAR:RELITEM=RP&amp;VAR:CURRENCY=&amp;VAR:CURRSOURCE=EX","SHARE&amp;VAR:NATFREQ=QUARTERLY&amp;VAR:RFIELD=FINALIZED&amp;VAR:DB_TYPE=&amp;VAR:UNITS=M&amp;window=popup&amp;width=450&amp;height=300&amp;START_MAXIMIZED=FALSE"}</definedName>
    <definedName name="_27__FDSAUDITLINK___2" hidden="1">{"fdsup://IBCentral/FAT Viewer?action=UPDATE&amp;creator=factset&amp;DOC_NAME=fat:reuters_qtrly_source_window.fat&amp;display_string=Audit&amp;DYN_ARGS=TRUE&amp;VAR:ID1=37555810&amp;VAR:RCODE=STLD&amp;VAR:SDATE=20100699&amp;VAR:FREQ=Quarterly&amp;VAR:RELITEM=RP&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annual_source_window.fat&amp;display_string=Audit&amp;DYN_ARGS=TRUE&amp;VAR:ID1=29390410&amp;VAR:RCODE=SCSI&amp;VAR:SDATE=20081299&amp;VAR:FREQ=FISCAL_YEARLY&amp;VAR:RELITEM=NOAUDIT&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75886F10&amp;VAR:RCODE=SCSI&amp;VAR:SDATE=20081299&amp;VAR:FREQ=FISCAL_YEARLY&amp;VAR:RELITEM=NOAUDIT&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91307C10&amp;VAR:RCODE=SCSI&amp;VAR:SDATE=20081299&amp;VAR:FREQ=FISCAL_YEARLY&amp;VAR:RELITEM=NOAUDIT&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00383Y10&amp;VAR:RCODE=SCSI&amp;VAR:SDATE=20081299&amp;VAR:FREQ=FISCAL_YEARLY&amp;VAR:RELITEM=NOAUDIT&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58468810&amp;VAR:RCODE=SCSI&amp;VAR:SDATE=20081299&amp;VAR:FREQ=FISCAL_YEARLY&amp;VAR:RELITEM=NOAUDIT&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69888P10&amp;VAR:RCODE=SCSI&amp;VAR:SDATE=20081299&amp;VAR:FREQ=FISCAL_YEARLY&amp;VAR:RELITEM=NOAUDIT&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91911X10&amp;VAR:RCODE=SCSI&amp;VAR:SDATE=20081299&amp;VAR:FREQ=FISCAL_YEARLY&amp;VAR:RELITEM=NOAUDIT&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03234610&amp;VAR:RCODE=SCSI&amp;VAR:SDATE=20081299&amp;VAR:FREQ=FISCAL_YEARLY&amp;VAR:RELITEM=NOAUDIT&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G9435N10&amp;VAR:RCODE=SCSI&amp;VAR:SDATE=20081299&amp;VAR:FREQ=FISCAL_YEARLY&amp;VAR:RELITEM=NOAUDIT&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49558210&amp;VAR:RCODE=SCSI&amp;VAR:SDATE=20081299&amp;VAR:FREQ=FISCAL_YEARLY&amp;VAR:RELITEM=NOAUDIT&amp;VAR:CURRENCY=&amp;VAR:CUR","RSOURCE=EXSHARE&amp;VAR:NATFREQ=ANNUAL&amp;VAR:RFIELD=FINALIZED&amp;VAR:DB_TYPE=&amp;VAR:UNITS=M&amp;window=popup&amp;width=450&amp;height=300&amp;START_MAXIMIZED=FALSE"}</definedName>
    <definedName name="_28__123Graph_LBL_ACHART_2" hidden="1">#REF!</definedName>
    <definedName name="_28__FDSAUDITLINK__" hidden="1">{"fdsup://IBCentral/FAT Viewer?action=UPDATE&amp;creator=factset&amp;DOC_NAME=fat:reuters_annual_source_window.fat&amp;display_string=Audit&amp;DYN_ARGS=TRUE&amp;VAR:ID1=30231G10&amp;VAR:RCODE=FDSPFDSTKTOTAL&amp;VAR:SDATE=20061299&amp;VAR:FREQ=Y&amp;VAR:RELITEM=RP&amp;VAR:CURRENCY=&amp;VAR:CURRSOURCE","=EXSHARE&amp;VAR:NATFREQ=ANNUAL&amp;VAR:RFIELD=FINALIZED&amp;VAR:DB_TYPE=&amp;VAR:UNITS=M&amp;window=popup&amp;width=450&amp;height=300&amp;START_MAXIMIZED=FALSE"}</definedName>
    <definedName name="_28__FDSAUDITLINK___1" hidden="1">{"fdsup://IBCentral/FAT Viewer?action=UPDATE&amp;creator=factset&amp;DOC_NAME=fat:reuters_semi_source_window.fat&amp;display_string=Audit&amp;DYN_ARGS=TRUE&amp;VAR:ID1=B2QKY0&amp;VAR:RCODE=FDSPFDSTKTOTAL&amp;VAR:SDATE=20061299&amp;VAR:FREQ=FSA&amp;VAR:RELITEM=RP&amp;VAR:CURRENCY=&amp;VAR:CURRSOURCE=E","XSHARE&amp;VAR:NATFREQ=FSA&amp;VAR:RFIELD=FINALIZED&amp;VAR:DB_TYPE=&amp;VAR:UNITS=M&amp;window=popup&amp;width=450&amp;height=300&amp;START_MAXIMIZED=FALSE"}</definedName>
    <definedName name="_28__FDSAUDITLINK___2" hidden="1">{"fdsup://IBCentral/FAT Viewer?action=UPDATE&amp;creator=factset&amp;DOC_NAME=fat:reuters_semi_source_window.fat&amp;display_string=Audit&amp;DYN_ARGS=TRUE&amp;VAR:ID1=B2QKY0&amp;VAR:RCODE=FDSPFDSTKTOTAL&amp;VAR:SDATE=20061299&amp;VAR:FREQ=FSA&amp;VAR:RELITEM=RP&amp;VAR:CURRENCY=&amp;VAR:CURRSOURCE=E","XSHARE&amp;VAR:NATFREQ=FSA&amp;VAR:RFIELD=FINALIZED&amp;VAR:DB_TYPE=&amp;VAR:UNITS=M&amp;window=popup&amp;width=450&amp;height=300&amp;START_MAXIMIZED=FALSE"}</definedName>
    <definedName name="_280__FDSAUDITLINK__" hidden="1">{"fdsup://IBCentral/FAT Viewer?action=UPDATE&amp;creator=factset&amp;DOC_NAME=fat:reuters_annual_source_window.fat&amp;display_string=Audit&amp;DYN_ARGS=TRUE&amp;VAR:ID1=15102010&amp;VAR:RCODE=SCSI&amp;VAR:SDATE=20081299&amp;VAR:FREQ=FISCAL_YEARLY&amp;VAR:RELITEM=NOAUDIT&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62853010&amp;VAR:RCODE=SCSI&amp;VAR:SDATE=20081299&amp;VAR:FREQ=FISCAL_YEARLY&amp;VAR:RELITEM=NOAUDIT&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82481R10&amp;VAR:RCODE=SALES&amp;VAR:SDATE=20081299&amp;VAR:FREQ=FISCAL_YEARLY&amp;VAR:RELITEM=NOAUDIT&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77119510&amp;VAR:RCODE=SALES&amp;VAR:SDATE=20081299&amp;VAR:FREQ=FISCAL_YEARLY&amp;VAR:RELITEM=NOAUDIT&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66987V10&amp;VAR:RCODE=SALES&amp;VAR:SDATE=20081299&amp;VAR:FREQ=FISCAL_YEARLY&amp;VAR:RELITEM=NOAUDIT&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67010020&amp;VAR:RCODE=SALES&amp;VAR:SDATE=20081299&amp;VAR:FREQ=FISCAL_YEARLY&amp;VAR:RELITEM=NOAUDIT&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37733W10&amp;VAR:RCODE=SALES&amp;VAR:SDATE=20081299&amp;VAR:FREQ=FISCAL_YEARLY&amp;VAR:RELITEM=NOAUDIT&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04635310&amp;VAR:RCODE=SALES&amp;VAR:SDATE=20081299&amp;VAR:FREQ=FISCAL_YEARLY&amp;VAR:RELITEM=NOAUDIT&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69888P10&amp;VAR:RCODE=SALES&amp;VAR:SDATE=20081299&amp;VAR:FREQ=FISCAL_YEARLY&amp;VAR:RELITEM=NOAUDIT&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58469030&amp;VAR:RCODE=SALES&amp;VAR:SDATE=20081299&amp;VAR:FREQ=FISCAL_YEARLY&amp;VAR:RELITEM=NOAUDIT&amp;VAR:CURRENCY=&amp;VAR:CU","RRSOURCE=EXSHARE&amp;VAR:NATFREQ=ANNUAL&amp;VAR:RFIELD=FINALIZED&amp;VAR:DB_TYPE=&amp;VAR:UNITS=M&amp;window=popup&amp;width=450&amp;height=300&amp;START_MAXIMIZED=FALSE"}</definedName>
    <definedName name="_29__123Graph_DCHART_4" hidden="1">#REF!</definedName>
    <definedName name="_29__FDSAUDITLINK__" hidden="1">{"fdsup://IBCentral/FAT Viewer?action=UPDATE&amp;creator=factset&amp;DOC_NAME=fat:reuters_annual_source_window.fat&amp;display_string=Audit&amp;DYN_ARGS=TRUE&amp;VAR:ID1=30231G10&amp;VAR:RCODE=FDSPFDSTKTOTAL&amp;VAR:SDATE=20051299&amp;VAR:FREQ=Y&amp;VAR:RELITEM=RP&amp;VAR:CURRENCY=&amp;VAR:CURRSOURCE","=EXSHARE&amp;VAR:NATFREQ=ANNUAL&amp;VAR:RFIELD=FINALIZED&amp;VAR:DB_TYPE=&amp;VAR:UNITS=M&amp;window=popup&amp;width=450&amp;height=300&amp;START_MAXIMIZED=FALSE"}</definedName>
    <definedName name="_29__FDSAUDITLINK___1" hidden="1">{"fdsup://IBCentral/FAT Viewer?action=UPDATE&amp;creator=factset&amp;DOC_NAME=fat:reuters_qtrly_source_window.fat&amp;display_string=Audit&amp;DYN_ARGS=TRUE&amp;VAR:ID1=37555810&amp;VAR:RCODE=FDSPFDSTKTOTAL&amp;VAR:SDATE=20100699&amp;VAR:FREQ=Quarterly&amp;VAR:RELITEM=RP&amp;VAR:CURRENCY=&amp;VAR:CUR","RSOURCE=EXSHARE&amp;VAR:NATFREQ=QUARTERLY&amp;VAR:RFIELD=FINALIZED&amp;VAR:DB_TYPE=&amp;VAR:UNITS=M&amp;window=popup&amp;width=450&amp;height=300&amp;START_MAXIMIZED=FALSE"}</definedName>
    <definedName name="_29__FDSAUDITLINK___2" hidden="1">{"fdsup://IBCentral/FAT Viewer?action=UPDATE&amp;creator=factset&amp;DOC_NAME=fat:reuters_qtrly_source_window.fat&amp;display_string=Audit&amp;DYN_ARGS=TRUE&amp;VAR:ID1=37555810&amp;VAR:RCODE=FDSPFDSTKTOTAL&amp;VAR:SDATE=20100699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88162420&amp;VAR:RCODE=SALES&amp;VAR:SDATE=20081299&amp;VAR:FREQ=FISCAL_YEARLY&amp;VAR:RELITEM=NOAUDIT&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25613520&amp;VAR:RCODE=SALES&amp;VAR:SDATE=20080399&amp;VAR:FREQ=FISCAL_YEARLY&amp;VAR:RELITEM=NOAUDIT&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24990810&amp;VAR:RCODE=SCSI&amp;VAR:SDATE=20081299&amp;VAR:FREQ=FISCAL_YEARLY&amp;VAR:RELITEM=NOAUDIT&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19777910&amp;VAR:RCODE=SCSI&amp;VAR:SDATE=20081299&amp;VAR:FREQ=FISCAL_YEARLY&amp;VAR:RELITEM=NOAUDIT&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42840B10&amp;VAR:RCODE=SCSI&amp;VAR:SDATE=20080499&amp;VAR:FREQ=FISCAL_YEARLY&amp;VAR:RELITEM=NOAUDIT&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09065G10&amp;VAR:RCODE=SCSI&amp;VAR:SDATE=20080699&amp;VAR:FREQ=FISCAL_YEARLY&amp;VAR:RELITEM=NOAUDIT&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45031X20&amp;VAR:RCODE=SCSI&amp;VAR:SDATE=20081299&amp;VAR:FREQ=FISCAL_YEARLY&amp;VAR:RELITEM=NOAUDIT&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64026810&amp;VAR:RCODE=SCSI&amp;VAR:SDATE=20081299&amp;VAR:FREQ=FISCAL_YEARLY&amp;VAR:RELITEM=NOAUDIT&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00972810&amp;VAR:RCODE=SCSI&amp;VAR:SDATE=20081299&amp;VAR:FREQ=FISCAL_YEARLY&amp;VAR:RELITEM=NOAUDIT&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67000910&amp;VAR:RCODE=SCSI&amp;VAR:SDATE=20081299&amp;VAR:FREQ=FISCAL_YEARLY&amp;VAR:RELITEM=NOAUDIT&amp;VAR:CURRENCY=&amp;VAR:CUR","RSOURCE=EXSHARE&amp;VAR:NATFREQ=ANNUAL&amp;VAR:RFIELD=FINALIZED&amp;VAR:DB_TYPE=&amp;VAR:UNITS=M&amp;window=popup&amp;width=450&amp;height=300&amp;START_MAXIMIZED=FALSE"}</definedName>
    <definedName name="_3__123Graph_ACHART_1" hidden="1">#REF!</definedName>
    <definedName name="_3__123Graph_ACHART_19" hidden="1">#REF!</definedName>
    <definedName name="_3__123Graph_BCHART_1" hidden="1">#REF!</definedName>
    <definedName name="_3__123Graph_XCHART_1" hidden="1">#REF!</definedName>
    <definedName name="_3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2"}</definedName>
    <definedName name="_3__FDSAUDITLINK___1" hidden="1">{"fdsup://directions/FAT Viewer?action=UPDATE&amp;creator=factset&amp;DYN_ARGS=TRUE&amp;DOC_NAME=FAT:FQL_AUDITING_CLIENT_TEMPLATE.FAT&amp;display_string=Audit&amp;VAR:KEY=EDWFGTYPCJ&amp;VAR:QUERY=UkdGX0VOVFJQUl9WQUwoQU5OLCwsLCwsLE5PQVVESVQp&amp;WINDOW=FIRST_POPUP&amp;HEIGHT=450&amp;WIDTH=450&amp;","START_MAXIMIZED=FALSE&amp;VAR:CALENDAR=US&amp;VAR:SYMBOL=HRC&amp;VAR:INDEX=0"}</definedName>
    <definedName name="_3__FDSAUDITLINK___2" hidden="1">{"fdsup://directions/FAT Viewer?action=UPDATE&amp;creator=factset&amp;DYN_ARGS=TRUE&amp;DOC_NAME=FAT:FQL_AUDITING_CLIENT_TEMPLATE.FAT&amp;display_string=Audit&amp;VAR:KEY=EDWFGTYPCJ&amp;VAR:QUERY=UkdGX0VOVFJQUl9WQUwoQU5OLCwsLCwsLE5PQVVESVQp&amp;WINDOW=FIRST_POPUP&amp;HEIGHT=450&amp;WIDTH=450&amp;","START_MAXIMIZED=FALSE&amp;VAR:CALENDAR=US&amp;VAR:SYMBOL=HRC&amp;VAR:INDEX=0"}</definedName>
    <definedName name="_30__123Graph_LBL_DCHART_1" hidden="1">#N/A</definedName>
    <definedName name="_30__FDSAUDITLINK__" hidden="1">{"fdsup://IBCentral/FAT Viewer?action=UPDATE&amp;creator=factset&amp;DOC_NAME=fat:reuters_annual_source_window.fat&amp;display_string=Audit&amp;DYN_ARGS=TRUE&amp;VAR:ID1=30231G10&amp;VAR:RCODE=FDSPFDSTKTOTAL&amp;VAR:SDATE=20041299&amp;VAR:FREQ=Y&amp;VAR:RELITEM=RP&amp;VAR:CURRENCY=&amp;VAR:CURRSOURCE","=EXSHARE&amp;VAR:NATFREQ=ANNUAL&amp;VAR:RFIELD=FINALIZED&amp;VAR:DB_TYPE=&amp;VAR:UNITS=M&amp;window=popup&amp;width=450&amp;height=300&amp;START_MAXIMIZED=FALSE"}</definedName>
    <definedName name="_30__FDSAUDITLINK___1" hidden="1">{"fdsup://IBCentral/FAT Viewer?action=UPDATE&amp;creator=factset&amp;DOC_NAME=fat:reuters_qtrly_source_window.fat&amp;display_string=Audit&amp;DYN_ARGS=TRUE&amp;VAR:ID1=01535110&amp;VAR:RCODE=STLD&amp;VAR:SDATE=20100699&amp;VAR:FREQ=Quarterly&amp;VAR:RELITEM=RP&amp;VAR:CURRENCY=&amp;VAR:CURRSOURCE=EX","SHARE&amp;VAR:NATFREQ=QUARTERLY&amp;VAR:RFIELD=FINALIZED&amp;VAR:DB_TYPE=&amp;VAR:UNITS=M&amp;window=popup&amp;width=450&amp;height=300&amp;START_MAXIMIZED=FALSE"}</definedName>
    <definedName name="_30__FDSAUDITLINK___2" hidden="1">{"fdsup://IBCentral/FAT Viewer?action=UPDATE&amp;creator=factset&amp;DOC_NAME=fat:reuters_qtrly_source_window.fat&amp;display_string=Audit&amp;DYN_ARGS=TRUE&amp;VAR:ID1=01535110&amp;VAR:RCODE=STLD&amp;VAR:SDATE=20100699&amp;VAR:FREQ=Quarterly&amp;VAR:RELITEM=RP&amp;VAR:CURRENCY=&amp;VAR:CURRSOURCE=EX","SHARE&amp;VAR:NATFREQ=QUARTERLY&amp;VAR:RFIELD=FINALIZED&amp;VAR:DB_TYPE=&amp;VAR:UNITS=M&amp;window=popup&amp;width=450&amp;height=300&amp;START_MAXIMIZED=FALSE"}</definedName>
    <definedName name="_300__FDSAUDITLINK__" hidden="1">{"fdsup://IBCentral/FAT Viewer?action=UPDATE&amp;creator=factset&amp;DOC_NAME=fat:reuters_annual_source_window.fat&amp;display_string=Audit&amp;DYN_ARGS=TRUE&amp;VAR:ID1=86490910&amp;VAR:RCODE=SCSI&amp;VAR:SDATE=20081299&amp;VAR:FREQ=FISCAL_YEARLY&amp;VAR:RELITEM=NOAUDIT&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80281730&amp;VAR:RCODE=SCSI&amp;VAR:SDATE=20081299&amp;VAR:FREQ=FISCAL_YEARLY&amp;VAR:RELITEM=NOAUDIT&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79543510&amp;VAR:RCODE=SCSI&amp;VAR:SDATE=20081299&amp;VAR:FREQ=FISCAL_YEARLY&amp;VAR:RELITEM=NOAUDIT&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45256B10&amp;VAR:RCODE=SCSI&amp;VAR:SDATE=20081299&amp;VAR:FREQ=FISCAL_YEARLY&amp;VAR:RELITEM=NOAUDIT&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92824110&amp;VAR:RCODE=SCSI&amp;VAR:SDATE=20081299&amp;VAR:FREQ=FISCAL_YEARLY&amp;VAR:RELITEM=NOAUDIT&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69329Y10&amp;VAR:RCODE=SCSI&amp;VAR:SDATE=20081299&amp;VAR:FREQ=FISCAL_YEARLY&amp;VAR:RELITEM=NOAUDIT&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14075T10&amp;VAR:RCODE=SCSI&amp;VAR:SDATE=20080399&amp;VAR:FREQ=FISCAL_YEARLY&amp;VAR:RELITEM=NOAUDIT&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01642T10&amp;VAR:RCODE=SCSI&amp;VAR:SDATE=20080399&amp;VAR:FREQ=FISCAL_YEARLY&amp;VAR:RELITEM=NOAUDIT&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15670810&amp;VAR:RCODE=SCSI&amp;VAR:SDATE=20081299&amp;VAR:FREQ=FISCAL_YEARLY&amp;VAR:RELITEM=NOAUDIT&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69888P10&amp;VAR:RCODE=SCSI&amp;VAR:SDATE=20081299&amp;VAR:FREQ=FISCAL_YEARLY&amp;VAR:RELITEM=NOAUDIT&amp;VAR:CURRENCY=&amp;VAR:CUR","RSOURCE=EXSHARE&amp;VAR:NATFREQ=ANNUAL&amp;VAR:RFIELD=FINALIZED&amp;VAR:DB_TYPE=&amp;VAR:UNITS=M&amp;window=popup&amp;width=450&amp;height=300&amp;START_MAXIMIZED=FALSE"}</definedName>
    <definedName name="_31__123Graph_ECHART_3" hidden="1">#REF!</definedName>
    <definedName name="_31__123Graph_LBL_DCHART_2" hidden="1">#REF!</definedName>
    <definedName name="_31__FDSAUDITLINK__" hidden="1">{"fdsup://IBCentral/FAT Viewer?action=UPDATE&amp;creator=factset&amp;DOC_NAME=fat:reuters_annual_source_window.fat&amp;display_string=Audit&amp;DYN_ARGS=TRUE&amp;VAR:ID1=30231G10&amp;VAR:RCODE=FDSPFDSTKTOTAL&amp;VAR:SDATE=20031299&amp;VAR:FREQ=Y&amp;VAR:RELITEM=RP&amp;VAR:CURRENCY=&amp;VAR:CURRSOURCE","=EXSHARE&amp;VAR:NATFREQ=ANNUAL&amp;VAR:RFIELD=FINALIZED&amp;VAR:DB_TYPE=&amp;VAR:UNITS=M&amp;window=popup&amp;width=450&amp;height=300&amp;START_MAXIMIZED=FALSE"}</definedName>
    <definedName name="_31__FDSAUDITLINK___1" hidden="1">{"fdsup://IBCentral/FAT Viewer?action=UPDATE&amp;creator=factset&amp;DOC_NAME=fat:reuters_qtrly_source_window.fat&amp;display_string=Audit&amp;DYN_ARGS=TRUE&amp;VAR:ID1=92824110&amp;VAR:RCODE=STLD&amp;VAR:SDATE=20100699&amp;VAR:FREQ=Quarterly&amp;VAR:RELITEM=RP&amp;VAR:CURRENCY=&amp;VAR:CURRSOURCE=EX","SHARE&amp;VAR:NATFREQ=QUARTERLY&amp;VAR:RFIELD=FINALIZED&amp;VAR:DB_TYPE=&amp;VAR:UNITS=M&amp;window=popup&amp;width=450&amp;height=300&amp;START_MAXIMIZED=FALSE"}</definedName>
    <definedName name="_31__FDSAUDITLINK___2" hidden="1">{"fdsup://IBCentral/FAT Viewer?action=UPDATE&amp;creator=factset&amp;DOC_NAME=fat:reuters_qtrly_source_window.fat&amp;display_string=Audit&amp;DYN_ARGS=TRUE&amp;VAR:ID1=92824110&amp;VAR:RCODE=STLD&amp;VAR:SDATE=20100699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58469030&amp;VAR:RCODE=SCSI&amp;VAR:SDATE=20081299&amp;VAR:FREQ=FISCAL_YEARLY&amp;VAR:RELITEM=NOAUDIT&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91911X10&amp;VAR:RCODE=SCSI&amp;VAR:SDATE=20081299&amp;VAR:FREQ=FISCAL_YEARLY&amp;VAR:RELITEM=NOAUDIT&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G9435N10&amp;VAR:RCODE=SCSI&amp;VAR:SDATE=20081299&amp;VAR:FREQ=FISCAL_YEARLY&amp;VAR:RELITEM=NOAUDIT&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29264F20&amp;VAR:RCODE=SCSI&amp;VAR:SDATE=20081299&amp;VAR:FREQ=FISCAL_YEARLY&amp;VAR:RELITEM=NOAUDIT&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81731510&amp;VAR:RCODE=SCSI&amp;VAR:SDATE=20081299&amp;VAR:FREQ=FISCAL_YEARLY&amp;VAR:RELITEM=NOAUDIT&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49558210&amp;VAR:RCODE=SCSI&amp;VAR:SDATE=20081299&amp;VAR:FREQ=FISCAL_YEARLY&amp;VAR:RELITEM=NOAUDIT&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71429010&amp;VAR:RCODE=SCSI&amp;VAR:SDATE=20080699&amp;VAR:FREQ=FISCAL_YEARLY&amp;VAR:RELITEM=NOAUDIT&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94268310&amp;VAR:RCODE=SCSI&amp;VAR:SDATE=20081299&amp;VAR:FREQ=FISCAL_YEARLY&amp;VAR:RELITEM=NOAUDIT&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34583810&amp;VAR:RCODE=SCSI&amp;VAR:SDATE=20080399&amp;VAR:FREQ=FISCAL_YEARLY&amp;VAR:RELITEM=NOAUDIT&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01849010&amp;VAR:RCODE=SCSI&amp;VAR:SDATE=20081299&amp;VAR:FREQ=FISCAL_YEARLY&amp;VAR:RELITEM=NOAUDIT&amp;VAR:CURRENCY=&amp;VAR:CUR","RSOURCE=EXSHARE&amp;VAR:NATFREQ=ANNUAL&amp;VAR:RFIELD=FINALIZED&amp;VAR:DB_TYPE=&amp;VAR:UNITS=M&amp;window=popup&amp;width=450&amp;height=300&amp;START_MAXIMIZED=FALSE"}</definedName>
    <definedName name="_32__123Graph_XCHART_2" hidden="1">#REF!</definedName>
    <definedName name="_32__FDSAUDITLINK__" hidden="1">{"fdsup://IBCentral/FAT Viewer?action=UPDATE&amp;creator=factset&amp;DOC_NAME=fat:reuters_annual_source_window.fat&amp;display_string=Audit&amp;DYN_ARGS=TRUE&amp;VAR:ID1=30231G10&amp;VAR:RCODE=LTLL&amp;VAR:SDATE=20071299&amp;VAR:FREQ=Y&amp;VAR:RELITEM=RP&amp;VAR:CURRENCY=&amp;VAR:CURRSOURCE=EXSHARE&amp;V","AR:NATFREQ=ANNUAL&amp;VAR:RFIELD=FINALIZED&amp;VAR:DB_TYPE=&amp;VAR:UNITS=M&amp;window=popup&amp;width=450&amp;height=300&amp;START_MAXIMIZED=FALSE"}</definedName>
    <definedName name="_32__FDSAUDITLINK___1" hidden="1">{"fdsup://IBCentral/FAT Viewer?action=UPDATE&amp;creator=factset&amp;DOC_NAME=fat:reuters_qtrly_source_window.fat&amp;display_string=Audit&amp;DYN_ARGS=TRUE&amp;VAR:ID1=15102010&amp;VAR:RCODE=STLD&amp;VAR:SDATE=20100699&amp;VAR:FREQ=Quarterly&amp;VAR:RELITEM=RP&amp;VAR:CURRENCY=&amp;VAR:CURRSOURCE=EX","SHARE&amp;VAR:NATFREQ=QUARTERLY&amp;VAR:RFIELD=FINALIZED&amp;VAR:DB_TYPE=&amp;VAR:UNITS=M&amp;window=popup&amp;width=450&amp;height=300&amp;START_MAXIMIZED=FALSE"}</definedName>
    <definedName name="_32__FDSAUDITLINK___2" hidden="1">{"fdsup://IBCentral/FAT Viewer?action=UPDATE&amp;creator=factset&amp;DOC_NAME=fat:reuters_qtrly_source_window.fat&amp;display_string=Audit&amp;DYN_ARGS=TRUE&amp;VAR:ID1=15102010&amp;VAR:RCODE=STLD&amp;VAR:SDATE=20100699&amp;VAR:FREQ=Quarterly&amp;VAR:RELITEM=RP&amp;VAR:CURRENCY=&amp;VAR:CURRSOURCE=EX","SHARE&amp;VAR:NATFREQ=QUARTERLY&amp;VAR:RFIELD=FINALIZED&amp;VAR:DB_TYPE=&amp;VAR:UNITS=M&amp;window=popup&amp;width=450&amp;height=300&amp;START_MAXIMIZED=FALSE"}</definedName>
    <definedName name="_320__FDSAUDITLINK__" hidden="1">{"fdsup://IBCentral/FAT Viewer?action=UPDATE&amp;creator=factset&amp;DOC_NAME=fat:reuters_annual_source_window.fat&amp;display_string=Audit&amp;DYN_ARGS=TRUE&amp;VAR:ID1=62853010&amp;VAR:RCODE=SCSI&amp;VAR:SDATE=20081299&amp;VAR:FREQ=FISCAL_YEARLY&amp;VAR:RELITEM=NOAUDIT&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53245710&amp;VAR:RCODE=SCSI&amp;VAR:SDATE=20081299&amp;VAR:FREQ=FISCAL_YEARLY&amp;VAR:RELITEM=NOAUDIT&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11012210&amp;VAR:RCODE=SCSI&amp;VAR:SDATE=20081299&amp;VAR:FREQ=FISCAL_YEARLY&amp;VAR:RELITEM=NOAUDIT&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58933110&amp;VAR:RCODE=SCSI&amp;VAR:SDATE=20081299&amp;VAR:FREQ=FISCAL_YEARLY&amp;VAR:RELITEM=NOAUDIT&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00282410&amp;VAR:RCODE=SCSI&amp;VAR:SDATE=20081299&amp;VAR:FREQ=FISCAL_YEARLY&amp;VAR:RELITEM=NOAUDIT&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71708110&amp;VAR:RCODE=SCSI&amp;VAR:SDATE=20081299&amp;VAR:FREQ=FISCAL_YEARLY&amp;VAR:RELITEM=NOAUDIT&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88162420&amp;VAR:RCODE=SCSI&amp;VAR:SDATE=20081299&amp;VAR:FREQ=FISCAL_YEARLY&amp;VAR:RELITEM=NOAUDIT&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25613520&amp;VAR:RCODE=SCSI&amp;VAR:SDATE=20080399&amp;VAR:FREQ=FISCAL_YEARLY&amp;VAR:RELITEM=NOAUDIT&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34583810&amp;VAR:RCODE=SCSI&amp;VAR:SDATE=20090399&amp;VAR:FREQ=FISCAL_YEARLY&amp;VAR:RELITEM=NOAUDIT&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82481R10&amp;VAR:RCODE=SCSI&amp;VAR:SDATE=20081299&amp;VAR:FREQ=FISCAL_YEARLY&amp;VAR:RELITEM=NOAUDIT&amp;VAR:CURRENCY=&amp;VAR:CUR","RSOURCE=EXSHARE&amp;VAR:NATFREQ=ANNUAL&amp;VAR:RFIELD=FINALIZED&amp;VAR:DB_TYPE=&amp;VAR:UNITS=M&amp;window=popup&amp;width=450&amp;height=300&amp;START_MAXIMIZED=FALSE"}</definedName>
    <definedName name="_33__123Graph_ECHART_4" hidden="1">#REF!</definedName>
    <definedName name="_33__FDSAUDITLINK__" hidden="1">{"fdsup://IBCentral/FAT Viewer?action=UPDATE&amp;creator=factset&amp;DOC_NAME=fat:reuters_annual_source_window.fat&amp;display_string=Audit&amp;DYN_ARGS=TRUE&amp;VAR:ID1=30231G10&amp;VAR:RCODE=LTLL&amp;VAR:SDATE=20061299&amp;VAR:FREQ=Y&amp;VAR:RELITEM=RP&amp;VAR:CURRENCY=&amp;VAR:CURRSOURCE=EXSHARE&amp;V","AR:NATFREQ=ANNUAL&amp;VAR:RFIELD=FINALIZED&amp;VAR:DB_TYPE=&amp;VAR:UNITS=M&amp;window=popup&amp;width=450&amp;height=300&amp;START_MAXIMIZED=FALSE"}</definedName>
    <definedName name="_33__FDSAUDITLINK___1" hidden="1">{"fdsup://IBCentral/FAT Viewer?action=UPDATE&amp;creator=factset&amp;DOC_NAME=fat:reuters_qtrly_source_window.fat&amp;display_string=Audit&amp;DYN_ARGS=TRUE&amp;VAR:ID1=01535110&amp;VAR:RCODE=FDSPFDSTKTOTAL&amp;VAR:SDATE=20100699&amp;VAR:FREQ=Quarterly&amp;VAR:RELITEM=RP&amp;VAR:CURRENCY=&amp;VAR:CUR","RSOURCE=EXSHARE&amp;VAR:NATFREQ=QUARTERLY&amp;VAR:RFIELD=FINALIZED&amp;VAR:DB_TYPE=&amp;VAR:UNITS=M&amp;window=popup&amp;width=450&amp;height=300&amp;START_MAXIMIZED=FALSE"}</definedName>
    <definedName name="_33__FDSAUDITLINK___2" hidden="1">{"fdsup://IBCentral/FAT Viewer?action=UPDATE&amp;creator=factset&amp;DOC_NAME=fat:reuters_qtrly_source_window.fat&amp;display_string=Audit&amp;DYN_ARGS=TRUE&amp;VAR:ID1=01535110&amp;VAR:RCODE=FDSPFDSTKTOTAL&amp;VAR:SDATE=20100699&amp;VAR:FREQ=Quarterly&amp;VAR:RELITEM=RP&amp;VAR:CURRENCY=&amp;VAR:CUR","RSOURCE=EXSHARE&amp;VAR:NATFREQ=QUARTERLY&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77119510&amp;VAR:RCODE=SCSI&amp;VAR:SDATE=20081299&amp;VAR:FREQ=FISCAL_YEARLY&amp;VAR:RELITEM=NOAUDIT&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66987V10&amp;VAR:RCODE=SCSI&amp;VAR:SDATE=20081299&amp;VAR:FREQ=FISCAL_YEARLY&amp;VAR:RELITEM=NOAUDIT&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67010020&amp;VAR:RCODE=SCSI&amp;VAR:SDATE=20081299&amp;VAR:FREQ=FISCAL_YEARLY&amp;VAR:RELITEM=NOAUDIT&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37733W10&amp;VAR:RCODE=SCSI&amp;VAR:SDATE=20081299&amp;VAR:FREQ=FISCAL_YEARLY&amp;VAR:RELITEM=NOAUDIT&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04635310&amp;VAR:RCODE=SCSI&amp;VAR:SDATE=20081299&amp;VAR:FREQ=FISCAL_YEARLY&amp;VAR:RELITEM=NOAUDIT&amp;VAR:CURRENCY=&amp;VAR:CUR","RSOURCE=EXSHARE&amp;VAR:NATFREQ=ANNUAL&amp;VAR:RFIELD=FINALIZED&amp;VAR:DB_TYPE=&amp;VAR:UNITS=M&amp;window=popup&amp;width=450&amp;height=300&amp;START_MAXIMIZED=FALSE"}</definedName>
    <definedName name="_335__FDSAUDITLINK__" hidden="1">{"fdsup://directions/FAT Viewer?action=UPDATE&amp;creator=factset&amp;DYN_ARGS=TRUE&amp;DOC_NAME=FAT:FQL_AUDITING_CLIENT_TEMPLATE.FAT&amp;display_string=Audit&amp;VAR:KEY=JCFQZGVGTG&amp;VAR:QUERY=RkZfRUJJVF9PUEVSKExUTVMsMCwsLCxJQ19DVVJSRU5DWV9JU08oKSk=&amp;WINDOW=FIRST_POPUP&amp;HEIGHT=45","0&amp;WIDTH=450&amp;START_MAXIMIZED=FALSE&amp;VAR:CALENDAR=US&amp;VAR:SYMBOL=38259P50&amp;VAR:INDEX=0"}</definedName>
    <definedName name="_336__FDSAUDITLINK__" hidden="1">{"fdsup://directions/FAT Viewer?action=UPDATE&amp;creator=factset&amp;DYN_ARGS=TRUE&amp;DOC_NAME=FAT:FQL_AUDITING_CLIENT_TEMPLATE.FAT&amp;display_string=Audit&amp;VAR:KEY=DUBAJOBUXG&amp;VAR:QUERY=RkZfRUJJVERBX09QRVIoTFRNUywwLCwsLElDX0NVUlJFTkNZX0lTTygpKQ==&amp;WINDOW=FIRST_POPUP&amp;HEIGH","T=450&amp;WIDTH=450&amp;START_MAXIMIZED=FALSE&amp;VAR:CALENDAR=US&amp;VAR:SYMBOL=38259P50&amp;VAR:INDEX=0"}</definedName>
    <definedName name="_337__FDSAUDITLINK__" hidden="1">{"fdsup://Directions/FactSet Auditing Viewer?action=AUDIT_VALUE&amp;DB=129&amp;ID1=38259P50&amp;VALUEID=01250&amp;SDATE=2009&amp;PERIODTYPE=ANN_STD&amp;window=popup_no_bar&amp;width=385&amp;height=120&amp;START_MAXIMIZED=FALSE&amp;creator=factset&amp;display_string=Audit"}</definedName>
    <definedName name="_338__FDSAUDITLINK__" hidden="1">{"fdsup://directions/FAT Viewer?action=UPDATE&amp;creator=factset&amp;DYN_ARGS=TRUE&amp;DOC_NAME=FAT:FQL_AUDITING_CLIENT_TEMPLATE.FAT&amp;display_string=Audit&amp;VAR:KEY=FSZUNEFKVC&amp;VAR:QUERY=RkZfRUJJVF9PUEVSKEFOTiwyMDA5LCwsLElDX0NVUlJFTkNZX0lTTygpLE0p&amp;WINDOW=FIRST_POPUP&amp;HEIGH","T=450&amp;WIDTH=450&amp;START_MAXIMIZED=FALSE&amp;VAR:CALENDAR=US&amp;VAR:SYMBOL=38259P50&amp;VAR:INDEX=0"}</definedName>
    <definedName name="_339__FDSAUDITLINK__" hidden="1">{"fdsup://Directions/FactSet Auditing Viewer?action=AUDIT_VALUE&amp;DB=129&amp;ID1=38259P50&amp;VALUEID=01151&amp;SDATE=2009&amp;PERIODTYPE=ANN_STD&amp;window=popup_no_bar&amp;width=385&amp;height=120&amp;START_MAXIMIZED=FALSE&amp;creator=factset&amp;display_string=Audit"}</definedName>
    <definedName name="_34__123Graph_LBL_ACHART_28" hidden="1">#REF!</definedName>
    <definedName name="_34__FDSAUDITLINK__" hidden="1">{"fdsup://IBCentral/FAT Viewer?action=UPDATE&amp;creator=factset&amp;DOC_NAME=fat:reuters_annual_source_window.fat&amp;display_string=Audit&amp;DYN_ARGS=TRUE&amp;VAR:ID1=30231G10&amp;VAR:RCODE=LTLL&amp;VAR:SDATE=20051299&amp;VAR:FREQ=Y&amp;VAR:RELITEM=RP&amp;VAR:CURRENCY=&amp;VAR:CURRSOURCE=EXSHARE&amp;V","AR:NATFREQ=ANNUAL&amp;VAR:RFIELD=FINALIZED&amp;VAR:DB_TYPE=&amp;VAR:UNITS=M&amp;window=popup&amp;width=450&amp;height=300&amp;START_MAXIMIZED=FALSE"}</definedName>
    <definedName name="_34__FDSAUDITLINK___1" hidden="1">{"fdsup://IBCentral/FAT Viewer?action=UPDATE&amp;creator=factset&amp;DOC_NAME=fat:reuters_qtrly_source_window.fat&amp;display_string=Audit&amp;DYN_ARGS=TRUE&amp;VAR:ID1=92824110&amp;VAR:RCODE=FDSPFDSTKTOTAL&amp;VAR:SDATE=20100699&amp;VAR:FREQ=Quarterly&amp;VAR:RELITEM=RP&amp;VAR:CURRENCY=&amp;VAR:CUR","RSOURCE=EXSHARE&amp;VAR:NATFREQ=QUARTERLY&amp;VAR:RFIELD=FINALIZED&amp;VAR:DB_TYPE=&amp;VAR:UNITS=M&amp;window=popup&amp;width=450&amp;height=300&amp;START_MAXIMIZED=FALSE"}</definedName>
    <definedName name="_34__FDSAUDITLINK___2" hidden="1">{"fdsup://IBCentral/FAT Viewer?action=UPDATE&amp;creator=factset&amp;DOC_NAME=fat:reuters_qtrly_source_window.fat&amp;display_string=Audit&amp;DYN_ARGS=TRUE&amp;VAR:ID1=92824110&amp;VAR:RCODE=FDSPFDSTKTOTAL&amp;VAR:SDATE=20100699&amp;VAR:FREQ=Quarterly&amp;VAR:RELITEM=RP&amp;VAR:CURRENCY=&amp;VAR:CUR","RSOURCE=EXSHARE&amp;VAR:NATFREQ=QUARTERLY&amp;VAR:RFIELD=FINALIZED&amp;VAR:DB_TYPE=&amp;VAR:UNITS=M&amp;window=popup&amp;width=450&amp;height=300&amp;START_MAXIMIZED=FALSE"}</definedName>
    <definedName name="_340__FDSAUDITLINK__" hidden="1">{"fdsup://directions/FAT Viewer?action=UPDATE&amp;creator=factset&amp;DYN_ARGS=TRUE&amp;DOC_NAME=FAT:FQL_AUDITING_CLIENT_TEMPLATE.FAT&amp;display_string=Audit&amp;VAR:KEY=XGLMTWTIZG&amp;VAR:QUERY=RkZfRUJJVERBX09QRVIoQU5OLDIwMDksLCwsSUNfQ1VSUkVOQ1lfSVNPKCksTSk=&amp;WINDOW=FIRST_POPUP&amp;H","EIGHT=450&amp;WIDTH=450&amp;START_MAXIMIZED=FALSE&amp;VAR:CALENDAR=US&amp;VAR:SYMBOL=38259P50&amp;VAR:INDEX=0"}</definedName>
    <definedName name="_341__FDSAUDITLINK__" hidden="1">{"fdsup://Directions/FactSet Auditing Viewer?action=AUDIT_VALUE&amp;DB=129&amp;ID1=38259P50&amp;VALUEID=01001&amp;SDATE=2009&amp;PERIODTYPE=ANN_STD&amp;window=popup_no_bar&amp;width=385&amp;height=120&amp;START_MAXIMIZED=FALSE&amp;creator=factset&amp;display_string=Audit"}</definedName>
    <definedName name="_342__FDSAUDITLINK__" hidden="1">{"fdsup://Directions/FactSet Auditing Viewer?action=AUDIT_VALUE&amp;DB=129&amp;ID1=95980210&amp;VALUEID=02001&amp;SDATE=201004&amp;PERIODTYPE=QTR_STD&amp;window=popup_no_bar&amp;width=385&amp;height=120&amp;START_MAXIMIZED=FALSE&amp;creator=factset&amp;display_string=Audit"}</definedName>
    <definedName name="_343__FDSAUDITLINK__" hidden="1">{"fdsup://directions/FAT Viewer?action=UPDATE&amp;creator=factset&amp;DYN_ARGS=TRUE&amp;DOC_NAME=FAT:FQL_AUDITING_CLIENT_TEMPLATE.FAT&amp;display_string=Audit&amp;VAR:KEY=BORMBINWBA&amp;VAR:QUERY=KChGRl9ERUJUX0xUKFFUUiw0MDU4MywsLCxJQ19DVVJSRU5DWV9JU08oKSlARkZfREVCVF9MVChTRU1JLDQwN","TgzLCwsLElDX0NVUlJFTkNZX0lTTygpKSlARkZfREVCVF9MVChBTk4sNDA1ODMsLCwsSUNfQ1VSUkVOQ1lfSVNPKCkpKQ==&amp;WINDOW=FIRST_POPUP&amp;HEIGHT=450&amp;WIDTH=450&amp;START_MAXIMIZED=FALSE&amp;VAR:CALENDAR=US&amp;VAR:SYMBOL=95980210&amp;VAR:INDEX=0"}</definedName>
    <definedName name="_344__FDSAUDITLINK__" hidden="1">{"fdsup://Directions/FactSet Auditing Viewer?action=AUDIT_VALUE&amp;DB=129&amp;ID1=95980210&amp;VALUEID=01001&amp;SDATE=2010&amp;PERIODTYPE=ANN_STD&amp;window=popup_no_bar&amp;width=385&amp;height=120&amp;START_MAXIMIZED=FALSE&amp;creator=factset&amp;display_string=Audit"}</definedName>
    <definedName name="_345__FDSAUDITLINK__" hidden="1">{"fdsup://directions/FAT Viewer?action=UPDATE&amp;creator=factset&amp;DYN_ARGS=TRUE&amp;DOC_NAME=FAT:FQL_AUDITING_CLIENT_TEMPLATE.FAT&amp;display_string=Audit&amp;VAR:KEY=JKLURQTYTI&amp;VAR:QUERY=RkZfRUJJVERBX09QRVIoQU5OLDIwMTAsLCwsSUNfQ1VSUkVOQ1lfSVNPKCksTSk=&amp;WINDOW=FIRST_POPUP&amp;H","EIGHT=450&amp;WIDTH=450&amp;START_MAXIMIZED=FALSE&amp;VAR:CALENDAR=US&amp;VAR:SYMBOL=95980210&amp;VAR:INDEX=0"}</definedName>
    <definedName name="_346__FDSAUDITLINK__" hidden="1">{"fdsup://Directions/FactSet Auditing Viewer?action=AUDIT_VALUE&amp;DB=129&amp;ID1=95980210&amp;VALUEID=01151&amp;SDATE=2010&amp;PERIODTYPE=ANN_STD&amp;window=popup_no_bar&amp;width=385&amp;height=120&amp;START_MAXIMIZED=FALSE&amp;creator=factset&amp;display_string=Audit"}</definedName>
    <definedName name="_347__FDSAUDITLINK__"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8__FDSAUDITLINK__"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TKPOHARCPO&amp;VAR:QUERY=RkZfRVBTX0RJTChBTk4sMjAxMCwsLCxJQ19DVVJSRU5DWV9JU08oKSk=&amp;WINDOW=FIRST_POPUP&amp;HEIGHT=45","0&amp;WIDTH=450&amp;START_MAXIMIZED=FALSE&amp;VAR:CALENDAR=US&amp;VAR:SYMBOL=95980210&amp;VAR:INDEX=0"}</definedName>
    <definedName name="_35__123Graph_LBL_ACHART_30" hidden="1">#REF!</definedName>
    <definedName name="_35__FDSAUDITLINK__" hidden="1">{"fdsup://IBCentral/FAT Viewer?action=UPDATE&amp;creator=factset&amp;DOC_NAME=fat:reuters_annual_source_window.fat&amp;display_string=Audit&amp;DYN_ARGS=TRUE&amp;VAR:ID1=30231G10&amp;VAR:RCODE=LTLL&amp;VAR:SDATE=20041299&amp;VAR:FREQ=Y&amp;VAR:RELITEM=RP&amp;VAR:CURRENCY=&amp;VAR:CURRSOURCE=EXSHARE&amp;V","AR:NATFREQ=ANNUAL&amp;VAR:RFIELD=FINALIZED&amp;VAR:DB_TYPE=&amp;VAR:UNITS=M&amp;window=popup&amp;width=450&amp;height=300&amp;START_MAXIMIZED=FALSE"}</definedName>
    <definedName name="_35__FDSAUDITLINK___1" hidden="1">{"fdsup://IBCentral/FAT Viewer?action=UPDATE&amp;creator=factset&amp;DOC_NAME=fat:reuters_semi_source_window.fat&amp;display_string=Audit&amp;DYN_ARGS=TRUE&amp;VAR:ID1=CELG&amp;VAR:RCODE=FDSPFDSTKTOTAL&amp;VAR:SDATE=0&amp;VAR:FREQ=FSA&amp;VAR:RELITEM=RP&amp;VAR:CURRENCY=&amp;VAR:CURRSOURCE=EXSHARE&amp;VA","R:NATFREQ=FSA&amp;VAR:RFIELD=FINALIZED&amp;VAR:DB_TYPE=&amp;VAR:UNITS=M&amp;window=popup&amp;width=450&amp;height=300&amp;START_MAXIMIZED=FALSE"}</definedName>
    <definedName name="_35__FDSAUDITLINK___2" hidden="1">{"fdsup://IBCentral/FAT Viewer?action=UPDATE&amp;creator=factset&amp;DOC_NAME=fat:reuters_semi_source_window.fat&amp;display_string=Audit&amp;DYN_ARGS=TRUE&amp;VAR:ID1=CELG&amp;VAR:RCODE=FDSPFDSTKTOTAL&amp;VAR:SDATE=0&amp;VAR:FREQ=FSA&amp;VAR:RELITEM=RP&amp;VAR:CURRENCY=&amp;VAR:CURRSOURCE=EXSHARE&amp;VA","R:NATFREQ=FSA&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6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7__FDSAUDITLINK__"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8__FDSAUDITLINK__"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9__FDSAUDITLINK__"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annual_source_window.fat&amp;display_string=Audit&amp;DYN_ARGS=TRUE&amp;VAR:ID1=30231G10&amp;VAR:RCODE=LTLL&amp;VAR:SDATE=20031299&amp;VAR:FREQ=Y&amp;VAR:RELITEM=RP&amp;VAR:CURRENCY=&amp;VAR:CURRSOURCE=EXSHARE&amp;V","AR:NATFREQ=ANNUAL&amp;VAR:RFIELD=FINALIZED&amp;VAR:DB_TYPE=&amp;VAR:UNITS=M&amp;window=popup&amp;width=450&amp;height=300&amp;START_MAXIMIZED=FALSE"}</definedName>
    <definedName name="_36__FDSAUDITLINK___1" hidden="1">{"fdsup://IBCentral/FAT Viewer?action=UPDATE&amp;creator=factset&amp;DOC_NAME=fat:reuters_qtrly_source_window.fat&amp;display_string=Audit&amp;DYN_ARGS=TRUE&amp;VAR:ID1=09061G10&amp;VAR:RCODE=STLD&amp;VAR:SDATE=20100699&amp;VAR:FREQ=Quarterly&amp;VAR:RELITEM=RP&amp;VAR:CURRENCY=&amp;VAR:CURRSOURCE=EX","SHARE&amp;VAR:NATFREQ=QUARTERLY&amp;VAR:RFIELD=FINALIZED&amp;VAR:DB_TYPE=&amp;VAR:UNITS=M&amp;window=popup&amp;width=450&amp;height=300&amp;START_MAXIMIZED=FALSE"}</definedName>
    <definedName name="_36__FDSAUDITLINK___2" hidden="1">{"fdsup://IBCentral/FAT Viewer?action=UPDATE&amp;creator=factset&amp;DOC_NAME=fat:reuters_qtrly_source_window.fat&amp;display_string=Audit&amp;DYN_ARGS=TRUE&amp;VAR:ID1=09061G10&amp;VAR:RCODE=STLD&amp;VAR:SDATE=20100699&amp;VAR:FREQ=Quarterly&amp;VAR:RELITEM=RP&amp;VAR:CURRENCY=&amp;VAR:CURRSOURCE=EX","SHARE&amp;VAR:NATFREQ=QUARTERLY&amp;VAR:RFIELD=FINALIZED&amp;VAR:DB_TYPE=&amp;VAR:UNITS=M&amp;window=popup&amp;width=450&amp;height=300&amp;START_MAXIMIZED=FALSE"}</definedName>
    <definedName name="_360__FDSAUDITLINK__"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1__FDSAUDITLINK__" hidden="1">{"fdsup://directions/FAT Viewer?action=UPDATE&amp;creator=factset&amp;DYN_ARGS=TRUE&amp;DOC_NAME=FAT:FQL_AUDITING_CLIENT_TEMPLATE.FAT&amp;display_string=Audit&amp;VAR:KEY=VYXAZYNQRY&amp;VAR:QUERY=RkZfQ0FQRVgoQU5OLDIwMDksLCwsSUNfQ1VSUkVOQ1lfSVNPKCksTSk=&amp;WINDOW=FIRST_POPUP&amp;HEIGHT=45","0&amp;WIDTH=450&amp;START_MAXIMIZED=FALSE&amp;VAR:CALENDAR=US&amp;VAR:SYMBOL=95980210&amp;VAR:INDEX=0"}</definedName>
    <definedName name="_362__FDSAUDITLINK__" hidden="1">{"fdsup://Directions/FactSet Auditing Viewer?action=AUDIT_VALUE&amp;DB=129&amp;ID1=95980210&amp;VALUEID=05194&amp;SDATE=2009&amp;PERIODTYPE=ANNR_STD&amp;window=popup_no_bar&amp;width=385&amp;height=120&amp;START_MAXIMIZED=FALSE&amp;creator=factset&amp;display_string=Audit"}</definedName>
    <definedName name="_363__FDSAUDITLINK__" hidden="1">{"fdsup://directions/FAT Viewer?action=UPDATE&amp;creator=factset&amp;DYN_ARGS=TRUE&amp;DOC_NAME=FAT:FQL_AUDITING_CLIENT_TEMPLATE.FAT&amp;display_string=Audit&amp;VAR:KEY=TWZIFSNOXM&amp;VAR:QUERY=RkZfRVBTX0RJTChBTk4sMjAwOSwsLCxJQ19DVVJSRU5DWV9JU08oKSk=&amp;WINDOW=FIRST_POPUP&amp;HEIGHT=45","0&amp;WIDTH=450&amp;START_MAXIMIZED=FALSE&amp;VAR:CALENDAR=US&amp;VAR:SYMBOL=95980210&amp;VAR:INDEX=0"}</definedName>
    <definedName name="_364__FDSAUDITLINK__" hidden="1">{"fdsup://directions/FAT Viewer?action=UPDATE&amp;creator=factset&amp;DYN_ARGS=TRUE&amp;DOC_NAME=FAT:FQL_AUDITING_CLIENT_TEMPLATE.FAT&amp;display_string=Audit&amp;VAR:KEY=RQZAPCDCFA&amp;VAR:QUERY=RkZfSU5UX0VYUF9ORVQoTFRNUywwLCwsLElDX0NVUlJFTkNZX0lTTygpKQ==&amp;WINDOW=FIRST_POPUP&amp;HEIGH","T=450&amp;WIDTH=450&amp;START_MAXIMIZED=FALSE&amp;VAR:CALENDAR=US&amp;VAR:SYMBOL=95980210&amp;VAR:INDEX=0"}</definedName>
    <definedName name="_365__FDSAUDITLINK__" hidden="1">{"fdsup://directions/FAT Viewer?action=UPDATE&amp;creator=factset&amp;DYN_ARGS=TRUE&amp;DOC_NAME=FAT:FQL_AUDITING_CLIENT_TEMPLATE.FAT&amp;display_string=Audit&amp;VAR:KEY=DUHERQPGLW&amp;VAR:QUERY=RkZfTkVUX0lOQyhMVE1TLDAsLCwsSUNfQ1VSUkVOQ1lfSVNPKCkp&amp;WINDOW=FIRST_POPUP&amp;HEIGHT=450&amp;WI","DTH=450&amp;START_MAXIMIZED=FALSE&amp;VAR:CALENDAR=US&amp;VAR:SYMBOL=95980210&amp;VAR:INDEX=0"}</definedName>
    <definedName name="_36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7__123Graph_LBL_DCHART_4" hidden="1">#REF!</definedName>
    <definedName name="_37__FDSAUDITLINK__" hidden="1">{"fdsup://IBCentral/FAT Viewer?action=UPDATE&amp;creator=factset&amp;DOC_NAME=fat:reuters_annual_source_window.fat&amp;display_string=Audit&amp;DYN_ARGS=TRUE&amp;VAR:ID1=30231G10&amp;VAR:RCODE=LLTD&amp;VAR:SDATE=20071299&amp;VAR:FREQ=Y&amp;VAR:RELITEM=RP&amp;VAR:CURRENCY=&amp;VAR:CURRSOURCE=EXSHARE&amp;V","AR:NATFREQ=ANNUAL&amp;VAR:RFIELD=FINALIZED&amp;VAR:DB_TYPE=&amp;VAR:UNITS=M&amp;window=popup&amp;width=450&amp;height=300&amp;START_MAXIMIZED=FALSE"}</definedName>
    <definedName name="_37__FDSAUDITLINK___1" hidden="1">{"fdsup://IBCentral/FAT Viewer?action=UPDATE&amp;creator=factset&amp;DOC_NAME=fat:reuters_semi_source_window.fat&amp;display_string=Audit&amp;DYN_ARGS=TRUE&amp;VAR:ID1=711038&amp;VAR:RCODE=STLD&amp;VAR:SDATE=20100699&amp;VAR:FREQ=FSA&amp;VAR:RELITEM=RP&amp;VAR:CURRENCY=&amp;VAR:CURRSOURCE=EXSHARE&amp;VAR",":NATFREQ=FSA&amp;VAR:RFIELD=FINALIZED&amp;VAR:DB_TYPE=&amp;VAR:UNITS=M&amp;window=popup&amp;width=450&amp;height=300&amp;START_MAXIMIZED=FALSE"}</definedName>
    <definedName name="_37__FDSAUDITLINK___2" hidden="1">{"fdsup://IBCentral/FAT Viewer?action=UPDATE&amp;creator=factset&amp;DOC_NAME=fat:reuters_semi_source_window.fat&amp;display_string=Audit&amp;DYN_ARGS=TRUE&amp;VAR:ID1=711038&amp;VAR:RCODE=STLD&amp;VAR:SDATE=20100699&amp;VAR:FREQ=FSA&amp;VAR:RELITEM=RP&amp;VAR:CURRENCY=&amp;VAR:CURRSOURCE=EXSHARE&amp;VAR",":NATFREQ=FSA&amp;VAR:RFIELD=FINALIZED&amp;VAR:DB_TYPE=&amp;VAR:UNITS=M&amp;window=popup&amp;width=450&amp;height=300&amp;START_MAXIMIZED=FALSE"}</definedName>
    <definedName name="_37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3__FDSAUDITLINK__"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4__FDSAUDITLINK__"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5__FDSAUDITLINK__"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6__FDSAUDITLINK__"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7__FDSAUDITLINK__"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8__FDSAUDITLINK__"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9__FDSAUDITLINK__"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annual_source_window.fat&amp;display_string=Audit&amp;DYN_ARGS=TRUE&amp;VAR:ID1=30231G10&amp;VAR:RCODE=LLTD&amp;VAR:SDATE=20061299&amp;VAR:FREQ=Y&amp;VAR:RELITEM=RP&amp;VAR:CURRENCY=&amp;VAR:CURRSOURCE=EXSHARE&amp;V","AR:NATFREQ=ANNUAL&amp;VAR:RFIELD=FINALIZED&amp;VAR:DB_TYPE=&amp;VAR:UNITS=M&amp;window=popup&amp;width=450&amp;height=300&amp;START_MAXIMIZED=FALSE"}</definedName>
    <definedName name="_38__FDSAUDITLINK___1" hidden="1">{"fdsup://IBCentral/FAT Viewer?action=UPDATE&amp;creator=factset&amp;DOC_NAME=fat:reuters_qtrly_source_window.fat&amp;display_string=Audit&amp;DYN_ARGS=TRUE&amp;VAR:ID1=09062X10&amp;VAR:RCODE=STLD&amp;VAR:SDATE=20100699&amp;VAR:FREQ=Quarterly&amp;VAR:RELITEM=RP&amp;VAR:CURRENCY=&amp;VAR:CURRSOURCE=EX","SHARE&amp;VAR:NATFREQ=QUARTERLY&amp;VAR:RFIELD=FINALIZED&amp;VAR:DB_TYPE=&amp;VAR:UNITS=M&amp;window=popup&amp;width=450&amp;height=300&amp;START_MAXIMIZED=FALSE"}</definedName>
    <definedName name="_38__FDSAUDITLINK___2" hidden="1">{"fdsup://IBCentral/FAT Viewer?action=UPDATE&amp;creator=factset&amp;DOC_NAME=fat:reuters_qtrly_source_window.fat&amp;display_string=Audit&amp;DYN_ARGS=TRUE&amp;VAR:ID1=09062X10&amp;VAR:RCODE=STLD&amp;VAR:SDATE=20100699&amp;VAR:FREQ=Quarterly&amp;VAR:RELITEM=RP&amp;VAR:CURRENCY=&amp;VAR:CURRSOURCE=EX","SHARE&amp;VAR:NATFREQ=QUARTERLY&amp;VAR:RFIELD=FINALIZED&amp;VAR:DB_TYPE=&amp;VAR:UNITS=M&amp;window=popup&amp;width=450&amp;height=300&amp;START_MAXIMIZED=FALSE"}</definedName>
    <definedName name="_380__FDSAUDITLINK__"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1__FDSAUDITLINK__"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2__FDSAUDITLINK__"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3__FDSAUDITLINK__"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4__FDSAUDITLINK__" hidden="1">{"fdsup://directions/FAT Viewer?action=UPDATE&amp;creator=factset&amp;DYN_ARGS=TRUE&amp;DOC_NAME=FAT:FQL_AUDITING_CLIENT_TEMPLATE.FAT&amp;display_string=Audit&amp;VAR:KEY=ROPSTOXIZW&amp;VAR:QUERY=RkZfQ0FQRVgoQU5OLDIwMTAsLCwsSUNfQ1VSUkVOQ1lfSVNPKCksTSk=&amp;WINDOW=FIRST_POPUP&amp;HEIGHT=45","0&amp;WIDTH=450&amp;START_MAXIMIZED=FALSE&amp;VAR:CALENDAR=US&amp;VAR:SYMBOL=572797&amp;VAR:INDEX=0"}</definedName>
    <definedName name="_385__FDSAUDITLINK__" hidden="1">{"fdsup://Directions/FactSet Auditing Viewer?action=AUDIT_VALUE&amp;DB=129&amp;ID1=572797&amp;VALUEID=01201&amp;SDATE=2010&amp;PERIODTYPE=ANN_STD&amp;window=popup_no_bar&amp;width=385&amp;height=120&amp;START_MAXIMIZED=FALSE&amp;creator=factset&amp;display_string=Audit"}</definedName>
    <definedName name="_386__FDSAUDITLINK__" hidden="1">{"fdsup://Directions/FactSet Auditing Viewer?action=AUDIT_VALUE&amp;DB=129&amp;ID1=572797&amp;VALUEID=04831&amp;SDATE=2010&amp;PERIODTYPE=ANN_STD&amp;window=popup_no_bar&amp;width=385&amp;height=120&amp;START_MAXIMIZED=FALSE&amp;creator=factset&amp;display_string=Audit"}</definedName>
    <definedName name="_387__FDSAUDITLINK__" hidden="1">{"fdsup://Directions/FactSet Auditing Viewer?action=AUDIT_VALUE&amp;DB=129&amp;ID1=572797&amp;VALUEID=01001&amp;SDATE=2008&amp;PERIODTYPE=ANN_STD&amp;window=popup_no_bar&amp;width=385&amp;height=120&amp;START_MAXIMIZED=FALSE&amp;creator=factset&amp;display_string=Audit"}</definedName>
    <definedName name="_388__FDSAUDITLINK__" hidden="1">{"fdsup://directions/FAT Viewer?action=UPDATE&amp;creator=factset&amp;DYN_ARGS=TRUE&amp;DOC_NAME=FAT:FQL_AUDITING_CLIENT_TEMPLATE.FAT&amp;display_string=Audit&amp;VAR:KEY=VCZCPGTWJW&amp;VAR:QUERY=RkZfRUJJVERBX09QRVIoQU5OLDIwMDgsLCwsSUNfQ1VSUkVOQ1lfSVNPKCksTSk=&amp;WINDOW=FIRST_POPUP&amp;H","EIGHT=450&amp;WIDTH=450&amp;START_MAXIMIZED=FALSE&amp;VAR:CALENDAR=US&amp;VAR:SYMBOL=572797&amp;VAR:INDEX=0"}</definedName>
    <definedName name="_389__FDSAUDITLINK__" hidden="1">{"fdsup://Directions/FactSet Auditing Viewer?action=AUDIT_VALUE&amp;DB=129&amp;ID1=572797&amp;VALUEID=01151&amp;SDATE=2008&amp;PERIODTYPE=ANN_STD&amp;window=popup_no_bar&amp;width=385&amp;height=120&amp;START_MAXIMIZED=FALSE&amp;creator=factset&amp;display_string=Audit"}</definedName>
    <definedName name="_39__123Graph_LBL_ECHART_4" hidden="1">#REF!</definedName>
    <definedName name="_39__FDSAUDITLINK__" hidden="1">{"fdsup://IBCentral/FAT Viewer?action=UPDATE&amp;creator=factset&amp;DOC_NAME=fat:reuters_annual_source_window.fat&amp;display_string=Audit&amp;DYN_ARGS=TRUE&amp;VAR:ID1=30231G10&amp;VAR:RCODE=LLTD&amp;VAR:SDATE=20051299&amp;VAR:FREQ=Y&amp;VAR:RELITEM=RP&amp;VAR:CURRENCY=&amp;VAR:CURRSOURCE=EXSHARE&amp;V","AR:NATFREQ=ANNUAL&amp;VAR:RFIELD=FINALIZED&amp;VAR:DB_TYPE=&amp;VAR:UNITS=M&amp;window=popup&amp;width=450&amp;height=300&amp;START_MAXIMIZED=FALSE"}</definedName>
    <definedName name="_39__FDSAUDITLINK___1" hidden="1">{"fdsup://IBCentral/FAT Viewer?action=UPDATE&amp;creator=factset&amp;DOC_NAME=fat:reuters_semi_source_window.fat&amp;display_string=Audit&amp;DYN_ARGS=TRUE&amp;VAR:ID1=BMRN&amp;VAR:RCODE=FDSPFDSTKTOTAL&amp;VAR:SDATE=0&amp;VAR:FREQ=FSA&amp;VAR:RELITEM=RP&amp;VAR:CURRENCY=&amp;VAR:CURRSOURCE=EXSHARE&amp;VA","R:NATFREQ=FSA&amp;VAR:RFIELD=FINALIZED&amp;VAR:DB_TYPE=&amp;VAR:UNITS=M&amp;window=popup&amp;width=450&amp;height=300&amp;START_MAXIMIZED=FALSE"}</definedName>
    <definedName name="_39__FDSAUDITLINK___2" hidden="1">{"fdsup://IBCentral/FAT Viewer?action=UPDATE&amp;creator=factset&amp;DOC_NAME=fat:reuters_semi_source_window.fat&amp;display_string=Audit&amp;DYN_ARGS=TRUE&amp;VAR:ID1=BMRN&amp;VAR:RCODE=FDSPFDSTKTOTAL&amp;VAR:SDATE=0&amp;VAR:FREQ=FSA&amp;VAR:RELITEM=RP&amp;VAR:CURRENCY=&amp;VAR:CURRSOURCE=EXSHARE&amp;VA","R:NATFREQ=FSA&amp;VAR:RFIELD=FINALIZED&amp;VAR:DB_TYPE=&amp;VAR:UNITS=M&amp;window=popup&amp;width=450&amp;height=300&amp;START_MAXIMIZED=FALSE"}</definedName>
    <definedName name="_390__FDSAUDITLINK__" hidden="1">{"fdsup://directions/FAT Viewer?action=UPDATE&amp;creator=factset&amp;DYN_ARGS=TRUE&amp;DOC_NAME=FAT:FQL_AUDITING_CLIENT_TEMPLATE.FAT&amp;display_string=Audit&amp;VAR:KEY=JGVWVIRERK&amp;VAR:QUERY=RkZfRUJJVF9PUEVSKEFOTiwyMDA4LCwsLElDX0NVUlJFTkNZX0lTTygpLE0p&amp;WINDOW=FIRST_POPUP&amp;HEIGH","T=450&amp;WIDTH=450&amp;START_MAXIMIZED=FALSE&amp;VAR:CALENDAR=US&amp;VAR:SYMBOL=572797&amp;VAR:INDEX=0"}</definedName>
    <definedName name="_391__FDSAUDITLINK__" hidden="1">{"fdsup://Directions/FactSet Auditing Viewer?action=AUDIT_VALUE&amp;DB=129&amp;ID1=572797&amp;VALUEID=01250&amp;SDATE=2008&amp;PERIODTYPE=ANN_STD&amp;window=popup_no_bar&amp;width=385&amp;height=120&amp;START_MAXIMIZED=FALSE&amp;creator=factset&amp;display_string=Audit"}</definedName>
    <definedName name="_392__FDSAUDITLINK__" hidden="1">{"fdsup://directions/FAT Viewer?action=UPDATE&amp;creator=factset&amp;DYN_ARGS=TRUE&amp;DOC_NAME=FAT:FQL_AUDITING_CLIENT_TEMPLATE.FAT&amp;display_string=Audit&amp;VAR:KEY=ZOHSTKJQZA&amp;VAR:QUERY=RkZfRVBTX0RJTChBTk4sMjAwOCwsLCxJQ19DVVJSRU5DWV9JU08oKSk=&amp;WINDOW=FIRST_POPUP&amp;HEIGHT=45","0&amp;WIDTH=450&amp;START_MAXIMIZED=FALSE&amp;VAR:CALENDAR=US&amp;VAR:SYMBOL=572797&amp;VAR:INDEX=0"}</definedName>
    <definedName name="_393__FDSAUDITLINK__" hidden="1">{"fdsup://directions/FAT Viewer?action=UPDATE&amp;creator=factset&amp;DYN_ARGS=TRUE&amp;DOC_NAME=FAT:FQL_AUDITING_CLIENT_TEMPLATE.FAT&amp;display_string=Audit&amp;VAR:KEY=FKRCLEVYXM&amp;VAR:QUERY=RkZfQ0FQRVgoQU5OLDIwMDgsLCwsSUNfQ1VSUkVOQ1lfSVNPKCksTSk=&amp;WINDOW=FIRST_POPUP&amp;HEIGHT=45","0&amp;WIDTH=450&amp;START_MAXIMIZED=FALSE&amp;VAR:CALENDAR=US&amp;VAR:SYMBOL=572797&amp;VAR:INDEX=0"}</definedName>
    <definedName name="_3939__FDSAUDITLINK__" hidden="1">{"fdsup://directions/FAT Viewer?action=UPDATE&amp;creator=factset&amp;DYN_ARGS=TRUE&amp;DOC_NAME=FAT:FQL_AUDITING_CLIENT_TEMPLATE.FAT&amp;display_string=Audit&amp;VAR:KEY=CRSLGZYZMX&amp;VAR:QUERY=RkZfSU5UX0VYUF9ORVQoTFRNUywwLCwsLEZGX0NVUk5fRE9DKCkp&amp;WINDOW=FIRST_POPUP&amp;HEIGHT=450&amp;WI","DTH=450&amp;START_MAXIMIZED=FALSE&amp;VAR:CALENDAR=US&amp;VAR:SYMBOL=023208&amp;VAR:INDEX=0"}</definedName>
    <definedName name="_394__FDSAUDITLINK__" hidden="1">{"fdsup://Directions/FactSet Auditing Viewer?action=AUDIT_VALUE&amp;DB=129&amp;ID1=572797&amp;VALUEID=01201&amp;SDATE=2008&amp;PERIODTYPE=ANN_STD&amp;window=popup_no_bar&amp;width=385&amp;height=120&amp;START_MAXIMIZED=FALSE&amp;creator=factset&amp;display_string=Audit"}</definedName>
    <definedName name="_395__FDSAUDITLINK__" hidden="1">{"fdsup://Directions/FactSet Auditing Viewer?action=AUDIT_VALUE&amp;DB=129&amp;ID1=572797&amp;VALUEID=04831&amp;SDATE=2008&amp;PERIODTYPE=ANN_STD&amp;window=popup_no_bar&amp;width=385&amp;height=120&amp;START_MAXIMIZED=FALSE&amp;creator=factset&amp;display_string=Audit"}</definedName>
    <definedName name="_396__FDSAUDITLINK__" hidden="1">{"fdsup://Directions/FactSet Auditing Viewer?action=AUDIT_VALUE&amp;DB=129&amp;ID1=572797&amp;VALUEID=05194&amp;SDATE=2008&amp;PERIODTYPE=ANNR_STD&amp;window=popup_no_bar&amp;width=385&amp;height=120&amp;START_MAXIMIZED=FALSE&amp;creator=factset&amp;display_string=Audit"}</definedName>
    <definedName name="_397__FDSAUDITLINK__" hidden="1">{"fdsup://directions/FAT Viewer?action=UPDATE&amp;creator=factset&amp;DYN_ARGS=TRUE&amp;DOC_NAME=FAT:FQL_AUDITING_CLIENT_TEMPLATE.FAT&amp;display_string=Audit&amp;VAR:KEY=ZCVOXIVKHW&amp;VAR:QUERY=RkZfQ0FQRVgoQU5OLDIwMDksLCwsSUNfQ1VSUkVOQ1lfSVNPKCksTSk=&amp;WINDOW=FIRST_POPUP&amp;HEIGHT=45","0&amp;WIDTH=450&amp;START_MAXIMIZED=FALSE&amp;VAR:CALENDAR=US&amp;VAR:SYMBOL=572797&amp;VAR:INDEX=0"}</definedName>
    <definedName name="_398__FDSAUDITLINK__" hidden="1">{"fdsup://directions/FAT Viewer?action=UPDATE&amp;creator=factset&amp;DYN_ARGS=TRUE&amp;DOC_NAME=FAT:FQL_AUDITING_CLIENT_TEMPLATE.FAT&amp;display_string=Audit&amp;VAR:KEY=DWBMRUJGDI&amp;VAR:QUERY=RkZfRVBTX0RJTChBTk4sMjAwOSwsLCxJQ19DVVJSRU5DWV9JU08oKSk=&amp;WINDOW=FIRST_POPUP&amp;HEIGHT=45","0&amp;WIDTH=450&amp;START_MAXIMIZED=FALSE&amp;VAR:CALENDAR=US&amp;VAR:SYMBOL=572797&amp;VAR:INDEX=0"}</definedName>
    <definedName name="_399__FDSAUDITLINK__" hidden="1">{"fdsup://directions/FAT Viewer?action=UPDATE&amp;creator=factset&amp;DYN_ARGS=TRUE&amp;DOC_NAME=FAT:FQL_AUDITING_CLIENT_TEMPLATE.FAT&amp;display_string=Audit&amp;VAR:KEY=XKJQTWJANI&amp;VAR:QUERY=RkZfSU5UX0VYUF9ORVQoTFRNUywwLCwsLElDX0NVUlJFTkNZX0lTTygpKQ==&amp;WINDOW=FIRST_POPUP&amp;HEIGH","T=450&amp;WIDTH=450&amp;START_MAXIMIZED=FALSE&amp;VAR:CALENDAR=US&amp;VAR:SYMBOL=572797&amp;VAR:INDEX=0"}</definedName>
    <definedName name="_4__123Graph_ACHART_1" hidden="1">#REF!</definedName>
    <definedName name="_4__123Graph_ACHART_12" hidden="1">#REF!</definedName>
    <definedName name="_4__123Graph_ACHART_2" hidden="1">#REF!</definedName>
    <definedName name="_4__123Graph_CCHART_1" hidden="1">#REF!</definedName>
    <definedName name="_4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1"}</definedName>
    <definedName name="_4__FDSAUDITLINK___1" hidden="1">{"fdsup://directions/FAT Viewer?action=UPDATE&amp;creator=factset&amp;DYN_ARGS=TRUE&amp;DOC_NAME=FAT:FQL_AUDITING_CLIENT_TEMPLATE.FAT&amp;display_string=Audit&amp;VAR:KEY=SXCZQTEVWT&amp;VAR:QUERY=UkdGX0VOVFJQUl9WQUwoQU5OLDQwNTYyLCwsLCwsTk9BVURJVCk=&amp;WINDOW=FIRST_POPUP&amp;HEIGHT=450&amp;WI","DTH=450&amp;START_MAXIMIZED=FALSE&amp;VAR:CALENDAR=US&amp;VAR:SYMBOL=AMMD&amp;VAR:INDEX=0"}</definedName>
    <definedName name="_4__FDSAUDITLINK___2" hidden="1">{"fdsup://directions/FAT Viewer?action=UPDATE&amp;creator=factset&amp;DYN_ARGS=TRUE&amp;DOC_NAME=FAT:FQL_AUDITING_CLIENT_TEMPLATE.FAT&amp;display_string=Audit&amp;VAR:KEY=SXCZQTEVWT&amp;VAR:QUERY=UkdGX0VOVFJQUl9WQUwoQU5OLDQwNTYyLCwsLCwsTk9BVURJVCk=&amp;WINDOW=FIRST_POPUP&amp;HEIGHT=450&amp;WI","DTH=450&amp;START_MAXIMIZED=FALSE&amp;VAR:CALENDAR=US&amp;VAR:SYMBOL=AMMD&amp;VAR:INDEX=0"}</definedName>
    <definedName name="_40__123Graph_XCHART_1" hidden="1">#REF!</definedName>
    <definedName name="_40__FDSAUDITLINK__" hidden="1">{"fdsup://IBCentral/FAT Viewer?action=UPDATE&amp;creator=factset&amp;DOC_NAME=fat:reuters_annual_source_window.fat&amp;display_string=Audit&amp;DYN_ARGS=TRUE&amp;VAR:ID1=30231G10&amp;VAR:RCODE=LLTD&amp;VAR:SDATE=20041299&amp;VAR:FREQ=Y&amp;VAR:RELITEM=RP&amp;VAR:CURRENCY=&amp;VAR:CURRSOURCE=EXSHARE&amp;V","AR:NATFREQ=ANNUAL&amp;VAR:RFIELD=FINALIZED&amp;VAR:DB_TYPE=&amp;VAR:UNITS=M&amp;window=popup&amp;width=450&amp;height=300&amp;START_MAXIMIZED=FALSE"}</definedName>
    <definedName name="_40__FDSAUDITLINK___1" hidden="1">{"fdsup://IBCentral/FAT Viewer?action=UPDATE&amp;creator=factset&amp;DOC_NAME=fat:reuters_semi_source_window.fat&amp;display_string=Audit&amp;DYN_ARGS=TRUE&amp;VAR:ID1=711038&amp;VAR:RCODE=FDSPFDSTKTOTAL&amp;VAR:SDATE=0&amp;VAR:FREQ=FSA&amp;VAR:RELITEM=RP&amp;VAR:CURRENCY=&amp;VAR:CURRSOURCE=EXSHARE&amp;","VAR:NATFREQ=FSA&amp;VAR:RFIELD=FINALIZED&amp;VAR:DB_TYPE=&amp;VAR:UNITS=M&amp;window=popup&amp;width=450&amp;height=300&amp;START_MAXIMIZED=FALSE"}</definedName>
    <definedName name="_40__FDSAUDITLINK___2" hidden="1">{"fdsup://IBCentral/FAT Viewer?action=UPDATE&amp;creator=factset&amp;DOC_NAME=fat:reuters_semi_source_window.fat&amp;display_string=Audit&amp;DYN_ARGS=TRUE&amp;VAR:ID1=711038&amp;VAR:RCODE=FDSPFDSTKTOTAL&amp;VAR:SDATE=0&amp;VAR:FREQ=FSA&amp;VAR:RELITEM=RP&amp;VAR:CURRENCY=&amp;VAR:CURRSOURCE=EXSHARE&amp;","VAR:NATFREQ=FSA&amp;VAR:RFIELD=FINALIZED&amp;VAR:DB_TYPE=&amp;VAR:UNITS=M&amp;window=popup&amp;width=450&amp;height=300&amp;START_MAXIMIZED=FALSE"}</definedName>
    <definedName name="_400__FDSAUDITLINK__" hidden="1">{"fdsup://directions/FAT Viewer?action=UPDATE&amp;creator=factset&amp;DYN_ARGS=TRUE&amp;DOC_NAME=FAT:FQL_AUDITING_CLIENT_TEMPLATE.FAT&amp;display_string=Audit&amp;VAR:KEY=BCDAFAZGVW&amp;VAR:QUERY=RkZfTkVUX0lOQyhMVE1TLDAsLCwsSUNfQ1VSUkVOQ1lfSVNPKCkp&amp;WINDOW=FIRST_POPUP&amp;HEIGHT=450&amp;WI","DTH=450&amp;START_MAXIMIZED=FALSE&amp;VAR:CALENDAR=US&amp;VAR:SYMBOL=572797&amp;VAR:INDEX=0"}</definedName>
    <definedName name="_401__FDSAUDITLINK__" hidden="1">{"fdsup://directions/FAT Viewer?action=UPDATE&amp;creator=factset&amp;DYN_ARGS=TRUE&amp;DOC_NAME=FAT:FQL_AUDITING_CLIENT_TEMPLATE.FAT&amp;display_string=Audit&amp;VAR:KEY=HIHONWTQRM&amp;VAR:QUERY=RkZfRUJJVF9PUEVSKExUTVMsMCwsLCxJQ19DVVJSRU5DWV9JU08oKSk=&amp;WINDOW=FIRST_POPUP&amp;HEIGHT=45","0&amp;WIDTH=450&amp;START_MAXIMIZED=FALSE&amp;VAR:CALENDAR=US&amp;VAR:SYMBOL=572797&amp;VAR:INDEX=0"}</definedName>
    <definedName name="_402__FDSAUDITLINK__" hidden="1">{"fdsup://directions/FAT Viewer?action=UPDATE&amp;creator=factset&amp;DYN_ARGS=TRUE&amp;DOC_NAME=FAT:FQL_AUDITING_CLIENT_TEMPLATE.FAT&amp;display_string=Audit&amp;VAR:KEY=ZUXQREPOTK&amp;VAR:QUERY=RkZfRUJJVERBX09QRVIoTFRNUywwLCwsLElDX0NVUlJFTkNZX0lTTygpKQ==&amp;WINDOW=FIRST_POPUP&amp;HEIGH","T=450&amp;WIDTH=450&amp;START_MAXIMIZED=FALSE&amp;VAR:CALENDAR=US&amp;VAR:SYMBOL=572797&amp;VAR:INDEX=0"}</definedName>
    <definedName name="_403__FDSAUDITLINK__" hidden="1">{"fdsup://directions/FAT Viewer?action=UPDATE&amp;creator=factset&amp;DYN_ARGS=TRUE&amp;DOC_NAME=FAT:FQL_AUDITING_CLIENT_TEMPLATE.FAT&amp;display_string=Audit&amp;VAR:KEY=JALAPUBUZC&amp;VAR:QUERY=RkZfRUJJVF9PUEVSKEFOTiwyMDA5LCwsLElDX0NVUlJFTkNZX0lTTygpLE0p&amp;WINDOW=FIRST_POPUP&amp;HEIGH","T=450&amp;WIDTH=450&amp;START_MAXIMIZED=FALSE&amp;VAR:CALENDAR=US&amp;VAR:SYMBOL=572797&amp;VAR:INDEX=0"}</definedName>
    <definedName name="_404__FDSAUDITLINK__" hidden="1">{"fdsup://directions/FAT Viewer?action=UPDATE&amp;creator=factset&amp;DYN_ARGS=TRUE&amp;DOC_NAME=FAT:FQL_AUDITING_CLIENT_TEMPLATE.FAT&amp;display_string=Audit&amp;VAR:KEY=FUJCTQTAFQ&amp;VAR:QUERY=RkZfRUJJVERBX09QRVIoQU5OLDIwMDksLCwsSUNfQ1VSUkVOQ1lfSVNPKCksTSk=&amp;WINDOW=FIRST_POPUP&amp;H","EIGHT=450&amp;WIDTH=450&amp;START_MAXIMIZED=FALSE&amp;VAR:CALENDAR=US&amp;VAR:SYMBOL=572797&amp;VAR:INDEX=0"}</definedName>
    <definedName name="_405__FDSAUDITLINK__" hidden="1">{"fdsup://Directions/FactSet Auditing Viewer?action=AUDIT_VALUE&amp;DB=129&amp;ID1=572797&amp;VALUEID=01001&amp;SDATE=2010&amp;PERIODTYPE=ANN_STD&amp;window=popup_no_bar&amp;width=385&amp;height=120&amp;START_MAXIMIZED=FALSE&amp;creator=factset&amp;display_string=Audit"}</definedName>
    <definedName name="_406__FDSAUDITLINK__" hidden="1">{"fdsup://directions/FAT Viewer?action=UPDATE&amp;creator=factset&amp;DYN_ARGS=TRUE&amp;DOC_NAME=FAT:FQL_AUDITING_CLIENT_TEMPLATE.FAT&amp;display_string=Audit&amp;VAR:KEY=TAVWZCBKPQ&amp;VAR:QUERY=RkZfRUJJVERBX09QRVIoQU5OLDIwMTAsLCwsSUNfQ1VSUkVOQ1lfSVNPKCksTSk=&amp;WINDOW=FIRST_POPUP&amp;H","EIGHT=450&amp;WIDTH=450&amp;START_MAXIMIZED=FALSE&amp;VAR:CALENDAR=US&amp;VAR:SYMBOL=572797&amp;VAR:INDEX=0"}</definedName>
    <definedName name="_407__FDSAUDITLINK__" hidden="1">{"fdsup://Directions/FactSet Auditing Viewer?action=AUDIT_VALUE&amp;DB=129&amp;ID1=572797&amp;VALUEID=01151&amp;SDATE=2010&amp;PERIODTYPE=ANN_STD&amp;window=popup_no_bar&amp;width=385&amp;height=120&amp;START_MAXIMIZED=FALSE&amp;creator=factset&amp;display_string=Audit"}</definedName>
    <definedName name="_408__FDSAUDITLINK__" hidden="1">{"fdsup://directions/FAT Viewer?action=UPDATE&amp;creator=factset&amp;DYN_ARGS=TRUE&amp;DOC_NAME=FAT:FQL_AUDITING_CLIENT_TEMPLATE.FAT&amp;display_string=Audit&amp;VAR:KEY=JEBKJIZSJY&amp;VAR:QUERY=RkZfRUJJVF9PUEVSKEFOTiwyMDEwLCwsLElDX0NVUlJFTkNZX0lTTygpLE0p&amp;WINDOW=FIRST_POPUP&amp;HEIGH","T=450&amp;WIDTH=450&amp;START_MAXIMIZED=FALSE&amp;VAR:CALENDAR=US&amp;VAR:SYMBOL=572797&amp;VAR:INDEX=0"}</definedName>
    <definedName name="_409__FDSAUDITLINK__" hidden="1">{"fdsup://Directions/FactSet Auditing Viewer?action=AUDIT_VALUE&amp;DB=129&amp;ID1=572797&amp;VALUEID=01250&amp;SDATE=2010&amp;PERIODTYPE=ANN_STD&amp;window=popup_no_bar&amp;width=385&amp;height=120&amp;START_MAXIMIZED=FALSE&amp;creator=factset&amp;display_string=Audit"}</definedName>
    <definedName name="_41__123Graph_XCHART_19" hidden="1">#REF!</definedName>
    <definedName name="_41__FDSAUDITLINK__" hidden="1">{"fdsup://IBCentral/FAT Viewer?action=UPDATE&amp;creator=factset&amp;DOC_NAME=fat:reuters_annual_source_window.fat&amp;display_string=Audit&amp;DYN_ARGS=TRUE&amp;VAR:ID1=30231G10&amp;VAR:RCODE=LLTD&amp;VAR:SDATE=20031299&amp;VAR:FREQ=Y&amp;VAR:RELITEM=RP&amp;VAR:CURRENCY=&amp;VAR:CURRSOURCE=EXSHARE&amp;V","AR:NATFREQ=ANNUAL&amp;VAR:RFIELD=FINALIZED&amp;VAR:DB_TYPE=&amp;VAR:UNITS=M&amp;window=popup&amp;width=450&amp;height=300&amp;START_MAXIMIZED=FALSE"}</definedName>
    <definedName name="_41__FDSAUDITLINK___1" hidden="1">{"fdsup://IBCentral/FAT Viewer?action=UPDATE&amp;creator=factset&amp;DOC_NAME=fat:reuters_qtrly_source_window.fat&amp;display_string=Audit&amp;DYN_ARGS=TRUE&amp;VAR:ID1=09062X10&amp;VAR:RCODE=FDSPFDSTKTOTAL&amp;VAR:SDATE=20100699&amp;VAR:FREQ=Quarterly&amp;VAR:RELITEM=RP&amp;VAR:CURRENCY=&amp;VAR:CUR","RSOURCE=EXSHARE&amp;VAR:NATFREQ=QUARTERLY&amp;VAR:RFIELD=FINALIZED&amp;VAR:DB_TYPE=&amp;VAR:UNITS=M&amp;window=popup&amp;width=450&amp;height=300&amp;START_MAXIMIZED=FALSE"}</definedName>
    <definedName name="_41__FDSAUDITLINK___2" hidden="1">{"fdsup://IBCentral/FAT Viewer?action=UPDATE&amp;creator=factset&amp;DOC_NAME=fat:reuters_qtrly_source_window.fat&amp;display_string=Audit&amp;DYN_ARGS=TRUE&amp;VAR:ID1=09062X10&amp;VAR:RCODE=FDSPFDSTKTOTAL&amp;VAR:SDATE=20100699&amp;VAR:FREQ=Quarterly&amp;VAR:RELITEM=RP&amp;VAR:CURRENCY=&amp;VAR:CUR","RSOURCE=EXSHARE&amp;VAR:NATFREQ=QUARTERLY&amp;VAR:RFIELD=FINALIZED&amp;VAR:DB_TYPE=&amp;VAR:UNITS=M&amp;window=popup&amp;width=450&amp;height=300&amp;START_MAXIMIZED=FALSE"}</definedName>
    <definedName name="_410__FDSAUDITLINK__" hidden="1">{"fdsup://directions/FAT Viewer?action=UPDATE&amp;creator=factset&amp;DYN_ARGS=TRUE&amp;DOC_NAME=FAT:FQL_AUDITING_CLIENT_TEMPLATE.FAT&amp;display_string=Audit&amp;VAR:KEY=PIFCPQTURA&amp;VAR:QUERY=RkZfRVBTX0RJTChBTk4sMjAxMCwsLCxJQ19DVVJSRU5DWV9JU08oKSk=&amp;WINDOW=FIRST_POPUP&amp;HEIGHT=45","0&amp;WIDTH=450&amp;START_MAXIMIZED=FALSE&amp;VAR:CALENDAR=US&amp;VAR:SYMBOL=572797&amp;VAR:INDEX=0"}</definedName>
    <definedName name="_411__FDSAUDITLINK__" hidden="1">{"fdsup://directions/FAT Viewer?action=UPDATE&amp;creator=factset&amp;DYN_ARGS=TRUE&amp;DOC_NAME=FAT:FQL_AUDITING_CLIENT_TEMPLATE.FAT&amp;display_string=Audit&amp;VAR:KEY=ROPSTOXIZW&amp;VAR:QUERY=RkZfQ0FQRVgoQU5OLDIwMTAsLCwsSUNfQ1VSUkVOQ1lfSVNPKCksTSk=&amp;WINDOW=FIRST_POPUP&amp;HEIGHT=45","0&amp;WIDTH=450&amp;START_MAXIMIZED=FALSE&amp;VAR:CALENDAR=US&amp;VAR:SYMBOL=572797&amp;VAR:INDEX=0"}</definedName>
    <definedName name="_412__FDSAUDITLINK__" hidden="1">{"fdsup://Directions/FactSet Auditing Viewer?action=AUDIT_VALUE&amp;DB=129&amp;ID1=572797&amp;VALUEID=01201&amp;SDATE=2010&amp;PERIODTYPE=ANN_STD&amp;window=popup_no_bar&amp;width=385&amp;height=120&amp;START_MAXIMIZED=FALSE&amp;creator=factset&amp;display_string=Audit"}</definedName>
    <definedName name="_413__FDSAUDITLINK__" hidden="1">{"fdsup://Directions/FactSet Auditing Viewer?action=AUDIT_VALUE&amp;DB=129&amp;ID1=572797&amp;VALUEID=04831&amp;SDATE=2010&amp;PERIODTYPE=ANN_STD&amp;window=popup_no_bar&amp;width=385&amp;height=120&amp;START_MAXIMIZED=FALSE&amp;creator=factset&amp;display_string=Audit"}</definedName>
    <definedName name="_414__FDSAUDITLINK__" hidden="1">{"fdsup://Directions/FactSet Auditing Viewer?action=AUDIT_VALUE&amp;DB=129&amp;ID1=572797&amp;VALUEID=01001&amp;SDATE=2008&amp;PERIODTYPE=ANN_STD&amp;window=popup_no_bar&amp;width=385&amp;height=120&amp;START_MAXIMIZED=FALSE&amp;creator=factset&amp;display_string=Audit"}</definedName>
    <definedName name="_415__FDSAUDITLINK__" hidden="1">{"fdsup://directions/FAT Viewer?action=UPDATE&amp;creator=factset&amp;DYN_ARGS=TRUE&amp;DOC_NAME=FAT:FQL_AUDITING_CLIENT_TEMPLATE.FAT&amp;display_string=Audit&amp;VAR:KEY=VCZCPGTWJW&amp;VAR:QUERY=RkZfRUJJVERBX09QRVIoQU5OLDIwMDgsLCwsSUNfQ1VSUkVOQ1lfSVNPKCksTSk=&amp;WINDOW=FIRST_POPUP&amp;H","EIGHT=450&amp;WIDTH=450&amp;START_MAXIMIZED=FALSE&amp;VAR:CALENDAR=US&amp;VAR:SYMBOL=572797&amp;VAR:INDEX=0"}</definedName>
    <definedName name="_416__FDSAUDITLINK__" hidden="1">{"fdsup://Directions/FactSet Auditing Viewer?action=AUDIT_VALUE&amp;DB=129&amp;ID1=572797&amp;VALUEID=01151&amp;SDATE=2008&amp;PERIODTYPE=ANN_STD&amp;window=popup_no_bar&amp;width=385&amp;height=120&amp;START_MAXIMIZED=FALSE&amp;creator=factset&amp;display_string=Audit"}</definedName>
    <definedName name="_417__FDSAUDITLINK__" hidden="1">{"fdsup://directions/FAT Viewer?action=UPDATE&amp;creator=factset&amp;DYN_ARGS=TRUE&amp;DOC_NAME=FAT:FQL_AUDITING_CLIENT_TEMPLATE.FAT&amp;display_string=Audit&amp;VAR:KEY=JGVWVIRERK&amp;VAR:QUERY=RkZfRUJJVF9PUEVSKEFOTiwyMDA4LCwsLElDX0NVUlJFTkNZX0lTTygpLE0p&amp;WINDOW=FIRST_POPUP&amp;HEIGH","T=450&amp;WIDTH=450&amp;START_MAXIMIZED=FALSE&amp;VAR:CALENDAR=US&amp;VAR:SYMBOL=572797&amp;VAR:INDEX=0"}</definedName>
    <definedName name="_418__FDSAUDITLINK__" hidden="1">{"fdsup://Directions/FactSet Auditing Viewer?action=AUDIT_VALUE&amp;DB=129&amp;ID1=572797&amp;VALUEID=01250&amp;SDATE=2008&amp;PERIODTYPE=ANN_STD&amp;window=popup_no_bar&amp;width=385&amp;height=120&amp;START_MAXIMIZED=FALSE&amp;creator=factset&amp;display_string=Audit"}</definedName>
    <definedName name="_419__FDSAUDITLINK__" hidden="1">{"fdsup://directions/FAT Viewer?action=UPDATE&amp;creator=factset&amp;DYN_ARGS=TRUE&amp;DOC_NAME=FAT:FQL_AUDITING_CLIENT_TEMPLATE.FAT&amp;display_string=Audit&amp;VAR:KEY=ZOHSTKJQZA&amp;VAR:QUERY=RkZfRVBTX0RJTChBTk4sMjAwOCwsLCxJQ19DVVJSRU5DWV9JU08oKSk=&amp;WINDOW=FIRST_POPUP&amp;HEIGHT=45","0&amp;WIDTH=450&amp;START_MAXIMIZED=FALSE&amp;VAR:CALENDAR=US&amp;VAR:SYMBOL=572797&amp;VAR:INDEX=0"}</definedName>
    <definedName name="_42__123Graph_XCHART_2" hidden="1">#REF!</definedName>
    <definedName name="_42__FDSAUDITLINK__" hidden="1">{"fdsup://IBCentral/FAT Viewer?action=UPDATE&amp;creator=factset&amp;DOC_NAME=fat:reuters_annual_source_window.fat&amp;display_string=Audit&amp;DYN_ARGS=TRUE&amp;VAR:ID1=30231G10&amp;VAR:RCODE=LTCL&amp;VAR:SDATE=20071299&amp;VAR:FREQ=Y&amp;VAR:RELITEM=RP&amp;VAR:CURRENCY=&amp;VAR:CURRSOURCE=EXSHARE&amp;V","AR:NATFREQ=ANNUAL&amp;VAR:RFIELD=FINALIZED&amp;VAR:DB_TYPE=&amp;VAR:UNITS=M&amp;window=popup&amp;width=450&amp;height=300&amp;START_MAXIMIZED=FALSE"}</definedName>
    <definedName name="_42__FDSAUDITLINK___1" hidden="1">{"fdsup://IBCentral/FAT Viewer?action=UPDATE&amp;creator=factset&amp;DOC_NAME=fat:reuters_qtrly_source_window.fat&amp;display_string=Audit&amp;DYN_ARGS=TRUE&amp;VAR:ID1=01849010&amp;VAR:RCODE=STLD&amp;VAR:SDATE=20100699&amp;VAR:FREQ=Quarterly&amp;VAR:RELITEM=RP&amp;VAR:CURRENCY=&amp;VAR:CURRSOURCE=EX","SHARE&amp;VAR:NATFREQ=QUARTERLY&amp;VAR:RFIELD=FINALIZED&amp;VAR:DB_TYPE=&amp;VAR:UNITS=M&amp;window=popup&amp;width=450&amp;height=300&amp;START_MAXIMIZED=FALSE"}</definedName>
    <definedName name="_42__FDSAUDITLINK___2" hidden="1">{"fdsup://IBCentral/FAT Viewer?action=UPDATE&amp;creator=factset&amp;DOC_NAME=fat:reuters_qtrly_source_window.fat&amp;display_string=Audit&amp;DYN_ARGS=TRUE&amp;VAR:ID1=01849010&amp;VAR:RCODE=STLD&amp;VAR:SDATE=20100699&amp;VAR:FREQ=Quarterly&amp;VAR:RELITEM=RP&amp;VAR:CURRENCY=&amp;VAR:CURRSOURCE=EX","SHARE&amp;VAR:NATFREQ=QUARTERLY&amp;VAR:RFIELD=FINALIZED&amp;VAR:DB_TYPE=&amp;VAR:UNITS=M&amp;window=popup&amp;width=450&amp;height=300&amp;START_MAXIMIZED=FALSE"}</definedName>
    <definedName name="_420__FDSAUDITLINK__" hidden="1">{"fdsup://directions/FAT Viewer?action=UPDATE&amp;creator=factset&amp;DYN_ARGS=TRUE&amp;DOC_NAME=FAT:FQL_AUDITING_CLIENT_TEMPLATE.FAT&amp;display_string=Audit&amp;VAR:KEY=FKRCLEVYXM&amp;VAR:QUERY=RkZfQ0FQRVgoQU5OLDIwMDgsLCwsSUNfQ1VSUkVOQ1lfSVNPKCksTSk=&amp;WINDOW=FIRST_POPUP&amp;HEIGHT=45","0&amp;WIDTH=450&amp;START_MAXIMIZED=FALSE&amp;VAR:CALENDAR=US&amp;VAR:SYMBOL=572797&amp;VAR:INDEX=0"}</definedName>
    <definedName name="_421__FDSAUDITLINK__" hidden="1">{"fdsup://Directions/FactSet Auditing Viewer?action=AUDIT_VALUE&amp;DB=129&amp;ID1=572797&amp;VALUEID=01201&amp;SDATE=2008&amp;PERIODTYPE=ANN_STD&amp;window=popup_no_bar&amp;width=385&amp;height=120&amp;START_MAXIMIZED=FALSE&amp;creator=factset&amp;display_string=Audit"}</definedName>
    <definedName name="_422__FDSAUDITLINK__" hidden="1">{"fdsup://Directions/FactSet Auditing Viewer?action=AUDIT_VALUE&amp;DB=129&amp;ID1=572797&amp;VALUEID=04831&amp;SDATE=2008&amp;PERIODTYPE=ANN_STD&amp;window=popup_no_bar&amp;width=385&amp;height=120&amp;START_MAXIMIZED=FALSE&amp;creator=factset&amp;display_string=Audit"}</definedName>
    <definedName name="_423__FDSAUDITLINK__" hidden="1">{"fdsup://Directions/FactSet Auditing Viewer?action=AUDIT_VALUE&amp;DB=129&amp;ID1=572797&amp;VALUEID=05194&amp;SDATE=2008&amp;PERIODTYPE=ANNR_STD&amp;window=popup_no_bar&amp;width=385&amp;height=120&amp;START_MAXIMIZED=FALSE&amp;creator=factset&amp;display_string=Audit"}</definedName>
    <definedName name="_424__FDSAUDITLINK__" hidden="1">{"fdsup://directions/FAT Viewer?action=UPDATE&amp;creator=factset&amp;DYN_ARGS=TRUE&amp;DOC_NAME=FAT:FQL_AUDITING_CLIENT_TEMPLATE.FAT&amp;display_string=Audit&amp;VAR:KEY=ZCVOXIVKHW&amp;VAR:QUERY=RkZfQ0FQRVgoQU5OLDIwMDksLCwsSUNfQ1VSUkVOQ1lfSVNPKCksTSk=&amp;WINDOW=FIRST_POPUP&amp;HEIGHT=45","0&amp;WIDTH=450&amp;START_MAXIMIZED=FALSE&amp;VAR:CALENDAR=US&amp;VAR:SYMBOL=572797&amp;VAR:INDEX=0"}</definedName>
    <definedName name="_425__FDSAUDITLINK__" hidden="1">{"fdsup://directions/FAT Viewer?action=UPDATE&amp;creator=factset&amp;DYN_ARGS=TRUE&amp;DOC_NAME=FAT:FQL_AUDITING_CLIENT_TEMPLATE.FAT&amp;display_string=Audit&amp;VAR:KEY=DWBMRUJGDI&amp;VAR:QUERY=RkZfRVBTX0RJTChBTk4sMjAwOSwsLCxJQ19DVVJSRU5DWV9JU08oKSk=&amp;WINDOW=FIRST_POPUP&amp;HEIGHT=45","0&amp;WIDTH=450&amp;START_MAXIMIZED=FALSE&amp;VAR:CALENDAR=US&amp;VAR:SYMBOL=572797&amp;VAR:INDEX=0"}</definedName>
    <definedName name="_426__FDSAUDITLINK__" hidden="1">{"fdsup://directions/FAT Viewer?action=UPDATE&amp;creator=factset&amp;DYN_ARGS=TRUE&amp;DOC_NAME=FAT:FQL_AUDITING_CLIENT_TEMPLATE.FAT&amp;display_string=Audit&amp;VAR:KEY=JALAPUBUZC&amp;VAR:QUERY=RkZfRUJJVF9PUEVSKEFOTiwyMDA5LCwsLElDX0NVUlJFTkNZX0lTTygpLE0p&amp;WINDOW=FIRST_POPUP&amp;HEIGH","T=450&amp;WIDTH=450&amp;START_MAXIMIZED=FALSE&amp;VAR:CALENDAR=US&amp;VAR:SYMBOL=572797&amp;VAR:INDEX=0"}</definedName>
    <definedName name="_427__FDSAUDITLINK__" hidden="1">{"fdsup://directions/FAT Viewer?action=UPDATE&amp;creator=factset&amp;DYN_ARGS=TRUE&amp;DOC_NAME=FAT:FQL_AUDITING_CLIENT_TEMPLATE.FAT&amp;display_string=Audit&amp;VAR:KEY=FUJCTQTAFQ&amp;VAR:QUERY=RkZfRUJJVERBX09QRVIoQU5OLDIwMDksLCwsSUNfQ1VSUkVOQ1lfSVNPKCksTSk=&amp;WINDOW=FIRST_POPUP&amp;H","EIGHT=450&amp;WIDTH=450&amp;START_MAXIMIZED=FALSE&amp;VAR:CALENDAR=US&amp;VAR:SYMBOL=572797&amp;VAR:INDEX=0"}</definedName>
    <definedName name="_428__FDSAUDITLINK__" hidden="1">{"fdsup://Directions/FactSet Auditing Viewer?action=AUDIT_VALUE&amp;DB=129&amp;ID1=09057220&amp;VALUEID=01201&amp;SDATE=2009&amp;PERIODTYPE=ANN_STD&amp;window=popup_no_bar&amp;width=385&amp;height=120&amp;START_MAXIMIZED=FALSE&amp;creator=factset&amp;display_string=Audit"}</definedName>
    <definedName name="_429__FDSAUDITLINK__" hidden="1">{"fdsup://Directions/FactSet Auditing Viewer?action=AUDIT_VALUE&amp;DB=129&amp;ID1=573282&amp;VALUEID=02001&amp;SDATE=201004&amp;PERIODTYPE=QTR_STD&amp;window=popup_no_bar&amp;width=385&amp;height=120&amp;START_MAXIMIZED=FALSE&amp;creator=factset&amp;display_string=Audit"}</definedName>
    <definedName name="_42wrn.²Ä1­Ó¤ë1_Ü20¤H." hidden="1">{#N/A,#N/A,FALSE,"²Ä1­Ó¤ë"}</definedName>
    <definedName name="_43__123Graph_XCHART_20" hidden="1">#REF!</definedName>
    <definedName name="_43__FDSAUDITLINK__" hidden="1">{"fdsup://IBCentral/FAT Viewer?action=UPDATE&amp;creator=factset&amp;DOC_NAME=fat:reuters_annual_source_window.fat&amp;display_string=Audit&amp;DYN_ARGS=TRUE&amp;VAR:ID1=30231G10&amp;VAR:RCODE=LTCL&amp;VAR:SDATE=20061299&amp;VAR:FREQ=Y&amp;VAR:RELITEM=RP&amp;VAR:CURRENCY=&amp;VAR:CURRSOURCE=EXSHARE&amp;V","AR:NATFREQ=ANNUAL&amp;VAR:RFIELD=FINALIZED&amp;VAR:DB_TYPE=&amp;VAR:UNITS=M&amp;window=popup&amp;width=450&amp;height=300&amp;START_MAXIMIZED=FALSE"}</definedName>
    <definedName name="_43__FDSAUDITLINK___1" hidden="1">{"fdsup://IBCentral/FAT Viewer?action=UPDATE&amp;creator=factset&amp;DOC_NAME=fat:reuters_qtrly_source_window.fat&amp;display_string=Audit&amp;DYN_ARGS=TRUE&amp;VAR:ID1=B07DRZ&amp;VAR:RCODE=STLD&amp;VAR:SDATE=20100699&amp;VAR:FREQ=Quarterly&amp;VAR:RELITEM=RP&amp;VAR:CURRENCY=&amp;VAR:CURRSOURCE=EXSH","ARE&amp;VAR:NATFREQ=QUARTERLY&amp;VAR:RFIELD=FINALIZED&amp;VAR:DB_TYPE=&amp;VAR:UNITS=M&amp;window=popup&amp;width=450&amp;height=300&amp;START_MAXIMIZED=FALSE"}</definedName>
    <definedName name="_43__FDSAUDITLINK___2" hidden="1">{"fdsup://IBCentral/FAT Viewer?action=UPDATE&amp;creator=factset&amp;DOC_NAME=fat:reuters_qtrly_source_window.fat&amp;display_string=Audit&amp;DYN_ARGS=TRUE&amp;VAR:ID1=B07DRZ&amp;VAR:RCODE=STLD&amp;VAR:SDATE=20100699&amp;VAR:FREQ=Quarterly&amp;VAR:RELITEM=RP&amp;VAR:CURRENCY=&amp;VAR:CURRSOURCE=EXSH","ARE&amp;VAR:NATFREQ=QUARTERLY&amp;VAR:RFIELD=FINALIZED&amp;VAR:DB_TYPE=&amp;VAR:UNITS=M&amp;window=popup&amp;width=450&amp;height=300&amp;START_MAXIMIZED=FALSE"}</definedName>
    <definedName name="_430__FDSAUDITLINK__" hidden="1">{"fdsup://Directions/FactSet Auditing Viewer?action=AUDIT_VALUE&amp;DB=129&amp;ID1=573282&amp;VALUEID=01001&amp;SDATE=2010&amp;PERIODTYPE=ANN_STD&amp;window=popup_no_bar&amp;width=385&amp;height=120&amp;START_MAXIMIZED=FALSE&amp;creator=factset&amp;display_string=Audit"}</definedName>
    <definedName name="_431__FDSAUDITLINK__" hidden="1">{"fdsup://directions/FAT Viewer?action=UPDATE&amp;creator=factset&amp;DYN_ARGS=TRUE&amp;DOC_NAME=FAT:FQL_AUDITING_CLIENT_TEMPLATE.FAT&amp;display_string=Audit&amp;VAR:KEY=PCZWDEPONM&amp;VAR:QUERY=RkZfRUJJVERBX09QRVIoQU5OLDIwMTAsLCwsSUNfQ1VSUkVOQ1lfSVNPKCksTSk=&amp;WINDOW=FIRST_POPUP&amp;H","EIGHT=450&amp;WIDTH=450&amp;START_MAXIMIZED=FALSE&amp;VAR:CALENDAR=US&amp;VAR:SYMBOL=573282&amp;VAR:INDEX=0"}</definedName>
    <definedName name="_432__FDSAUDITLINK__" hidden="1">{"fdsup://directions/FAT Viewer?action=UPDATE&amp;creator=factset&amp;DYN_ARGS=TRUE&amp;DOC_NAME=FAT:FQL_AUDITING_CLIENT_TEMPLATE.FAT&amp;display_string=Audit&amp;VAR:KEY=BKBOTGDMXU&amp;VAR:QUERY=RkZfRUJJVF9PUEVSKEFOTiwyMDA4LCwsLElDX0NVUlJFTkNZX0lTTygpLE0p&amp;WINDOW=FIRST_POPUP&amp;HEIGH","T=450&amp;WIDTH=450&amp;START_MAXIMIZED=FALSE&amp;VAR:CALENDAR=US&amp;VAR:SYMBOL=09057220&amp;VAR:INDEX=0"}</definedName>
    <definedName name="_433__FDSAUDITLINK__" hidden="1">{"fdsup://Directions/FactSet Auditing Viewer?action=AUDIT_VALUE&amp;DB=129&amp;ID1=573282&amp;VALUEID=01151&amp;SDATE=2010&amp;PERIODTYPE=ANN_STD&amp;window=popup_no_bar&amp;width=385&amp;height=120&amp;START_MAXIMIZED=FALSE&amp;creator=factset&amp;display_string=Audit"}</definedName>
    <definedName name="_434__FDSAUDITLINK__" hidden="1">{"fdsup://Directions/FactSet Auditing Viewer?action=AUDIT_VALUE&amp;DB=129&amp;ID1=573282&amp;VALUEID=01250&amp;SDATE=2010&amp;PERIODTYPE=ANN_STD&amp;window=popup_no_bar&amp;width=385&amp;height=120&amp;START_MAXIMIZED=FALSE&amp;creator=factset&amp;display_string=Audit"}</definedName>
    <definedName name="_435__FDSAUDITLINK__" hidden="1">{"fdsup://Directions/FactSet Auditing Viewer?action=AUDIT_VALUE&amp;DB=129&amp;ID1=573282&amp;VALUEID=01250&amp;SDATE=2010&amp;PERIODTYPE=ANN_STD&amp;window=popup_no_bar&amp;width=385&amp;height=120&amp;START_MAXIMIZED=FALSE&amp;creator=factset&amp;display_string=Audit"}</definedName>
    <definedName name="_436__FDSAUDITLINK__" hidden="1">{"fdsup://directions/FAT Viewer?action=UPDATE&amp;creator=factset&amp;DYN_ARGS=TRUE&amp;DOC_NAME=FAT:FQL_AUDITING_CLIENT_TEMPLATE.FAT&amp;display_string=Audit&amp;VAR:KEY=VGZOVODYLK&amp;VAR:QUERY=RkZfRVBTX0RJTChBTk4sMjAxMCwsLCxJQ19DVVJSRU5DWV9JU08oKSk=&amp;WINDOW=FIRST_POPUP&amp;HEIGHT=45","0&amp;WIDTH=450&amp;START_MAXIMIZED=FALSE&amp;VAR:CALENDAR=US&amp;VAR:SYMBOL=573282&amp;VAR:INDEX=0"}</definedName>
    <definedName name="_437__FDSAUDITLINK__" hidden="1">{"fdsup://directions/FAT Viewer?action=UPDATE&amp;creator=factset&amp;DYN_ARGS=TRUE&amp;DOC_NAME=FAT:FQL_AUDITING_CLIENT_TEMPLATE.FAT&amp;display_string=Audit&amp;VAR:KEY=DOPCRYLOVS&amp;VAR:QUERY=RkZfQ0FQRVgoQU5OLDIwMTAsLCwsSUNfQ1VSUkVOQ1lfSVNPKCksTSk=&amp;WINDOW=FIRST_POPUP&amp;HEIGHT=45","0&amp;WIDTH=450&amp;START_MAXIMIZED=FALSE&amp;VAR:CALENDAR=US&amp;VAR:SYMBOL=573282&amp;VAR:INDEX=0"}</definedName>
    <definedName name="_438__FDSAUDITLINK__" hidden="1">{"fdsup://Directions/FactSet Auditing Viewer?action=AUDIT_VALUE&amp;DB=129&amp;ID1=573282&amp;VALUEID=01001&amp;SDATE=2008&amp;PERIODTYPE=ANN_STD&amp;window=popup_no_bar&amp;width=385&amp;height=120&amp;START_MAXIMIZED=FALSE&amp;creator=factset&amp;display_string=Audit"}</definedName>
    <definedName name="_439__FDSAUDITLINK__" hidden="1">{"fdsup://directions/FAT Viewer?action=UPDATE&amp;creator=factset&amp;DYN_ARGS=TRUE&amp;DOC_NAME=FAT:FQL_AUDITING_CLIENT_TEMPLATE.FAT&amp;display_string=Audit&amp;VAR:KEY=LCPEJIDQVO&amp;VAR:QUERY=RkZfRUJJVERBX09QRVIoQU5OLDIwMDgsLCwsSUNfQ1VSUkVOQ1lfSVNPKCksTSk=&amp;WINDOW=FIRST_POPUP&amp;H","EIGHT=450&amp;WIDTH=450&amp;START_MAXIMIZED=FALSE&amp;VAR:CALENDAR=US&amp;VAR:SYMBOL=573282&amp;VAR:INDEX=0"}</definedName>
    <definedName name="_44__123Graph_XCHART_21" hidden="1">#REF!</definedName>
    <definedName name="_44__FDSAUDITLINK__" hidden="1">{"fdsup://IBCentral/FAT Viewer?action=UPDATE&amp;creator=factset&amp;DOC_NAME=fat:reuters_annual_source_window.fat&amp;display_string=Audit&amp;DYN_ARGS=TRUE&amp;VAR:ID1=30231G10&amp;VAR:RCODE=LTCL&amp;VAR:SDATE=20051299&amp;VAR:FREQ=Y&amp;VAR:RELITEM=RP&amp;VAR:CURRENCY=&amp;VAR:CURRSOURCE=EXSHARE&amp;V","AR:NATFREQ=ANNUAL&amp;VAR:RFIELD=FINALIZED&amp;VAR:DB_TYPE=&amp;VAR:UNITS=M&amp;window=popup&amp;width=450&amp;height=300&amp;START_MAXIMIZED=FALSE"}</definedName>
    <definedName name="_44__FDSAUDITLINK___1" hidden="1">{"fdsup://IBCentral/FAT Viewer?action=UPDATE&amp;creator=factset&amp;DOC_NAME=fat:reuters_qtrly_source_window.fat&amp;display_string=Audit&amp;DYN_ARGS=TRUE&amp;VAR:ID1=03116210&amp;VAR:RCODE=STLD&amp;VAR:SDATE=20100699&amp;VAR:FREQ=Quarterly&amp;VAR:RELITEM=RP&amp;VAR:CURRENCY=&amp;VAR:CURRSOURCE=EX","SHARE&amp;VAR:NATFREQ=QUARTERLY&amp;VAR:RFIELD=FINALIZED&amp;VAR:DB_TYPE=&amp;VAR:UNITS=M&amp;window=popup&amp;width=450&amp;height=300&amp;START_MAXIMIZED=FALSE"}</definedName>
    <definedName name="_44__FDSAUDITLINK___2" hidden="1">{"fdsup://IBCentral/FAT Viewer?action=UPDATE&amp;creator=factset&amp;DOC_NAME=fat:reuters_qtrly_source_window.fat&amp;display_string=Audit&amp;DYN_ARGS=TRUE&amp;VAR:ID1=03116210&amp;VAR:RCODE=STLD&amp;VAR:SDATE=20100699&amp;VAR:FREQ=Quarterly&amp;VAR:RELITEM=RP&amp;VAR:CURRENCY=&amp;VAR:CURRSOURCE=EX","SHARE&amp;VAR:NATFREQ=QUARTERLY&amp;VAR:RFIELD=FINALIZED&amp;VAR:DB_TYPE=&amp;VAR:UNITS=M&amp;window=popup&amp;width=450&amp;height=300&amp;START_MAXIMIZED=FALSE"}</definedName>
    <definedName name="_440__FDSAUDITLINK__" hidden="1">{"fdsup://directions/FAT Viewer?action=UPDATE&amp;creator=factset&amp;DYN_ARGS=TRUE&amp;DOC_NAME=FAT:FQL_AUDITING_CLIENT_TEMPLATE.FAT&amp;display_string=Audit&amp;VAR:KEY=FOPUROXKRA&amp;VAR:QUERY=RkZfTkVUX0lOQyhMVE1TLDAsLCwsSUNfQ1VSUkVOQ1lfSVNPKCkp&amp;WINDOW=FIRST_POPUP&amp;HEIGHT=450&amp;WI","DTH=450&amp;START_MAXIMIZED=FALSE&amp;VAR:CALENDAR=US&amp;VAR:SYMBOL=09057220&amp;VAR:INDEX=0"}</definedName>
    <definedName name="_441__FDSAUDITLINK__" hidden="1">{"fdsup://Directions/FactSet Auditing Viewer?action=AUDIT_VALUE&amp;DB=129&amp;ID1=573282&amp;VALUEID=01151&amp;SDATE=2008&amp;PERIODTYPE=ANN_STD&amp;window=popup_no_bar&amp;width=385&amp;height=120&amp;START_MAXIMIZED=FALSE&amp;creator=factset&amp;display_string=Audit"}</definedName>
    <definedName name="_442__FDSAUDITLINK__" hidden="1">{"fdsup://directions/FAT Viewer?action=UPDATE&amp;creator=factset&amp;DYN_ARGS=TRUE&amp;DOC_NAME=FAT:FQL_AUDITING_CLIENT_TEMPLATE.FAT&amp;display_string=Audit&amp;VAR:KEY=ZUBCTCXMFE&amp;VAR:QUERY=RkZfRUJJVF9PUEVSKEFOTiwyMDA4LCwsLElDX0NVUlJFTkNZX0lTTygpLE0p&amp;WINDOW=FIRST_POPUP&amp;HEIGH","T=450&amp;WIDTH=450&amp;START_MAXIMIZED=FALSE&amp;VAR:CALENDAR=US&amp;VAR:SYMBOL=573282&amp;VAR:INDEX=0"}</definedName>
    <definedName name="_443__FDSAUDITLINK__" hidden="1">{"fdsup://Directions/FactSet Auditing Viewer?action=AUDIT_VALUE&amp;DB=129&amp;ID1=573282&amp;VALUEID=01250&amp;SDATE=2008&amp;PERIODTYPE=ANN_STD&amp;window=popup_no_bar&amp;width=385&amp;height=120&amp;START_MAXIMIZED=FALSE&amp;creator=factset&amp;display_string=Audit"}</definedName>
    <definedName name="_444__FDSAUDITLINK__" hidden="1">{"fdsup://directions/FAT Viewer?action=UPDATE&amp;creator=factset&amp;DYN_ARGS=TRUE&amp;DOC_NAME=FAT:FQL_AUDITING_CLIENT_TEMPLATE.FAT&amp;display_string=Audit&amp;VAR:KEY=VUTMNOVKFM&amp;VAR:QUERY=RkZfRUJJVF9PUEVSKEFOTiwyMDA5LCwsLElDX0NVUlJFTkNZX0lTTygpLE0p&amp;WINDOW=FIRST_POPUP&amp;HEIGH","T=450&amp;WIDTH=450&amp;START_MAXIMIZED=FALSE&amp;VAR:CALENDAR=US&amp;VAR:SYMBOL=09057220&amp;VAR:INDEX=0"}</definedName>
    <definedName name="_445__FDSAUDITLINK__" hidden="1">{"fdsup://directions/FAT Viewer?action=UPDATE&amp;creator=factset&amp;DYN_ARGS=TRUE&amp;DOC_NAME=FAT:FQL_AUDITING_CLIENT_TEMPLATE.FAT&amp;display_string=Audit&amp;VAR:KEY=XMTCJQZGLS&amp;VAR:QUERY=RkZfQ0FQRVgoQU5OLDIwMDgsLCwsSUNfQ1VSUkVOQ1lfSVNPKCksTSk=&amp;WINDOW=FIRST_POPUP&amp;HEIGHT=45","0&amp;WIDTH=450&amp;START_MAXIMIZED=FALSE&amp;VAR:CALENDAR=US&amp;VAR:SYMBOL=573282&amp;VAR:INDEX=0"}</definedName>
    <definedName name="_446__FDSAUDITLINK__" hidden="1">{"fdsup://directions/FAT Viewer?action=UPDATE&amp;creator=factset&amp;DYN_ARGS=TRUE&amp;DOC_NAME=FAT:FQL_AUDITING_CLIENT_TEMPLATE.FAT&amp;display_string=Audit&amp;VAR:KEY=HSPGVMPQVU&amp;VAR:QUERY=RkZfRUJJVERBX09QRVIoQU5OLDIwMDksLCwsSUNfQ1VSUkVOQ1lfSVNPKCksTSk=&amp;WINDOW=FIRST_POPUP&amp;H","EIGHT=450&amp;WIDTH=450&amp;START_MAXIMIZED=FALSE&amp;VAR:CALENDAR=US&amp;VAR:SYMBOL=09057220&amp;VAR:INDEX=0"}</definedName>
    <definedName name="_447__FDSAUDITLINK__" hidden="1">{"fdsup://Directions/FactSet Auditing Viewer?action=AUDIT_VALUE&amp;DB=129&amp;ID1=573282&amp;VALUEID=01201&amp;SDATE=2008&amp;PERIODTYPE=ANN_STD&amp;window=popup_no_bar&amp;width=385&amp;height=120&amp;START_MAXIMIZED=FALSE&amp;creator=factset&amp;display_string=Audit"}</definedName>
    <definedName name="_448__FDSAUDITLINK__" hidden="1">{"fdsup://Directions/FactSet Auditing Viewer?action=AUDIT_VALUE&amp;DB=129&amp;ID1=573282&amp;VALUEID=04831&amp;SDATE=2008&amp;PERIODTYPE=ANN_STD&amp;window=popup_no_bar&amp;width=385&amp;height=120&amp;START_MAXIMIZED=FALSE&amp;creator=factset&amp;display_string=Audit"}</definedName>
    <definedName name="_449__FDSAUDITLINK__" hidden="1">{"fdsup://Directions/FactSet Auditing Viewer?action=AUDIT_VALUE&amp;DB=129&amp;ID1=573282&amp;VALUEID=05194&amp;SDATE=2010&amp;PERIODTYPE=ANNR_STD&amp;window=popup_no_bar&amp;width=385&amp;height=120&amp;START_MAXIMIZED=FALSE&amp;creator=factset&amp;display_string=Audit"}</definedName>
    <definedName name="_45__123Graph_XCHART_22" hidden="1">#REF!</definedName>
    <definedName name="_45__FDSAUDITLINK__" hidden="1">{"fdsup://IBCentral/FAT Viewer?action=UPDATE&amp;creator=factset&amp;DOC_NAME=fat:reuters_annual_source_window.fat&amp;display_string=Audit&amp;DYN_ARGS=TRUE&amp;VAR:ID1=30231G10&amp;VAR:RCODE=LTCL&amp;VAR:SDATE=20041299&amp;VAR:FREQ=Y&amp;VAR:RELITEM=RP&amp;VAR:CURRENCY=&amp;VAR:CURRSOURCE=EXSHARE&amp;V","AR:NATFREQ=ANNUAL&amp;VAR:RFIELD=FINALIZED&amp;VAR:DB_TYPE=&amp;VAR:UNITS=M&amp;window=popup&amp;width=450&amp;height=300&amp;START_MAXIMIZED=FALSE"}</definedName>
    <definedName name="_45__FDSAUDITLINK___1" hidden="1">{"fdsup://IBCentral/FAT Viewer?action=UPDATE&amp;creator=factset&amp;DOC_NAME=fat:reuters_qtrly_source_window.fat&amp;display_string=Audit&amp;DYN_ARGS=TRUE&amp;VAR:ID1=B1YD5Q&amp;VAR:RCODE=STLD&amp;VAR:SDATE=20100699&amp;VAR:FREQ=Quarterly&amp;VAR:RELITEM=RP&amp;VAR:CURRENCY=&amp;VAR:CURRSOURCE=EXSH","ARE&amp;VAR:NATFREQ=QUARTERLY&amp;VAR:RFIELD=FINALIZED&amp;VAR:DB_TYPE=&amp;VAR:UNITS=M&amp;window=popup&amp;width=450&amp;height=300&amp;START_MAXIMIZED=FALSE"}</definedName>
    <definedName name="_45__FDSAUDITLINK___2" hidden="1">{"fdsup://IBCentral/FAT Viewer?action=UPDATE&amp;creator=factset&amp;DOC_NAME=fat:reuters_qtrly_source_window.fat&amp;display_string=Audit&amp;DYN_ARGS=TRUE&amp;VAR:ID1=B1YD5Q&amp;VAR:RCODE=STLD&amp;VAR:SDATE=20100699&amp;VAR:FREQ=Quarterly&amp;VAR:RELITEM=RP&amp;VAR:CURRENCY=&amp;VAR:CURRSOURCE=EXSH","ARE&amp;VAR:NATFREQ=QUARTERLY&amp;VAR:RFIELD=FINALIZED&amp;VAR:DB_TYPE=&amp;VAR:UNITS=M&amp;window=popup&amp;width=450&amp;height=300&amp;START_MAXIMIZED=FALSE"}</definedName>
    <definedName name="_450__FDSAUDITLINK__" hidden="1">{"fdsup://Directions/FactSet Auditing Viewer?action=AUDIT_VALUE&amp;DB=129&amp;ID1=573282&amp;VALUEID=05194&amp;SDATE=2008&amp;PERIODTYPE=ANNR_STD&amp;window=popup_no_bar&amp;width=385&amp;height=120&amp;START_MAXIMIZED=FALSE&amp;creator=factset&amp;display_string=Audit"}</definedName>
    <definedName name="_451__FDSAUDITLINK__" hidden="1">{"fdsup://Directions/FactSet Auditing Viewer?action=AUDIT_VALUE&amp;DB=129&amp;ID1=573282&amp;VALUEID=04831&amp;SDATE=2009&amp;PERIODTYPE=ANN_STD&amp;window=popup_no_bar&amp;width=385&amp;height=120&amp;START_MAXIMIZED=FALSE&amp;creator=factset&amp;display_string=Audit"}</definedName>
    <definedName name="_452__FDSAUDITLINK__" hidden="1">{"fdsup://directions/FAT Viewer?action=UPDATE&amp;creator=factset&amp;DYN_ARGS=TRUE&amp;DOC_NAME=FAT:FQL_AUDITING_CLIENT_TEMPLATE.FAT&amp;display_string=Audit&amp;VAR:KEY=LMBUXEBOXC&amp;VAR:QUERY=RkZfRUJJVERBX09QRVIoQU5OLDIwMDgsLCwsSUNfQ1VSUkVOQ1lfSVNPKCksTSk=&amp;WINDOW=FIRST_POPUP&amp;H","EIGHT=450&amp;WIDTH=450&amp;START_MAXIMIZED=FALSE&amp;VAR:CALENDAR=US&amp;VAR:SYMBOL=711038&amp;VAR:INDEX=0"}</definedName>
    <definedName name="_453__FDSAUDITLINK__" hidden="1">{"fdsup://Directions/FactSet Auditing Viewer?action=AUDIT_VALUE&amp;DB=129&amp;ID1=573282&amp;VALUEID=01201&amp;SDATE=2009&amp;PERIODTYPE=ANN_STD&amp;window=popup_no_bar&amp;width=385&amp;height=120&amp;START_MAXIMIZED=FALSE&amp;creator=factset&amp;display_string=Audit"}</definedName>
    <definedName name="_454__FDSAUDITLINK__" hidden="1">{"fdsup://directions/FAT Viewer?action=UPDATE&amp;creator=factset&amp;DYN_ARGS=TRUE&amp;DOC_NAME=FAT:FQL_AUDITING_CLIENT_TEMPLATE.FAT&amp;display_string=Audit&amp;VAR:KEY=VSXAJCBMTU&amp;VAR:QUERY=RkZfRUJJVF9PUEVSKEFOTiwyMDA4LCwsLElDX0NVUlJFTkNZX0lTTygpLE0p&amp;WINDOW=FIRST_POPUP&amp;HEIGH","T=450&amp;WIDTH=450&amp;START_MAXIMIZED=FALSE&amp;VAR:CALENDAR=US&amp;VAR:SYMBOL=711038&amp;VAR:INDEX=0"}</definedName>
    <definedName name="_455__FDSAUDITLINK__" hidden="1">{"fdsup://directions/FAT Viewer?action=UPDATE&amp;creator=factset&amp;DYN_ARGS=TRUE&amp;DOC_NAME=FAT:FQL_AUDITING_CLIENT_TEMPLATE.FAT&amp;display_string=Audit&amp;VAR:KEY=DWLUDSVEDE&amp;VAR:QUERY=RkZfQ0FQRVgoQU5OLDIwMDksLCwsSUNfQ1VSUkVOQ1lfSVNPKCksTSk=&amp;WINDOW=FIRST_POPUP&amp;HEIGHT=45","0&amp;WIDTH=450&amp;START_MAXIMIZED=FALSE&amp;VAR:CALENDAR=US&amp;VAR:SYMBOL=573282&amp;VAR:INDEX=0"}</definedName>
    <definedName name="_456__FDSAUDITLINK__"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7__FDSAUDITLINK__"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9__FDSAUDITLINK__" hidden="1">{"fdsup://directions/FAT Viewer?action=UPDATE&amp;creator=factset&amp;DYN_ARGS=TRUE&amp;DOC_NAME=FAT:FQL_AUDITING_CLIENT_TEMPLATE.FAT&amp;display_string=Audit&amp;VAR:KEY=NCZCVCLAHE&amp;VAR:QUERY=RkZfRUJJVF9PUEVSKEFOTiwyMDA5LCwsLElDX0NVUlJFTkNZX0lTTygpLE0p&amp;WINDOW=FIRST_POPUP&amp;HEIGH","T=450&amp;WIDTH=450&amp;START_MAXIMIZED=FALSE&amp;VAR:CALENDAR=US&amp;VAR:SYMBOL=573282&amp;VAR:INDEX=0"}</definedName>
    <definedName name="_46__123Graph_ACHART_1" hidden="1">#N/A</definedName>
    <definedName name="_46__123Graph_XCHART_23" hidden="1">#REF!</definedName>
    <definedName name="_46__FDSAUDITLINK__" hidden="1">{"fdsup://IBCentral/FAT Viewer?action=UPDATE&amp;creator=factset&amp;DOC_NAME=fat:reuters_annual_source_window.fat&amp;display_string=Audit&amp;DYN_ARGS=TRUE&amp;VAR:ID1=30231G10&amp;VAR:RCODE=LTCL&amp;VAR:SDATE=20031299&amp;VAR:FREQ=Y&amp;VAR:RELITEM=RP&amp;VAR:CURRENCY=&amp;VAR:CURRSOURCE=EXSHARE&amp;V","AR:NATFREQ=ANNUAL&amp;VAR:RFIELD=FINALIZED&amp;VAR:DB_TYPE=&amp;VAR:UNITS=M&amp;window=popup&amp;width=450&amp;height=300&amp;START_MAXIMIZED=FALSE"}</definedName>
    <definedName name="_46__FDSAUDITLINK___1" hidden="1">{"fdsup://IBCentral/FAT Viewer?action=UPDATE&amp;creator=factset&amp;DOC_NAME=fat:reuters_semi_source_window.fat&amp;display_string=Audit&amp;DYN_ARGS=TRUE&amp;VAR:ID1=AGN&amp;VAR:RCODE=FDSPFDSTKTOTAL&amp;VAR:SDATE=0&amp;VAR:FREQ=FSA&amp;VAR:RELITEM=RP&amp;VAR:CURRENCY=&amp;VAR:CURRSOURCE=EXSHARE&amp;VAR",":NATFREQ=FSA&amp;VAR:RFIELD=FINALIZED&amp;VAR:DB_TYPE=&amp;VAR:UNITS=M&amp;window=popup&amp;width=450&amp;height=300&amp;START_MAXIMIZED=FALSE"}</definedName>
    <definedName name="_46__FDSAUDITLINK___2" hidden="1">{"fdsup://IBCentral/FAT Viewer?action=UPDATE&amp;creator=factset&amp;DOC_NAME=fat:reuters_semi_source_window.fat&amp;display_string=Audit&amp;DYN_ARGS=TRUE&amp;VAR:ID1=AGN&amp;VAR:RCODE=FDSPFDSTKTOTAL&amp;VAR:SDATE=0&amp;VAR:FREQ=FSA&amp;VAR:RELITEM=RP&amp;VAR:CURRENCY=&amp;VAR:CURRSOURCE=EXSHARE&amp;VAR",":NATFREQ=FSA&amp;VAR:RFIELD=FINALIZED&amp;VAR:DB_TYPE=&amp;VAR:UNITS=M&amp;window=popup&amp;width=450&amp;height=300&amp;START_MAXIMIZED=FALSE"}</definedName>
    <definedName name="_460__FDSAUDITLINK__" hidden="1">{"fdsup://Directions/FactSet Auditing Viewer?action=AUDIT_VALUE&amp;DB=129&amp;ID1=711038&amp;VALUEID=05194&amp;SDATE=2009&amp;PERIODTYPE=ANNR_STD&amp;window=popup_no_bar&amp;width=385&amp;height=120&amp;START_MAXIMIZED=FALSE&amp;creator=factset&amp;display_string=Audit"}</definedName>
    <definedName name="_461__FDSAUDITLINK__" hidden="1">{"fdsup://directions/FAT Viewer?action=UPDATE&amp;creator=factset&amp;DYN_ARGS=TRUE&amp;DOC_NAME=FAT:FQL_AUDITING_CLIENT_TEMPLATE.FAT&amp;display_string=Audit&amp;VAR:KEY=SDCNCBSJOP&amp;VAR:QUERY=RkZfQ0FQRVgoQU5OLDIwMDksLCwsSUNfQ1VSUkVOQ1lfSVNPKCksTSk=&amp;WINDOW=FIRST_POPUP&amp;HEIGHT=45","0&amp;WIDTH=450&amp;START_MAXIMIZED=FALSE&amp;VAR:CALENDAR=US&amp;VAR:SYMBOL=09057220&amp;VAR:INDEX=0"}</definedName>
    <definedName name="_462__FDSAUDITLINK__" hidden="1">{"fdsup://directions/FAT Viewer?action=UPDATE&amp;creator=factset&amp;DYN_ARGS=TRUE&amp;DOC_NAME=FAT:FQL_AUDITING_CLIENT_TEMPLATE.FAT&amp;display_string=Audit&amp;VAR:KEY=LITCLUNOTS&amp;VAR:QUERY=RkZfRUJJVERBX09QRVIoQU5OLDIwMDksLCwsSUNfQ1VSUkVOQ1lfSVNPKCksTSk=&amp;WINDOW=FIRST_POPUP&amp;H","EIGHT=450&amp;WIDTH=450&amp;START_MAXIMIZED=FALSE&amp;VAR:CALENDAR=US&amp;VAR:SYMBOL=573282&amp;VAR:INDEX=0"}</definedName>
    <definedName name="_463__FDSAUDITLINK__" hidden="1">{"fdsup://Directions/FactSet Auditing Viewer?action=AUDIT_VALUE&amp;DB=129&amp;ID1=573282&amp;VALUEID=01001&amp;SDATE=2009&amp;PERIODTYPE=ANN_STD&amp;window=popup_no_bar&amp;width=385&amp;height=120&amp;START_MAXIMIZED=FALSE&amp;creator=factset&amp;display_string=Audit"}</definedName>
    <definedName name="_464__FDSAUDITLINK__" hidden="1">{"fdsup://Directions/FactSet Auditing Viewer?action=AUDIT_VALUE&amp;DB=129&amp;ID1=711038&amp;VALUEID=05194&amp;SDATE=2008&amp;PERIODTYPE=ANNR_STD&amp;window=popup_no_bar&amp;width=385&amp;height=120&amp;START_MAXIMIZED=FALSE&amp;creator=factset&amp;display_string=Audit"}</definedName>
    <definedName name="_465__FDSAUDITLINK__" hidden="1">{"fdsup://directions/FAT Viewer?action=UPDATE&amp;creator=factset&amp;DYN_ARGS=TRUE&amp;DOC_NAME=FAT:FQL_AUDITING_CLIENT_TEMPLATE.FAT&amp;display_string=Audit&amp;VAR:KEY=VUZWTWFIDY&amp;VAR:QUERY=RkZfSU5UX0VYUF9ORVQoTFRNUywwLCwsLElDX0NVUlJFTkNZX0lTTygpKQ==&amp;WINDOW=FIRST_POPUP&amp;HEIGH","T=450&amp;WIDTH=450&amp;START_MAXIMIZED=FALSE&amp;VAR:CALENDAR=US&amp;VAR:SYMBOL=573282&amp;VAR:INDEX=0"}</definedName>
    <definedName name="_466__FDSAUDITLINK__" hidden="1">{"fdsup://directions/FAT Viewer?action=UPDATE&amp;creator=factset&amp;DYN_ARGS=TRUE&amp;DOC_NAME=FAT:FQL_AUDITING_CLIENT_TEMPLATE.FAT&amp;display_string=Audit&amp;VAR:KEY=LGFSFCRQRO&amp;VAR:QUERY=RkZfSU5UX0VYUF9ORVQoTFRNUywwLCwsLElDX0NVUlJFTkNZX0lTTygpKQ==&amp;WINDOW=FIRST_POPUP&amp;HEIGH","T=450&amp;WIDTH=450&amp;START_MAXIMIZED=FALSE&amp;VAR:CALENDAR=US&amp;VAR:SYMBOL=711038&amp;VAR:INDEX=0"}</definedName>
    <definedName name="_467__FDSAUDITLINK__" hidden="1">{"fdsup://directions/FAT Viewer?action=UPDATE&amp;creator=factset&amp;DYN_ARGS=TRUE&amp;DOC_NAME=FAT:FQL_AUDITING_CLIENT_TEMPLATE.FAT&amp;display_string=Audit&amp;VAR:KEY=PUZWZIXEFW&amp;VAR:QUERY=RkZfTkVUX0lOQyhMVE1TLDAsLCwsSUNfQ1VSUkVOQ1lfSVNPKCkp&amp;WINDOW=FIRST_POPUP&amp;HEIGHT=450&amp;WI","DTH=450&amp;START_MAXIMIZED=FALSE&amp;VAR:CALENDAR=US&amp;VAR:SYMBOL=573282&amp;VAR:INDEX=0"}</definedName>
    <definedName name="_468__FDSAUDITLINK__" hidden="1">{"fdsup://directions/FAT Viewer?action=UPDATE&amp;creator=factset&amp;DYN_ARGS=TRUE&amp;DOC_NAME=FAT:FQL_AUDITING_CLIENT_TEMPLATE.FAT&amp;display_string=Audit&amp;VAR:KEY=VOLSTMTKNK&amp;VAR:QUERY=RkZfRUJJVF9PUEVSKExUTVNfU0VNSSwwLCwsLElDX0NVUlJFTkNZX0lTTygpKQ==&amp;WINDOW=FIRST_POPUP&amp;H","EIGHT=450&amp;WIDTH=450&amp;START_MAXIMIZED=FALSE&amp;VAR:CALENDAR=US&amp;VAR:SYMBOL=711038&amp;VAR:INDEX=0"}</definedName>
    <definedName name="_469__FDSAUDITLINK__" hidden="1">{"fdsup://directions/FAT Viewer?action=UPDATE&amp;creator=factset&amp;DYN_ARGS=TRUE&amp;DOC_NAME=FAT:FQL_AUDITING_CLIENT_TEMPLATE.FAT&amp;display_string=Audit&amp;VAR:KEY=VGVGHMXWZE&amp;VAR:QUERY=RkZfRUJJVF9PUEVSKExUTVMsMCwsLCxJQ19DVVJSRU5DWV9JU08oKSk=&amp;WINDOW=FIRST_POPUP&amp;HEIGHT=45","0&amp;WIDTH=450&amp;START_MAXIMIZED=FALSE&amp;VAR:CALENDAR=US&amp;VAR:SYMBOL=573282&amp;VAR:INDEX=0"}</definedName>
    <definedName name="_47__123Graph_ACHART_2" hidden="1">#REF!</definedName>
    <definedName name="_47__123Graph_XCHART_25" hidden="1">#REF!</definedName>
    <definedName name="_47__FDSAUDITLINK__" hidden="1">{"fdsup://IBCentral/FAT Viewer?action=UPDATE&amp;creator=factset&amp;DOC_NAME=fat:reuters_annual_source_window.fat&amp;display_string=Audit&amp;DYN_ARGS=TRUE&amp;VAR:ID1=30231G10&amp;VAR:RCODE=FDSACCTPAY&amp;VAR:SDATE=20071299&amp;VAR:FREQ=Y&amp;VAR:RELITEM=RP&amp;VAR:CURRENCY=&amp;VAR:CURRSOURCE=EXS","HARE&amp;VAR:NATFREQ=ANNUAL&amp;VAR:RFIELD=FINALIZED&amp;VAR:DB_TYPE=&amp;VAR:UNITS=M&amp;window=popup&amp;width=450&amp;height=300&amp;START_MAXIMIZED=FALSE"}</definedName>
    <definedName name="_47__FDSAUDITLINK___1" hidden="1">{"fdsup://IBCentral/FAT Viewer?action=UPDATE&amp;creator=factset&amp;DOC_NAME=fat:reuters_semi_source_window.fat&amp;display_string=Audit&amp;DYN_ARGS=TRUE&amp;VAR:ID1=AMGN&amp;VAR:RCODE=FDSPFDSTKTOTAL&amp;VAR:SDATE=0&amp;VAR:FREQ=FSA&amp;VAR:RELITEM=RP&amp;VAR:CURRENCY=&amp;VAR:CURRSOURCE=EXSHARE&amp;VA","R:NATFREQ=FSA&amp;VAR:RFIELD=FINALIZED&amp;VAR:DB_TYPE=&amp;VAR:UNITS=M&amp;window=popup&amp;width=450&amp;height=300&amp;START_MAXIMIZED=FALSE"}</definedName>
    <definedName name="_47__FDSAUDITLINK___2" hidden="1">{"fdsup://IBCentral/FAT Viewer?action=UPDATE&amp;creator=factset&amp;DOC_NAME=fat:reuters_semi_source_window.fat&amp;display_string=Audit&amp;DYN_ARGS=TRUE&amp;VAR:ID1=AMGN&amp;VAR:RCODE=FDSPFDSTKTOTAL&amp;VAR:SDATE=0&amp;VAR:FREQ=FSA&amp;VAR:RELITEM=RP&amp;VAR:CURRENCY=&amp;VAR:CURRSOURCE=EXSHARE&amp;VA","R:NATFREQ=FSA&amp;VAR:RFIELD=FINALIZED&amp;VAR:DB_TYPE=&amp;VAR:UNITS=M&amp;window=popup&amp;width=450&amp;height=300&amp;START_MAXIMIZED=FALSE"}</definedName>
    <definedName name="_470__FDSAUDITLINK__" hidden="1">{"fdsup://Directions/FactSet Auditing Viewer?action=AUDIT_VALUE&amp;DB=129&amp;ID1=711038&amp;VALUEID=01250&amp;SDATE=2009&amp;PERIODTYPE=ANN_STD&amp;window=popup_no_bar&amp;width=385&amp;height=120&amp;START_MAXIMIZED=FALSE&amp;creator=factset&amp;display_string=Audit"}</definedName>
    <definedName name="_471__FDSAUDITLINK__" hidden="1">{"fdsup://directions/FAT Viewer?action=UPDATE&amp;creator=factset&amp;DYN_ARGS=TRUE&amp;DOC_NAME=FAT:FQL_AUDITING_CLIENT_TEMPLATE.FAT&amp;display_string=Audit&amp;VAR:KEY=RARYBQFIJE&amp;VAR:QUERY=RkZfRUJJVERBX09QRVIoTFRNUywwLCwsLElDX0NVUlJFTkNZX0lTTygpKQ==&amp;WINDOW=FIRST_POPUP&amp;HEIGH","T=450&amp;WIDTH=450&amp;START_MAXIMIZED=FALSE&amp;VAR:CALENDAR=US&amp;VAR:SYMBOL=573282&amp;VAR:INDEX=0"}</definedName>
    <definedName name="_472__FDSAUDITLINK__" hidden="1">{"fdsup://Directions/FactSet Auditing Viewer?action=AUDIT_VALUE&amp;DB=129&amp;ID1=711038&amp;VALUEID=01151&amp;SDATE=2009&amp;PERIODTYPE=ANN_STD&amp;window=popup_no_bar&amp;width=385&amp;height=120&amp;START_MAXIMIZED=FALSE&amp;creator=factset&amp;display_string=Audit"}</definedName>
    <definedName name="_473__FDSAUDITLINK__" hidden="1">{"fdsup://Directions/FactSet Auditing Viewer?action=AUDIT_VALUE&amp;DB=129&amp;ID1=573282&amp;VALUEID=01001&amp;SDATE=2010&amp;PERIODTYPE=ANN_STD&amp;window=popup_no_bar&amp;width=385&amp;height=120&amp;START_MAXIMIZED=FALSE&amp;creator=factset&amp;display_string=Audit"}</definedName>
    <definedName name="_474__FDSAUDITLINK__"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5__FDSAUDITLINK__" hidden="1">{"fdsup://directions/FAT Viewer?action=UPDATE&amp;creator=factset&amp;DYN_ARGS=TRUE&amp;DOC_NAME=FAT:FQL_AUDITING_CLIENT_TEMPLATE.FAT&amp;display_string=Audit&amp;VAR:KEY=ZUBCTCXMFE&amp;VAR:QUERY=RkZfRUJJVF9PUEVSKEFOTiwyMDA4LCwsLElDX0NVUlJFTkNZX0lTTygpLE0p&amp;WINDOW=FIRST_POPUP&amp;HEIGH","T=450&amp;WIDTH=450&amp;START_MAXIMIZED=FALSE&amp;VAR:CALENDAR=US&amp;VAR:SYMBOL=573282&amp;VAR:INDEX=0"}</definedName>
    <definedName name="_476__FDSAUDITLINK__" hidden="1">{"fdsup://Directions/FactSet Auditing Viewer?action=AUDIT_VALUE&amp;DB=129&amp;ID1=573282&amp;VALUEID=01250&amp;SDATE=2008&amp;PERIODTYPE=ANN_STD&amp;window=popup_no_bar&amp;width=385&amp;height=120&amp;START_MAXIMIZED=FALSE&amp;creator=factset&amp;display_string=Audit"}</definedName>
    <definedName name="_477__FDSAUDITLINK__" hidden="1">{"fdsup://directions/FAT Viewer?action=UPDATE&amp;creator=factset&amp;DYN_ARGS=TRUE&amp;DOC_NAME=FAT:FQL_AUDITING_CLIENT_TEMPLATE.FAT&amp;display_string=Audit&amp;VAR:KEY=HMHATSTUNI&amp;VAR:QUERY=RkZfRUJJVERBX09QRVIoQU5OLDIwMTAsLCwsSUNfQ1VSUkVOQ1lfSVNPKCksTSk=&amp;WINDOW=FIRST_POPUP&amp;H","EIGHT=450&amp;WIDTH=450&amp;START_MAXIMIZED=FALSE&amp;VAR:CALENDAR=US&amp;VAR:SYMBOL=B01MJR&amp;VAR:INDEX=0"}</definedName>
    <definedName name="_478__FDSAUDITLINK__" hidden="1">{"fdsup://directions/FAT Viewer?action=UPDATE&amp;creator=factset&amp;DYN_ARGS=TRUE&amp;DOC_NAME=FAT:FQL_AUDITING_CLIENT_TEMPLATE.FAT&amp;display_string=Audit&amp;VAR:KEY=XMTCJQZGLS&amp;VAR:QUERY=RkZfQ0FQRVgoQU5OLDIwMDgsLCwsSUNfQ1VSUkVOQ1lfSVNPKCksTSk=&amp;WINDOW=FIRST_POPUP&amp;HEIGHT=45","0&amp;WIDTH=450&amp;START_MAXIMIZED=FALSE&amp;VAR:CALENDAR=US&amp;VAR:SYMBOL=573282&amp;VAR:INDEX=0"}</definedName>
    <definedName name="_479__FDSAUDITLINK__" hidden="1">{"fdsup://directions/FAT Viewer?action=UPDATE&amp;creator=factset&amp;DYN_ARGS=TRUE&amp;DOC_NAME=FAT:FQL_AUDITING_CLIENT_TEMPLATE.FAT&amp;display_string=Audit&amp;VAR:KEY=NWXGVSLGPO&amp;VAR:QUERY=RkZfRUJJVERBX09QRVIoQU5OLDIwMDgsLCwsSUNfQ1VSUkVOQ1lfSVNPKCksTSk=&amp;WINDOW=FIRST_POPUP&amp;H","EIGHT=450&amp;WIDTH=450&amp;START_MAXIMIZED=FALSE&amp;VAR:CALENDAR=US&amp;VAR:SYMBOL=B01MJR&amp;VAR:INDEX=0"}</definedName>
    <definedName name="_48__123Graph_XCHART_28" hidden="1">#REF!</definedName>
    <definedName name="_48__FDSAUDITLINK__" hidden="1">{"fdsup://IBCentral/FAT Viewer?action=UPDATE&amp;creator=factset&amp;DOC_NAME=fat:reuters_annual_source_window.fat&amp;display_string=Audit&amp;DYN_ARGS=TRUE&amp;VAR:ID1=30231G10&amp;VAR:RCODE=FDSACCTPAY&amp;VAR:SDATE=20061299&amp;VAR:FREQ=Y&amp;VAR:RELITEM=RP&amp;VAR:CURRENCY=&amp;VAR:CURRSOURCE=EXS","HARE&amp;VAR:NATFREQ=ANNUAL&amp;VAR:RFIELD=FINALIZED&amp;VAR:DB_TYPE=&amp;VAR:UNITS=M&amp;window=popup&amp;width=450&amp;height=300&amp;START_MAXIMIZED=FALSE"}</definedName>
    <definedName name="_480__FDSAUDITLINK__" hidden="1">{"fdsup://Directions/FactSet Auditing Viewer?action=AUDIT_VALUE&amp;DB=129&amp;ID1=573282&amp;VALUEID=01201&amp;SDATE=2008&amp;PERIODTYPE=ANN_STD&amp;window=popup_no_bar&amp;width=385&amp;height=120&amp;START_MAXIMIZED=FALSE&amp;creator=factset&amp;display_string=Audit"}</definedName>
    <definedName name="_481__FDSAUDITLINK__" hidden="1">{"fdsup://Directions/FactSet Auditing Viewer?action=AUDIT_VALUE&amp;DB=129&amp;ID1=573282&amp;VALUEID=04831&amp;SDATE=2008&amp;PERIODTYPE=ANN_STD&amp;window=popup_no_bar&amp;width=385&amp;height=120&amp;START_MAXIMIZED=FALSE&amp;creator=factset&amp;display_string=Audit"}</definedName>
    <definedName name="_482__FDSAUDITLINK__" hidden="1">{"fdsup://Directions/FactSet Auditing Viewer?action=AUDIT_VALUE&amp;DB=129&amp;ID1=573282&amp;VALUEID=05194&amp;SDATE=2010&amp;PERIODTYPE=ANNR_STD&amp;window=popup_no_bar&amp;width=385&amp;height=120&amp;START_MAXIMIZED=FALSE&amp;creator=factset&amp;display_string=Audit"}</definedName>
    <definedName name="_483__FDSAUDITLINK__" hidden="1">{"fdsup://Directions/FactSet Auditing Viewer?action=AUDIT_VALUE&amp;DB=129&amp;ID1=573282&amp;VALUEID=05194&amp;SDATE=2008&amp;PERIODTYPE=ANNR_STD&amp;window=popup_no_bar&amp;width=385&amp;height=120&amp;START_MAXIMIZED=FALSE&amp;creator=factset&amp;display_string=Audit"}</definedName>
    <definedName name="_484__FDSAUDITLINK__" hidden="1">{"fdsup://Directions/FactSet Auditing Viewer?action=AUDIT_VALUE&amp;DB=129&amp;ID1=573282&amp;VALUEID=04831&amp;SDATE=2009&amp;PERIODTYPE=ANN_STD&amp;window=popup_no_bar&amp;width=385&amp;height=120&amp;START_MAXIMIZED=FALSE&amp;creator=factset&amp;display_string=Audit"}</definedName>
    <definedName name="_485__FDSAUDITLINK__" hidden="1">{"fdsup://directions/FAT Viewer?action=UPDATE&amp;creator=factset&amp;DYN_ARGS=TRUE&amp;DOC_NAME=FAT:FQL_AUDITING_CLIENT_TEMPLATE.FAT&amp;display_string=Audit&amp;VAR:KEY=HYTCBGLMZY&amp;VAR:QUERY=RkZfQ0FQRVgoQU5OLDIwMDksLCwsSUNfQ1VSUkVOQ1lfSVNPKCksTSk=&amp;WINDOW=FIRST_POPUP&amp;HEIGHT=45","0&amp;WIDTH=450&amp;START_MAXIMIZED=FALSE&amp;VAR:CALENDAR=US&amp;VAR:SYMBOL=B01MJR&amp;VAR:INDEX=0"}</definedName>
    <definedName name="_486__FDSAUDITLINK__" hidden="1">{"fdsup://directions/FAT Viewer?action=UPDATE&amp;creator=factset&amp;DYN_ARGS=TRUE&amp;DOC_NAME=FAT:FQL_AUDITING_CLIENT_TEMPLATE.FAT&amp;display_string=Audit&amp;VAR:KEY=EXILIJEPAH&amp;VAR:QUERY=RkZfRUJJVERBX09QRVIoQU5OLDM5ODEzLCwsLElDX0NVUlJFTkNZX0lTTygpLE0p&amp;WINDOW=FIRST_POPUP&amp;H","EIGHT=450&amp;WIDTH=450&amp;START_MAXIMIZED=FALSE&amp;VAR:CALENDAR=US&amp;VAR:SYMBOL=00282410&amp;VAR:INDEX=0"}</definedName>
    <definedName name="_487__FDSAUDITLINK__" hidden="1">{"fdsup://directions/FAT Viewer?action=UPDATE&amp;creator=factset&amp;DYN_ARGS=TRUE&amp;DOC_NAME=FAT:FQL_AUDITING_CLIENT_TEMPLATE.FAT&amp;display_string=Audit&amp;VAR:KEY=PIHUTMLERG&amp;VAR:QUERY=RkZfSU5UX0VYUF9ORVQoTFRNUywwLCwsLElDX0NVUlJFTkNZX0lTTygpKQ==&amp;WINDOW=FIRST_POPUP&amp;HEIGH","T=450&amp;WIDTH=450&amp;START_MAXIMIZED=FALSE&amp;VAR:CALENDAR=US&amp;VAR:SYMBOL=B01MJR&amp;VAR:INDEX=0"}</definedName>
    <definedName name="_488__FDSAUDITLINK__" hidden="1">{"fdsup://Directions/FactSet Auditing Viewer?action=AUDIT_VALUE&amp;DB=129&amp;ID1=95530610&amp;VALUEID=01151&amp;SDATE=2010&amp;PERIODTYPE=ANNR_STD&amp;SCFT=3&amp;window=popup_no_bar&amp;width=385&amp;height=120&amp;START_MAXIMIZED=FALSE&amp;creator=factset&amp;display_string=Audit"}</definedName>
    <definedName name="_489__FDSAUDITLINK__" hidden="1">{"fdsup://directions/FAT Viewer?action=UPDATE&amp;creator=factset&amp;DYN_ARGS=TRUE&amp;DOC_NAME=FAT:FQL_AUDITING_CLIENT_TEMPLATE.FAT&amp;display_string=Audit&amp;VAR:KEY=WHWNMDCJUB&amp;VAR:QUERY=RkZfQ0FQRVgoQU5OLDIwMTAsLCwsSUNfQ1VSUkVOQ1lfSVNPKCksTSk=&amp;WINDOW=FIRST_POPUP&amp;HEIGHT=45","0&amp;WIDTH=450&amp;START_MAXIMIZED=FALSE&amp;VAR:CALENDAR=US&amp;VAR:SYMBOL=09057220&amp;VAR:INDEX=0"}</definedName>
    <definedName name="_49__123Graph_BCHART_1" hidden="1">#N/A</definedName>
    <definedName name="_49__FDSAUDITLINK__" hidden="1">{"fdsup://IBCentral/FAT Viewer?action=UPDATE&amp;creator=factset&amp;DOC_NAME=fat:reuters_annual_source_window.fat&amp;display_string=Audit&amp;DYN_ARGS=TRUE&amp;VAR:ID1=30231G10&amp;VAR:RCODE=FDSACCTPAY&amp;VAR:SDATE=20051299&amp;VAR:FREQ=Y&amp;VAR:RELITEM=RP&amp;VAR:CURRENCY=&amp;VAR:CURRSOURCE=EXS","HARE&amp;VAR:NATFREQ=ANNUAL&amp;VAR:RFIELD=FINALIZED&amp;VAR:DB_TYPE=&amp;VAR:UNITS=M&amp;window=popup&amp;width=450&amp;height=300&amp;START_MAXIMIZED=FALSE"}</definedName>
    <definedName name="_490__FDSAUDITLINK__" hidden="1">{"fdsup://directions/FAT Viewer?action=UPDATE&amp;creator=factset&amp;DYN_ARGS=TRUE&amp;DOC_NAME=FAT:FQL_AUDITING_CLIENT_TEMPLATE.FAT&amp;display_string=Audit&amp;VAR:KEY=QPIDYPWNIH&amp;VAR:QUERY=RkZfRUJJVERBX09QRVIoQU5OLDIwMDgsLCwsSUNfQ1VSUkVOQ1lfSVNPKCksTSk=&amp;WINDOW=FIRST_POPUP&amp;H","EIGHT=450&amp;WIDTH=450&amp;START_MAXIMIZED=FALSE&amp;VAR:CALENDAR=US&amp;VAR:SYMBOL=09057220&amp;VAR:INDEX=0"}</definedName>
    <definedName name="_491__FDSAUDITLINK__" hidden="1">{"fdsup://Directions/FactSet Auditing Viewer?action=AUDIT_VALUE&amp;DB=129&amp;ID1=B01MJR&amp;VALUEID=01250&amp;SDATE=2009&amp;PERIODTYPE=ANN_STD&amp;window=popup_no_bar&amp;width=385&amp;height=120&amp;START_MAXIMIZED=FALSE&amp;creator=factset&amp;display_string=Audit"}</definedName>
    <definedName name="_492__FDSAUDITLINK__" hidden="1">{"fdsup://Directions/FactSet Auditing Viewer?action=AUDIT_VALUE&amp;DB=129&amp;ID1=092528&amp;VALUEID=01201&amp;SDATE=2008&amp;PERIODTYPE=ANN_STD&amp;window=popup_no_bar&amp;width=385&amp;height=120&amp;START_MAXIMIZED=FALSE&amp;creator=factset&amp;display_string=Audit"}</definedName>
    <definedName name="_493__FDSAUDITLINK__" hidden="1">{"fdsup://Directions/FactSet Auditing Viewer?action=AUDIT_VALUE&amp;DB=129&amp;ID1=B01MJR&amp;VALUEID=01151&amp;SDATE=2009&amp;PERIODTYPE=ANN_STD&amp;window=popup_no_bar&amp;width=385&amp;height=120&amp;START_MAXIMIZED=FALSE&amp;creator=factset&amp;display_string=Audit"}</definedName>
    <definedName name="_494__FDSAUDITLINK__" hidden="1">{"fdsup://directions/FAT Viewer?action=UPDATE&amp;creator=factset&amp;DYN_ARGS=TRUE&amp;DOC_NAME=FAT:FQL_AUDITING_CLIENT_TEMPLATE.FAT&amp;display_string=Audit&amp;VAR:KEY=CJIVWPOBCB&amp;VAR:QUERY=RkZfRUJJVERBX09QRVIoQU5OLDIwMDgsLCwsSUNfQ1VSUkVOQ1lfSVNPKCksTSk=&amp;WINDOW=FIRST_POPUP&amp;H","EIGHT=450&amp;WIDTH=450&amp;START_MAXIMIZED=FALSE&amp;VAR:CALENDAR=US&amp;VAR:SYMBOL=711038&amp;VAR:INDEX=0"}</definedName>
    <definedName name="_495__FDSAUDITLINK__" hidden="1">{"fdsup://Directions/FactSet Auditing Viewer?action=AUDIT_VALUE&amp;DB=129&amp;ID1=B01MJR&amp;VALUEID=01001&amp;SDATE=2009&amp;PERIODTYPE=ANN_STD&amp;window=popup_no_bar&amp;width=385&amp;height=120&amp;START_MAXIMIZED=FALSE&amp;creator=factset&amp;display_string=Audit"}</definedName>
    <definedName name="_496__FDSAUDITLINK__"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8__FDSAUDITLINK__" hidden="1">{"fdsup://Directions/FactSet Auditing Viewer?action=AUDIT_VALUE&amp;DB=129&amp;ID1=711038&amp;VALUEID=04831&amp;SDATE=2008&amp;PERIODTYPE=ANN_STD&amp;window=popup_no_bar&amp;width=385&amp;height=120&amp;START_MAXIMIZED=FALSE&amp;creator=factset&amp;display_string=Audit"}</definedName>
    <definedName name="_499__FDSAUDITLINK__" hidden="1">{"fdsup://Directions/FactSet Auditing Viewer?action=AUDIT_VALUE&amp;DB=129&amp;ID1=09057220&amp;VALUEID=02001&amp;SDATE=201003&amp;PERIODTYPE=QTR_STD&amp;window=popup_no_bar&amp;width=385&amp;height=120&amp;START_MAXIMIZED=FALSE&amp;creator=factset&amp;display_string=Audit"}</definedName>
    <definedName name="_5__123Graph_ACHART_13" hidden="1">#REF!</definedName>
    <definedName name="_5__123Graph_ACHART_20" hidden="1">#REF!</definedName>
    <definedName name="_5__123Graph_ACHART_3" hidden="1">#REF!</definedName>
    <definedName name="_5__123Graph_DCHART_1" hidden="1">#REF!</definedName>
    <definedName name="_5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0"}</definedName>
    <definedName name="_5__FDSAUDITLINK___1" hidden="1">{"fdsup://directions/FAT Viewer?action=UPDATE&amp;creator=factset&amp;DYN_ARGS=TRUE&amp;DOC_NAME=FAT:FQL_AUDITING_CLIENT_TEMPLATE.FAT&amp;display_string=Audit&amp;VAR:KEY=EJSBILCPKL&amp;VAR:QUERY=UkdGX0VOVFJQUl9WQUwoQU5OLDQwNTYyLCwsLCwsTk9BVURJVCk=&amp;WINDOW=FIRST_POPUP&amp;HEIGHT=450&amp;WI","DTH=450&amp;START_MAXIMIZED=FALSE&amp;VAR:CALENDAR=US&amp;VAR:SYMBOL=MASI&amp;VAR:INDEX=0"}</definedName>
    <definedName name="_5__FDSAUDITLINK___2" hidden="1">{"fdsup://directions/FAT Viewer?action=UPDATE&amp;creator=factset&amp;DYN_ARGS=TRUE&amp;DOC_NAME=FAT:FQL_AUDITING_CLIENT_TEMPLATE.FAT&amp;display_string=Audit&amp;VAR:KEY=EJSBILCPKL&amp;VAR:QUERY=UkdGX0VOVFJQUl9WQUwoQU5OLDQwNTYyLCwsLCwsTk9BVURJVCk=&amp;WINDOW=FIRST_POPUP&amp;HEIGHT=450&amp;WI","DTH=450&amp;START_MAXIMIZED=FALSE&amp;VAR:CALENDAR=US&amp;VAR:SYMBOL=MASI&amp;VAR:INDEX=0"}</definedName>
    <definedName name="_50__123Graph_BCHART_2" hidden="1">#REF!</definedName>
    <definedName name="_50__123Graph_XCHART_3" hidden="1">#REF!</definedName>
    <definedName name="_50__FDSAUDITLINK__" hidden="1">{"fdsup://IBCentral/FAT Viewer?action=UPDATE&amp;creator=factset&amp;DOC_NAME=fat:reuters_annual_source_window.fat&amp;display_string=Audit&amp;DYN_ARGS=TRUE&amp;VAR:ID1=30231G10&amp;VAR:RCODE=FDSACCTPAY&amp;VAR:SDATE=20041299&amp;VAR:FREQ=Y&amp;VAR:RELITEM=RP&amp;VAR:CURRENCY=&amp;VAR:CURRSOURCE=EXS","HARE&amp;VAR:NATFREQ=ANNUAL&amp;VAR:RFIELD=FINALIZED&amp;VAR:DB_TYPE=&amp;VAR:UNITS=M&amp;window=popup&amp;width=450&amp;height=300&amp;START_MAXIMIZED=FALSE"}</definedName>
    <definedName name="_500__FDSAUDITLINK__" hidden="1">{"fdsup://directions/FAT Viewer?action=UPDATE&amp;creator=factset&amp;DYN_ARGS=TRUE&amp;DOC_NAME=FAT:FQL_AUDITING_CLIENT_TEMPLATE.FAT&amp;display_string=Audit&amp;VAR:KEY=PCZWDEPONM&amp;VAR:QUERY=RkZfRUJJVERBX09QRVIoQU5OLDIwMTAsLCwsSUNfQ1VSUkVOQ1lfSVNPKCksTSk=&amp;WINDOW=FIRST_POPUP&amp;H","EIGHT=450&amp;WIDTH=450&amp;START_MAXIMIZED=FALSE&amp;VAR:CALENDAR=US&amp;VAR:SYMBOL=573282&amp;VAR:INDEX=0"}</definedName>
    <definedName name="_501__FDSAUDITLINK__" hidden="1">{"fdsup://Directions/FactSet Auditing Viewer?action=AUDIT_VALUE&amp;DB=129&amp;ID1=573282&amp;VALUEID=01151&amp;SDATE=2010&amp;PERIODTYPE=ANN_STD&amp;window=popup_no_bar&amp;width=385&amp;height=120&amp;START_MAXIMIZED=FALSE&amp;creator=factset&amp;display_string=Audit"}</definedName>
    <definedName name="_502__FDSAUDITLINK__"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4__FDSAUDITLINK__"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5__FDSAUDITLINK__"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6__FDSAUDITLINK__"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8__FDSAUDITLINK__"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9__FDSAUDITLINK__"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1__123Graph_XCHART_30" hidden="1">#REF!</definedName>
    <definedName name="_51__FDSAUDITLINK__" hidden="1">{"fdsup://IBCentral/FAT Viewer?action=UPDATE&amp;creator=factset&amp;DOC_NAME=fat:reuters_annual_source_window.fat&amp;display_string=Audit&amp;DYN_ARGS=TRUE&amp;VAR:ID1=30231G10&amp;VAR:RCODE=FDSACCTPAY&amp;VAR:SDATE=20031299&amp;VAR:FREQ=Y&amp;VAR:RELITEM=RP&amp;VAR:CURRENCY=&amp;VAR:CURRSOURCE=EXS","HARE&amp;VAR:NATFREQ=ANNUAL&amp;VAR:RFIELD=FINALIZED&amp;VAR:DB_TYPE=&amp;VAR:UNITS=M&amp;window=popup&amp;width=450&amp;height=300&amp;START_MAXIMIZED=FALSE"}</definedName>
    <definedName name="_510__FDSAUDITLINK__"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1__FDSAUDITLINK__"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2__FDSAUDITLINK__"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3__FDSAUDITLINK__"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4__FDSAUDITLINK__"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5__FDSAUDITLINK__"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2__123Graph_DCHART_1" hidden="1">#N/A</definedName>
    <definedName name="_52__FDSAUDITLINK__" hidden="1">{"fdsup://IBCentral/FAT Viewer?action=UPDATE&amp;creator=factset&amp;DOC_NAME=fat:reuters_annual_source_window.fat&amp;display_string=Audit&amp;DYN_ARGS=TRUE&amp;VAR:ID1=30231G10&amp;VAR:RCODE=DSTT&amp;VAR:SDATE=20071299&amp;VAR:FREQ=Y&amp;VAR:RELITEM=RP&amp;VAR:CURRENCY=&amp;VAR:CURRSOURCE=EXSHARE&amp;V","AR:NATFREQ=ANNUAL&amp;VAR:RFIELD=FINALIZED&amp;VAR:DB_TYPE=&amp;VAR:UNITS=M&amp;window=popup&amp;width=450&amp;height=300&amp;START_MAXIMIZED=FALSE"}</definedName>
    <definedName name="_52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3__FDSAUDITLINK__"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4__FDSAUDITLINK__"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6__FDSAUDITLINK__"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9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3__123Graph_DCHART_2" hidden="1">#REF!</definedName>
    <definedName name="_53__123Graph_XCHART_4" hidden="1">#REF!</definedName>
    <definedName name="_53__FDSAUDITLINK__" hidden="1">{"fdsup://IBCentral/FAT Viewer?action=UPDATE&amp;creator=factset&amp;DOC_NAME=fat:reuters_annual_source_window.fat&amp;display_string=Audit&amp;DYN_ARGS=TRUE&amp;VAR:ID1=30231G10&amp;VAR:RCODE=DSTT&amp;VAR:SDATE=20061299&amp;VAR:FREQ=Y&amp;VAR:RELITEM=RP&amp;VAR:CURRENCY=&amp;VAR:CURRSOURCE=EXSHARE&amp;V","AR:NATFREQ=ANNUAL&amp;VAR:RFIELD=FINALIZED&amp;VAR:DB_TYPE=&amp;VAR:UNITS=M&amp;window=popup&amp;width=450&amp;height=300&amp;START_MAXIMIZED=FALSE"}</definedName>
    <definedName name="_530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4__FDSAUDITLINK__"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4__123Graph_LBL_ACHART_1" hidden="1">#N/A</definedName>
    <definedName name="_54__FDSAUDITLINK__" hidden="1">{"fdsup://IBCentral/FAT Viewer?action=UPDATE&amp;creator=factset&amp;DOC_NAME=fat:reuters_annual_source_window.fat&amp;display_string=Audit&amp;DYN_ARGS=TRUE&amp;VAR:ID1=30231G10&amp;VAR:RCODE=DSTT&amp;VAR:SDATE=20051299&amp;VAR:FREQ=Y&amp;VAR:RELITEM=RP&amp;VAR:CURRENCY=&amp;VAR:CURRSOURCE=EXSHARE&amp;V","AR:NATFREQ=ANNUAL&amp;VAR:RFIELD=FINALIZED&amp;VAR:DB_TYPE=&amp;VAR:UNITS=M&amp;window=popup&amp;width=450&amp;height=300&amp;START_MAXIMIZED=FALSE"}</definedName>
    <definedName name="_540__FDSAUDITLINK__"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5__123Graph_LBL_ACHART_2" hidden="1">#REF!</definedName>
    <definedName name="_55__FDSAUDITLINK__" hidden="1">{"fdsup://IBCentral/FAT Viewer?action=UPDATE&amp;creator=factset&amp;DOC_NAME=fat:reuters_annual_source_window.fat&amp;display_string=Audit&amp;DYN_ARGS=TRUE&amp;VAR:ID1=30231G10&amp;VAR:RCODE=DSTT&amp;VAR:SDATE=20041299&amp;VAR:FREQ=Y&amp;VAR:RELITEM=RP&amp;VAR:CURRENCY=&amp;VAR:CURRSOURCE=EXSHARE&amp;V","AR:NATFREQ=ANNUAL&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2__FDSAUDITLINK__" hidden="1">{"fdsup://Directions/FactSet Auditing Viewer?action=AUDIT_VALUE&amp;DB=129&amp;ID1=00282410&amp;VALUEID=01201&amp;SDATE=2009&amp;PERIODTYPE=ANN_STD&amp;window=popup_no_bar&amp;width=385&amp;height=120&amp;START_MAXIMIZED=FALSE&amp;creator=factset&amp;display_string=Audit"}</definedName>
    <definedName name="_553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4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5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7__FDSAUDITLINK__" hidden="1">{"fdsup://directions/FAT Viewer?action=UPDATE&amp;creator=factset&amp;DYN_ARGS=TRUE&amp;DOC_NAME=FAT:FQL_AUDITING_CLIENT_TEMPLATE.FAT&amp;display_string=Audit&amp;VAR:KEY=CDUDOLIHSH&amp;VAR:QUERY=RkZfTkVUX0lOQyhMVE1TLDAsLCwsSUNfQ1VSUkVOQ1lfSVNPKCkp&amp;WINDOW=FIRST_POPUP&amp;HEIGHT=450&amp;WI","DTH=450&amp;START_MAXIMIZED=FALSE&amp;VAR:CALENDAR=US&amp;VAR:SYMBOL=00282410&amp;VAR:INDEX=0"}</definedName>
    <definedName name="_558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annual_source_window.fat&amp;display_string=Audit&amp;DYN_ARGS=TRUE&amp;VAR:ID1=30231G10&amp;VAR:RCODE=DSTT&amp;VAR:SDATE=20031299&amp;VAR:FREQ=Y&amp;VAR:RELITEM=RP&amp;VAR:CURRENCY=&amp;VAR:CURRSOURCE=EXSHARE&amp;V","AR:NATFREQ=ANNUAL&amp;VAR:RFIELD=FINALIZED&amp;VAR:DB_TYPE=&amp;VAR:UNITS=M&amp;window=popup&amp;width=450&amp;height=300&amp;START_MAXIMIZED=FALSE"}</definedName>
    <definedName name="_56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1__FDSAUDITLINK__" hidden="1">{"fdsup://directions/FAT Viewer?action=UPDATE&amp;creator=factset&amp;DYN_ARGS=TRUE&amp;DOC_NAME=FAT:FQL_AUDITING_CLIENT_TEMPLATE.FAT&amp;display_string=Audit&amp;VAR:KEY=ARIPYZSJGR&amp;VAR:QUERY=RkZfRUJJVF9PUEVSKEFOTiwyMDA5LCwsLElDX0NVUlJFTkNZX0lTTygpLE0p&amp;WINDOW=FIRST_POPUP&amp;HEIGH","T=450&amp;WIDTH=450&amp;START_MAXIMIZED=FALSE&amp;VAR:CALENDAR=US&amp;VAR:SYMBOL=00282410&amp;VAR:INDEX=0"}</definedName>
    <definedName name="_562__FDSAUDITLINK__"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3__FDSAUDITLINK__"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4__FDSAUDITLINK__"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5__FDSAUDITLINK__"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6__FDSAUDITLINK__"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7__FDSAUDITLINK__" hidden="1">{"fdsup://Directions/FactSet Auditing Viewer?action=AUDIT_VALUE&amp;DB=129&amp;ID1=B16GWD&amp;VALUEID=02001&amp;SDATE=201001&amp;PERIODTYPE=SEMI_STD&amp;window=popup_no_bar&amp;width=385&amp;height=120&amp;START_MAXIMIZED=FALSE&amp;creator=factset&amp;display_string=Audit"}</definedName>
    <definedName name="_568__FDSAUDITLINK__" hidden="1">{"fdsup://Directions/FactSet Auditing Viewer?action=AUDIT_VALUE&amp;DB=129&amp;ID1=B16GWD&amp;VALUEID=03051&amp;SDATE=201001&amp;PERIODTYPE=SEMI_STD&amp;window=popup_no_bar&amp;width=385&amp;height=120&amp;START_MAXIMIZED=FALSE&amp;creator=factset&amp;display_string=Audit"}</definedName>
    <definedName name="_569__FDSAUDITLINK__" hidden="1">{"fdsup://directions/FAT Viewer?action=UPDATE&amp;creator=factset&amp;DYN_ARGS=TRUE&amp;DOC_NAME=FAT:FQL_AUDITING_CLIENT_TEMPLATE.FAT&amp;display_string=Audit&amp;VAR:KEY=HGHEPIPENQ&amp;VAR:QUERY=KCgoRkZfREVCVF9MVChRVFIsNDA1ODMsLCwsSUNfQ1VSUkVOQ1lfSVNPKCkpQEZGX0RFQlRfTFQoU0VNSSw0M","DU4MywsLCxJQ19DVVJSRU5DWV9JU08oKSkpQEZGX0RFQlRfTFQoQU5OLDQwNTgzLCwsLElDX0NVUlJFTkNZX0lTTygpKSlARkZfREVCVF9MVChNT04sNDA1ODMsLCwsSUNfQ1VSUkVOQ1lfSVNPKCkpKQ==&amp;WINDOW=FIRST_POPUP&amp;HEIGHT=450&amp;WIDTH=450&amp;START_MAXIMIZED=FALSE&amp;VAR:CALENDAR=US&amp;VAR:SYMBOL=B16GWD&amp;VAR",":INDEX=0"}</definedName>
    <definedName name="_57__123Graph_LBL_DCHART_1" hidden="1">#N/A</definedName>
    <definedName name="_57__FDSAUDITLINK__" hidden="1">{"fdsup://IBCentral/FAT Viewer?action=UPDATE&amp;creator=factset&amp;DOC_NAME=fat:reuters_annual_source_window.fat&amp;display_string=Audit&amp;DYN_ARGS=TRUE&amp;VAR:ID1=30231G10&amp;VAR:RCODE=ATOT&amp;VAR:SDATE=20071299&amp;VAR:FREQ=Y&amp;VAR:RELITEM=RP&amp;VAR:CURRENCY=&amp;VAR:CURRSOURCE=EXSHARE&amp;V","AR:NATFREQ=ANNUAL&amp;VAR:RFIELD=FINALIZED&amp;VAR:DB_TYPE=&amp;VAR:UNITS=M&amp;window=popup&amp;width=450&amp;height=300&amp;START_MAXIMIZED=FALSE"}</definedName>
    <definedName name="_570__FDSAUDITLINK__" hidden="1">{"fdsup://Directions/FactSet Auditing Viewer?action=AUDIT_VALUE&amp;DB=129&amp;ID1=B16GWD&amp;VALUEID=18821&amp;SDATE=2009&amp;PERIODTYPE=ANN_STD&amp;window=popup_no_bar&amp;width=385&amp;height=120&amp;START_MAXIMIZED=FALSE&amp;creator=factset&amp;display_string=Audit"}</definedName>
    <definedName name="_571__FDSAUDITLINK__" hidden="1">{"fdsup://Directions/FactSet Auditing Viewer?action=AUDIT_VALUE&amp;DB=129&amp;ID1=B16GWD&amp;VALUEID=03426&amp;SDATE=201001&amp;PERIODTYPE=SEMI_STD&amp;window=popup_no_bar&amp;width=385&amp;height=120&amp;START_MAXIMIZED=FALSE&amp;creator=factset&amp;display_string=Audit"}</definedName>
    <definedName name="_572__FDSAUDITLINK__"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3__FDSAUDITLINK__"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8__123Graph_LBL_DCHART_2" hidden="1">#REF!</definedName>
    <definedName name="_58__FDSAUDITLINK__" hidden="1">{"fdsup://IBCentral/FAT Viewer?action=UPDATE&amp;creator=factset&amp;DOC_NAME=fat:reuters_annual_source_window.fat&amp;display_string=Audit&amp;DYN_ARGS=TRUE&amp;VAR:ID1=30231G10&amp;VAR:RCODE=ATOT&amp;VAR:SDATE=20061299&amp;VAR:FREQ=Y&amp;VAR:RELITEM=RP&amp;VAR:CURRENCY=&amp;VAR:CURRSOURCE=EXSHARE&amp;V","AR:NATFREQ=ANNUAL&amp;VAR:RFIELD=FINALIZED&amp;VAR:DB_TYPE=&amp;VAR:UNITS=M&amp;window=popup&amp;width=450&amp;height=300&amp;START_MAXIMIZED=FALSE"}</definedName>
    <definedName name="_580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3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3IQ___SET_WRITEDOWN_INS" hidden="1">"c59"</definedName>
    <definedName name="_584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9__123Graph_XCHART_2" hidden="1">#REF!</definedName>
    <definedName name="_59__FDSAUDITLINK__" hidden="1">{"fdsup://IBCentral/FAT Viewer?action=UPDATE&amp;creator=factset&amp;DOC_NAME=fat:reuters_annual_source_window.fat&amp;display_string=Audit&amp;DYN_ARGS=TRUE&amp;VAR:ID1=30231G10&amp;VAR:RCODE=ATOT&amp;VAR:SDATE=20051299&amp;VAR:FREQ=Y&amp;VAR:RELITEM=RP&amp;VAR:CURRENCY=&amp;VAR:CURRSOURCE=EXSHARE&amp;V","AR:NATFREQ=ANNUAL&amp;VAR:RFIELD=FINALIZED&amp;VAR:DB_TYPE=&amp;VAR:UNITS=M&amp;window=popup&amp;width=450&amp;height=300&amp;START_MAXIMIZED=FALSE"}</definedName>
    <definedName name="_590__FDSAUDITLINK__"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8__FDSAUDITLINK__"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9__FDSAUDITLINK__"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6__123Graph_ACHART_14" hidden="1">#REF!</definedName>
    <definedName name="_6__123Graph_ACHART_2" hidden="1">#REF!</definedName>
    <definedName name="_6__123Graph_ACHART_21" hidden="1">#REF!</definedName>
    <definedName name="_6__123Graph_BCHART_1" hidden="1">#REF!</definedName>
    <definedName name="_6__123Graph_ECHART_1" hidden="1">#REF!</definedName>
    <definedName name="_6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10"}</definedName>
    <definedName name="_6__FDSAUDITLINK___1" hidden="1">{"fdsup://directions/FAT Viewer?action=UPDATE&amp;creator=factset&amp;DYN_ARGS=TRUE&amp;DOC_NAME=FAT:FQL_AUDITING_CLIENT_TEMPLATE.FAT&amp;display_string=Audit&amp;VAR:KEY=CBUZGTUVWR&amp;VAR:QUERY=UkdGX0VOVFJQUl9WQUwoQU5OLDQwNTYyLCwsLCwsTk9BVURJVCk=&amp;WINDOW=FIRST_POPUP&amp;HEIGHT=450&amp;WI","DTH=450&amp;START_MAXIMIZED=FALSE&amp;VAR:CALENDAR=US&amp;VAR:SYMBOL=ALGN&amp;VAR:INDEX=0"}</definedName>
    <definedName name="_6__FDSAUDITLINK___2" hidden="1">{"fdsup://directions/FAT Viewer?action=UPDATE&amp;creator=factset&amp;DYN_ARGS=TRUE&amp;DOC_NAME=FAT:FQL_AUDITING_CLIENT_TEMPLATE.FAT&amp;display_string=Audit&amp;VAR:KEY=CBUZGTUVWR&amp;VAR:QUERY=UkdGX0VOVFJQUl9WQUwoQU5OLDQwNTYyLCwsLCwsTk9BVURJVCk=&amp;WINDOW=FIRST_POPUP&amp;HEIGHT=450&amp;WI","DTH=450&amp;START_MAXIMIZED=FALSE&amp;VAR:CALENDAR=US&amp;VAR:SYMBOL=ALGN&amp;VAR:INDEX=0"}</definedName>
    <definedName name="_60__FDSAUDITLINK__" hidden="1">{"fdsup://IBCentral/FAT Viewer?action=UPDATE&amp;creator=factset&amp;DOC_NAME=fat:reuters_annual_source_window.fat&amp;display_string=Audit&amp;DYN_ARGS=TRUE&amp;VAR:ID1=30231G10&amp;VAR:RCODE=ATOT&amp;VAR:SDATE=20041299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5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9__FDSAUDITLINK__"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annual_source_window.fat&amp;display_string=Audit&amp;DYN_ARGS=TRUE&amp;VAR:ID1=30231G10&amp;VAR:RCODE=ATOT&amp;VAR:SDATE=20031299&amp;VAR:FREQ=Y&amp;VAR:RELITEM=RP&amp;VAR:CURRENCY=&amp;VAR:CURRSOURCE=EXSHARE&amp;V","AR:NATFREQ=ANNUAL&amp;VAR:RFIELD=FINALIZED&amp;VAR:DB_TYPE=&amp;VAR:UNITS=M&amp;window=popup&amp;width=450&amp;height=300&amp;START_MAXIMIZED=FALSE"}</definedName>
    <definedName name="_610__FDSAUDITLINK__"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8__FDSAUDITLINK__"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9__FDSAUDITLINK__"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annual_source_window.fat&amp;display_string=Audit&amp;DYN_ARGS=TRUE&amp;VAR:ID1=30231G10&amp;VAR:RCODE=APPN&amp;VAR:SDATE=20071299&amp;VAR:FREQ=Y&amp;VAR:RELITEM=RP&amp;VAR:CURRENCY=&amp;VAR:CURRSOURCE=EXSHARE&amp;V","AR:NATFREQ=ANNUAL&amp;VAR:RFIELD=FINALIZED&amp;VAR:DB_TYPE=&amp;VAR:UNITS=M&amp;window=popup&amp;width=450&amp;height=300&amp;START_MAXIMIZED=FALSE"}</definedName>
    <definedName name="_620__FDSAUDITLINK__"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1__FDSAUDITLINK__"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3__FDSAUDITLINK__"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4__FDSAUDITLINK__"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5__FDSAUDITLINK__"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6__FDSAUDITLINK__"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7__FDSAUDITLINK__"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8__FDSAUDITLINK__"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9__FDSAUDITLINK__"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annual_source_window.fat&amp;display_string=Audit&amp;DYN_ARGS=TRUE&amp;VAR:ID1=30231G10&amp;VAR:RCODE=APPN&amp;VAR:SDATE=20061299&amp;VAR:FREQ=Y&amp;VAR:RELITEM=RP&amp;VAR:CURRENCY=&amp;VAR:CURRSOURCE=EXSHARE&amp;V","AR:NATFREQ=ANNUAL&amp;VAR:RFIELD=FINALIZED&amp;VAR:DB_TYPE=&amp;VAR:UNITS=M&amp;window=popup&amp;width=450&amp;height=300&amp;START_MAXIMIZED=FALSE"}</definedName>
    <definedName name="_630__FDSAUDITLINK__"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1__FDSAUDITLINK__"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2__FDSAUDITLINK__"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3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6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annual_source_window.fat&amp;display_string=Audit&amp;DYN_ARGS=TRUE&amp;VAR:ID1=30231G10&amp;VAR:RCODE=APPN&amp;VAR:SDATE=20051299&amp;VAR:FREQ=Y&amp;VAR:RELITEM=RP&amp;VAR:CURRENCY=&amp;VAR:CURRSOURCE=EXSHARE&amp;V","AR:NATFREQ=ANNUAL&amp;VAR:RFIELD=FINALIZED&amp;VAR:DB_TYPE=&amp;VAR:UNITS=M&amp;window=popup&amp;width=450&amp;height=300&amp;START_MAXIMIZED=FALSE"}</definedName>
    <definedName name="_640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3__FDSAUDITLINK__"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7__FDSAUDITLINK__"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annual_source_window.fat&amp;display_string=Audit&amp;DYN_ARGS=TRUE&amp;VAR:ID1=30231G10&amp;VAR:RCODE=APPN&amp;VAR:SDATE=20041299&amp;VAR:FREQ=Y&amp;VAR:RELITEM=RP&amp;VAR:CURRENCY=&amp;VAR:CURRSOURCE=EXSHARE&amp;V","AR:NATFREQ=ANNUAL&amp;VAR:RFIELD=FINALIZED&amp;VAR:DB_TYPE=&amp;VAR:UNITS=M&amp;window=popup&amp;width=450&amp;height=300&amp;START_MAXIMIZED=FALSE"}</definedName>
    <definedName name="_65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2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3__FDSAUDITLINK__"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4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5__FDSAUDITLINK__"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6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7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9__FDSAUDITLINK__"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annual_source_window.fat&amp;display_string=Audit&amp;DYN_ARGS=TRUE&amp;VAR:ID1=30231G10&amp;VAR:RCODE=APPN&amp;VAR:SDATE=20031299&amp;VAR:FREQ=Y&amp;VAR:RELITEM=RP&amp;VAR:CURRENCY=&amp;VAR:CURRSOURCE=EXSHARE&amp;V","AR:NATFREQ=ANNUAL&amp;VAR:RFIELD=FINALIZED&amp;VAR:DB_TYPE=&amp;VAR:UNITS=M&amp;window=popup&amp;width=450&amp;height=300&amp;START_MAXIMIZED=FALSE"}</definedName>
    <definedName name="_660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2__FDSAUDITLINK__"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3__FDSAUDITLINK__"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4__FDSAUDITLINK__"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6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7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8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9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annual_source_window.fat&amp;display_string=Audit&amp;DYN_ARGS=TRUE&amp;VAR:ID1=30231G10&amp;VAR:RCODE=ATCA&amp;VAR:SDATE=20071299&amp;VAR:FREQ=Y&amp;VAR:RELITEM=RP&amp;VAR:CURRENCY=&amp;VAR:CURRSOURCE=EXSHARE&amp;V","AR:NATFREQ=ANNUAL&amp;VAR:RFIELD=FINALIZED&amp;VAR:DB_TYPE=&amp;VAR:UNITS=M&amp;window=popup&amp;width=450&amp;height=300&amp;START_MAXIMIZED=FALSE"}</definedName>
    <definedName name="_670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3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4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5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6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7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8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annual_source_window.fat&amp;display_string=Audit&amp;DYN_ARGS=TRUE&amp;VAR:ID1=30231G10&amp;VAR:RCODE=ATCA&amp;VAR:SDATE=20061299&amp;VAR:FREQ=Y&amp;VAR:RELITEM=RP&amp;VAR:CURRENCY=&amp;VAR:CURRSOURCE=EXSHARE&amp;V","AR:NATFREQ=ANNUAL&amp;VAR:RFIELD=FINALIZED&amp;VAR:DB_TYPE=&amp;VAR:UNITS=M&amp;window=popup&amp;width=450&amp;height=300&amp;START_MAXIMIZED=FALSE"}</definedName>
    <definedName name="_680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1__FDSAUDITLINK__"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2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3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4__FDSAUDITLINK__"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5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6__FDSAUDITLINK__" hidden="1">{"fdsup://directions/FAT Viewer?action=UPDATE&amp;creator=factset&amp;DYN_ARGS=TRUE&amp;DOC_NAME=FAT:FQL_AUDITING_CLIENT_TEMPLATE.FAT&amp;display_string=Audit&amp;VAR:KEY=FMPWXSJCPA&amp;VAR:QUERY=RkZfTkVUX0lOQyhMVE1TLDAsLCwsSUNfQ1VSUkVOQ1lfSVNPKCkp&amp;WINDOW=FIRST_POPUP&amp;HEIGHT=450&amp;WI","DTH=450&amp;START_MAXIMIZED=FALSE&amp;VAR:CALENDAR=US&amp;VAR:SYMBOL=B03MM4&amp;VAR:INDEX=0"}</definedName>
    <definedName name="_687__FDSAUDITLINK__"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9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annual_source_window.fat&amp;display_string=Audit&amp;DYN_ARGS=TRUE&amp;VAR:ID1=30231G10&amp;VAR:RCODE=ATCA&amp;VAR:SDATE=20051299&amp;VAR:FREQ=Y&amp;VAR:RELITEM=RP&amp;VAR:CURRENCY=&amp;VAR:CURRSOURCE=EXSHARE&amp;V","AR:NATFREQ=ANNUAL&amp;VAR:RFIELD=FINALIZED&amp;VAR:DB_TYPE=&amp;VAR:UNITS=M&amp;window=popup&amp;width=450&amp;height=300&amp;START_MAXIMIZED=FALSE"}</definedName>
    <definedName name="_690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2__FDSAUDITLINK__"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3__FDSAUDITLINK__"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4__FDSAUDITLINK__"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5__FDSAUDITLINK__"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6__FDSAUDITLINK__"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7__FDSAUDITLINK__"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8__FDSAUDITLINK__"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7__123Graph_ACHART_2" hidden="1">#REF!</definedName>
    <definedName name="_7__123Graph_ACHART_22" hidden="1">#REF!</definedName>
    <definedName name="_7__123Graph_BCHART_3" hidden="1">#REF!</definedName>
    <definedName name="_7__123Graph_XCHART_2" hidden="1">#REF!</definedName>
    <definedName name="_7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7"}</definedName>
    <definedName name="_7__FDSAUDITLINK___1" hidden="1">{"fdsup://directions/FAT Viewer?action=UPDATE&amp;creator=factset&amp;DYN_ARGS=TRUE&amp;DOC_NAME=FAT:FQL_AUDITING_CLIENT_TEMPLATE.FAT&amp;display_string=Audit&amp;VAR:KEY=EPYJWDCXEL&amp;VAR:QUERY=UkdGX0VOVFJQUl9WQUwoQU5OLDQwNTYyLCwsLCwsTk9BVURJVCk=&amp;WINDOW=FIRST_POPUP&amp;HEIGHT=450&amp;WI","DTH=450&amp;START_MAXIMIZED=FALSE&amp;VAR:CALENDAR=US&amp;VAR:SYMBOL=CPTS&amp;VAR:INDEX=0"}</definedName>
    <definedName name="_7__FDSAUDITLINK___2" hidden="1">{"fdsup://directions/FAT Viewer?action=UPDATE&amp;creator=factset&amp;DYN_ARGS=TRUE&amp;DOC_NAME=FAT:FQL_AUDITING_CLIENT_TEMPLATE.FAT&amp;display_string=Audit&amp;VAR:KEY=EPYJWDCXEL&amp;VAR:QUERY=UkdGX0VOVFJQUl9WQUwoQU5OLDQwNTYyLCwsLCwsTk9BVURJVCk=&amp;WINDOW=FIRST_POPUP&amp;HEIGHT=450&amp;WI","DTH=450&amp;START_MAXIMIZED=FALSE&amp;VAR:CALENDAR=US&amp;VAR:SYMBOL=CPTS&amp;VAR:INDEX=0"}</definedName>
    <definedName name="_70__FDSAUDITLINK__" hidden="1">{"fdsup://IBCentral/FAT Viewer?action=UPDATE&amp;creator=factset&amp;DOC_NAME=fat:reuters_annual_source_window.fat&amp;display_string=Audit&amp;DYN_ARGS=TRUE&amp;VAR:ID1=30231G10&amp;VAR:RCODE=ATCA&amp;VAR:SDATE=20041299&amp;VAR:FREQ=Y&amp;VAR:RELITEM=RP&amp;VAR:CURRENCY=&amp;VAR:CURRSOURCE=EXSHARE&amp;V","AR:NATFREQ=ANNUAL&amp;VAR:RFIELD=FINALIZED&amp;VAR:DB_TYPE=&amp;VAR:UNITS=M&amp;window=popup&amp;width=450&amp;height=300&amp;START_MAXIMIZED=FALSE"}</definedName>
    <definedName name="_700__FDSAUDITLINK__"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1__FDSAUDITLINK__"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3__FDSAUDITLINK__"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4__FDSAUDITLINK__"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annual_source_window.fat&amp;display_string=Audit&amp;DYN_ARGS=TRUE&amp;VAR:ID1=30231G10&amp;VAR:RCODE=ATCA&amp;VAR:SDATE=20031299&amp;VAR:FREQ=Y&amp;VAR:RELITEM=RP&amp;VAR:CURRENCY=&amp;VAR:CURRSOURCE=EXSHARE&amp;V","AR:NATFREQ=ANNUAL&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2__FDSAUDITLINK__" hidden="1">{"fdsup://IBCentral/FAT Viewer?action=UPDATE&amp;creator=factset&amp;DOC_NAME=fat:reuters_qtrly_source_window.fat&amp;display_string=Audit&amp;DYN_ARGS=TRUE&amp;VAR:ID1=30231G10&amp;VAR:RCODE=AITL&amp;VAR:SDATE=20071299&amp;VAR:FREQ=Quarterly&amp;VAR:RELITEM=&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3__FDSAUDITLINK__" hidden="1">{"fdsup://IBCentral/FAT Viewer?action=UPDATE&amp;creator=factset&amp;DOC_NAME=fat:reuters_qtrly_source_window.fat&amp;display_string=Audit&amp;DYN_ARGS=TRUE&amp;VAR:ID1=30231G10&amp;VAR:RCODE=AITL&amp;VAR:SDATE=20061299&amp;VAR:FREQ=Quarterly&amp;VAR:RELITEM=&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4__FDSAUDITLINK__" hidden="1">{"fdsup://IBCentral/FAT Viewer?action=UPDATE&amp;creator=factset&amp;DOC_NAME=fat:reuters_qtrly_source_window.fat&amp;display_string=Audit&amp;DYN_ARGS=TRUE&amp;VAR:ID1=30231G10&amp;VAR:RCODE=AITL&amp;VAR:SDATE=20051299&amp;VAR:FREQ=Quarterly&amp;VAR:RELITEM=&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5__FDSAUDITLINK__" hidden="1">{"fdsup://IBCentral/FAT Viewer?action=UPDATE&amp;creator=factset&amp;DOC_NAME=fat:reuters_qtrly_source_window.fat&amp;display_string=Audit&amp;DYN_ARGS=TRUE&amp;VAR:ID1=30231G10&amp;VAR:RCODE=AITL&amp;VAR:SDATE=20041299&amp;VAR:FREQ=Quarterly&amp;VAR:RELITEM=&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6__FDSAUDITLINK__" hidden="1">{"fdsup://IBCentral/FAT Viewer?action=UPDATE&amp;creator=factset&amp;DOC_NAME=fat:reuters_qtrly_source_window.fat&amp;display_string=Audit&amp;DYN_ARGS=TRUE&amp;VAR:ID1=30231G10&amp;VAR:RCODE=AITL&amp;VAR:SDATE=20031299&amp;VAR:FREQ=Quarterly&amp;VAR:RELITEM=&amp;VAR:CURRENCY=&amp;VAR:CURRSOURCE=EXSH","ARE&amp;VAR:NATFREQ=QUARTERLY&amp;VAR:RFIELD=FINALIZED&amp;VAR:DB_TYPE=&amp;VAR:UNITS=M&amp;window=popup&amp;width=450&amp;height=300&amp;START_MAXIMIZED=FALSE"}</definedName>
    <definedName name="_760__FDSAUDITLINK__"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1__FDSAUDITLINK__"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2__FDSAUDITLINK__"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3__FDSAUDITLINK__"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4__FDSAUDITLINK__"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5__FDSAUDITLINK__"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6__FDSAUDITLINK__"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7__FDSAUDITLINK__"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8__FDSAUDITLINK__"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9__FDSAUDITLINK__"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7__FDSAUDITLINK__" hidden="1">{"fdsup://IBCentral/FAT Viewer?action=UPDATE&amp;creator=factset&amp;DOC_NAME=fat:reuters_annual_source_window.fat&amp;display_string=Audit&amp;DYN_ARGS=TRUE&amp;VAR:ID1=30231G10&amp;VAR:RCODE=ATRC&amp;VAR:SDATE=20071299&amp;VAR:FREQ=Y&amp;VAR:RELITEM=RP&amp;VAR:CURRENCY=&amp;VAR:CURRSOURCE=EXSHARE&amp;V","AR:NATFREQ=ANNUAL&amp;VAR:RFIELD=FINALIZED&amp;VAR:DB_TYPE=&amp;VAR:UNITS=M&amp;window=popup&amp;width=450&amp;height=300&amp;START_MAXIMIZED=FALSE"}</definedName>
    <definedName name="_770__FDSAUDITLINK__"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1__FDSAUDITLINK__"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2__FDSAUDITLINK__"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3__FDSAUDITLINK__"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4__FDSAUDITLINK__"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5__FDSAUDITLINK__"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6__FDSAUDITLINK__"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7__FDSAUDITLINK__"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8__FDSAUDITLINK__"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9__FDSAUDITLINK__"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8__FDSAUDITLINK__" hidden="1">{"fdsup://IBCentral/FAT Viewer?action=UPDATE&amp;creator=factset&amp;DOC_NAME=fat:reuters_annual_source_window.fat&amp;display_string=Audit&amp;DYN_ARGS=TRUE&amp;VAR:ID1=30231G10&amp;VAR:RCODE=ATRC&amp;VAR:SDATE=20061299&amp;VAR:FREQ=Y&amp;VAR:RELITEM=RP&amp;VAR:CURRENCY=&amp;VAR:CURRSOURCE=EXSHARE&amp;V","AR:NATFREQ=ANNUAL&amp;VAR:RFIELD=FINALIZED&amp;VAR:DB_TYPE=&amp;VAR:UNITS=M&amp;window=popup&amp;width=450&amp;height=300&amp;START_MAXIMIZED=FALSE"}</definedName>
    <definedName name="_780__FDSAUDITLINK__"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1__FDSAUDITLINK__"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2__FDSAUDITLINK__"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3__FDSAUDITLINK__" hidden="1">{"fdsup://Directions/FactSet Auditing Viewer?action=AUDIT_VALUE&amp;DB=129&amp;ID1=B03MM4&amp;VALUEID=02001&amp;SDATE=201004&amp;PERIODTYPE=QTR_STD&amp;window=popup_no_bar&amp;width=385&amp;height=120&amp;START_MAXIMIZED=FALSE&amp;creator=factset&amp;display_string=Audit"}</definedName>
    <definedName name="_786__FDSAUDITLINK__" hidden="1">{"fdsup://Directions/FactSet Auditing Viewer?action=AUDIT_VALUE&amp;DB=129&amp;ID1=573282&amp;VALUEID=01250&amp;SDATE=2010&amp;PERIODTYPE=ANN_STD&amp;window=popup_no_bar&amp;width=385&amp;height=120&amp;START_MAXIMIZED=FALSE&amp;creator=factset&amp;display_string=Audit"}</definedName>
    <definedName name="_789__FDSAUDITLINK__" hidden="1">{"fdsup://directions/FAT Viewer?action=UPDATE&amp;creator=factset&amp;DYN_ARGS=TRUE&amp;DOC_NAME=FAT:FQL_AUDITING_CLIENT_TEMPLATE.FAT&amp;display_string=Audit&amp;VAR:KEY=SLQXKLWNER&amp;VAR:QUERY=RkZfRUJJVF9PUEVSKEFOTiw0MDI5OCwsLCxJQ19DVVJSRU5DWV9JU08oKSxNKQ==&amp;WINDOW=FIRST_POPUP&amp;H","EIGHT=450&amp;WIDTH=450&amp;START_MAXIMIZED=FALSE&amp;VAR:CALENDAR=US&amp;VAR:SYMBOL=B3KHXB&amp;VAR:INDEX=0"}</definedName>
    <definedName name="_79__FDSAUDITLINK__" hidden="1">{"fdsup://IBCentral/FAT Viewer?action=UPDATE&amp;creator=factset&amp;DOC_NAME=fat:reuters_annual_source_window.fat&amp;display_string=Audit&amp;DYN_ARGS=TRUE&amp;VAR:ID1=30231G10&amp;VAR:RCODE=ATRC&amp;VAR:SDATE=20051299&amp;VAR:FREQ=Y&amp;VAR:RELITEM=RP&amp;VAR:CURRENCY=&amp;VAR:CURRSOURCE=EXSHARE&amp;V","AR:NATFREQ=ANNUAL&amp;VAR:RFIELD=FINALIZED&amp;VAR:DB_TYPE=&amp;VAR:UNITS=M&amp;window=popup&amp;width=450&amp;height=300&amp;START_MAXIMIZED=FALSE"}</definedName>
    <definedName name="_792__FDSAUDITLINK__" hidden="1">{"fdsup://Directions/FactSet Auditing Viewer?action=AUDIT_VALUE&amp;DB=129&amp;ID1=B03MM4&amp;VALUEID=01151&amp;SDATE=2010&amp;PERIODTYPE=ANN_STD&amp;window=popup_no_bar&amp;width=385&amp;height=120&amp;START_MAXIMIZED=FALSE&amp;creator=factset&amp;display_string=Audit"}</definedName>
    <definedName name="_798__FDSAUDITLINK__" hidden="1">{"fdsup://directions/FAT Viewer?action=UPDATE&amp;creator=factset&amp;DYN_ARGS=TRUE&amp;DOC_NAME=FAT:FQL_AUDITING_CLIENT_TEMPLATE.FAT&amp;display_string=Audit&amp;VAR:KEY=UTUHCNMRQT&amp;VAR:QUERY=RkZfTkVUX0lOQyhMVE1TLDAsLCwsSUNfQ1VSUkVOQ1lfSVNPKCkp&amp;WINDOW=FIRST_POPUP&amp;HEIGHT=450&amp;WI","DTH=450&amp;START_MAXIMIZED=FALSE&amp;VAR:CALENDAR=US&amp;VAR:SYMBOL=B03MM4&amp;VAR:INDEX=0"}</definedName>
    <definedName name="_8__123Graph_ACHART_23" hidden="1">#REF!</definedName>
    <definedName name="_8__123Graph_ACHART_3" hidden="1">#REF!</definedName>
    <definedName name="_8__123Graph_DCHART_1" hidden="1">#REF!</definedName>
    <definedName name="_8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6"}</definedName>
    <definedName name="_8__FDSAUDITLINK___1" hidden="1">{"fdsup://directions/FAT Viewer?action=UPDATE&amp;creator=factset&amp;DYN_ARGS=TRUE&amp;DOC_NAME=FAT:FQL_AUDITING_CLIENT_TEMPLATE.FAT&amp;display_string=Audit&amp;VAR:KEY=EVARWFUXYD&amp;VAR:QUERY=UkdGX0VOVFJQUl9WQUwoQU5OLDQwMTc4LCwsLCwsTk9BVURJVCk=&amp;WINDOW=FIRST_POPUP&amp;HEIGHT=450&amp;WI","DTH=450&amp;START_MAXIMIZED=FALSE&amp;VAR:CALENDAR=US&amp;VAR:SYMBOL=NUVA&amp;VAR:INDEX=0"}</definedName>
    <definedName name="_8__FDSAUDITLINK___2" hidden="1">{"fdsup://directions/FAT Viewer?action=UPDATE&amp;creator=factset&amp;DYN_ARGS=TRUE&amp;DOC_NAME=FAT:FQL_AUDITING_CLIENT_TEMPLATE.FAT&amp;display_string=Audit&amp;VAR:KEY=EVARWFUXYD&amp;VAR:QUERY=UkdGX0VOVFJQUl9WQUwoQU5OLDQwMTc4LCwsLCwsTk9BVURJVCk=&amp;WINDOW=FIRST_POPUP&amp;HEIGHT=450&amp;WI","DTH=450&amp;START_MAXIMIZED=FALSE&amp;VAR:CALENDAR=US&amp;VAR:SYMBOL=NUVA&amp;VAR:INDEX=0"}</definedName>
    <definedName name="_80__FDSAUDITLINK__" hidden="1">{"fdsup://IBCentral/FAT Viewer?action=UPDATE&amp;creator=factset&amp;DOC_NAME=fat:reuters_annual_source_window.fat&amp;display_string=Audit&amp;DYN_ARGS=TRUE&amp;VAR:ID1=30231G10&amp;VAR:RCODE=ATRC&amp;VAR:SDATE=20041299&amp;VAR:FREQ=Y&amp;VAR:RELITEM=RP&amp;VAR:CURRENCY=&amp;VAR:CURRSOURCE=EXSHARE&amp;V","AR:NATFREQ=ANNUAL&amp;VAR:RFIELD=FINALIZED&amp;VAR:DB_TYPE=&amp;VAR:UNITS=M&amp;window=popup&amp;width=450&amp;height=300&amp;START_MAXIMIZED=FALSE"}</definedName>
    <definedName name="_800__FDSAUDITLINK__" hidden="1">{"fdsup://directions/FAT Viewer?action=UPDATE&amp;creator=factset&amp;DYN_ARGS=TRUE&amp;DOC_NAME=FAT:FQL_AUDITING_CLIENT_TEMPLATE.FAT&amp;display_string=Audit&amp;VAR:KEY=WZUZERQJWJ&amp;VAR:QUERY=RkZfRUJJVERBX09QRVIoTFRNUywwLCwsLElDX0NVUlJFTkNZX0lTTygpKQ==&amp;WINDOW=FIRST_POPUP&amp;HEIGH","T=450&amp;WIDTH=450&amp;START_MAXIMIZED=FALSE&amp;VAR:CALENDAR=US&amp;VAR:SYMBOL=B03MM4&amp;VAR:INDEX=0"}</definedName>
    <definedName name="_804__FDSAUDITLINK__" hidden="1">{"fdsup://directions/FAT Viewer?action=UPDATE&amp;creator=factset&amp;DYN_ARGS=TRUE&amp;DOC_NAME=FAT:FQL_AUDITING_CLIENT_TEMPLATE.FAT&amp;display_string=Audit&amp;VAR:KEY=DCBKNWDAHK&amp;VAR:QUERY=RkZfRVBTX0RJTChBTk4sMzk4MTMsLCwsSUNfQ1VSUkVOQ1lfSVNPKCkp&amp;WINDOW=FIRST_POPUP&amp;HEIGHT=45","0&amp;WIDTH=450&amp;START_MAXIMIZED=FALSE&amp;VAR:CALENDAR=US&amp;VAR:SYMBOL=B12T3J&amp;VAR:INDEX=0"}</definedName>
    <definedName name="_805__FDSAUDITLINK__" hidden="1">{"fdsup://Directions/FactSet Auditing Viewer?action=AUDIT_VALUE&amp;DB=129&amp;ID1=58958410&amp;VALUEID=01001&amp;SDATE=2010&amp;PERIODTYPE=ANN_STD&amp;window=popup_no_bar&amp;width=385&amp;height=120&amp;START_MAXIMIZED=FALSE&amp;creator=factset&amp;display_string=Audit"}</definedName>
    <definedName name="_806__FDSAUDITLINK__" hidden="1">{"fdsup://directions/FAT Viewer?action=UPDATE&amp;creator=factset&amp;DYN_ARGS=TRUE&amp;DOC_NAME=FAT:FQL_AUDITING_CLIENT_TEMPLATE.FAT&amp;display_string=Audit&amp;VAR:KEY=PAFAZQNKPY&amp;VAR:QUERY=RkZfRVBTX0RJTChBTk4sNDA3MjYsLCwsSUNfQ1VSUkVOQ1lfSVNPKCkp&amp;WINDOW=FIRST_POPUP&amp;HEIGHT=45","0&amp;WIDTH=450&amp;START_MAXIMIZED=FALSE&amp;VAR:CALENDAR=US&amp;VAR:SYMBOL=JDSU&amp;VAR:INDEX=0"}</definedName>
    <definedName name="_807__FDSAUDITLINK__" hidden="1">{"fdsup://directions/FAT Viewer?action=UPDATE&amp;creator=factset&amp;DYN_ARGS=TRUE&amp;DOC_NAME=FAT:FQL_AUDITING_CLIENT_TEMPLATE.FAT&amp;display_string=Audit&amp;VAR:KEY=JCNCDWZYHQ&amp;VAR:QUERY=RkZfQ0FQRVgoQU5OLDM5ODEzLCwsLElDX0NVUlJFTkNZX0lTTygpLE0p&amp;WINDOW=FIRST_POPUP&amp;HEIGHT=45","0&amp;WIDTH=450&amp;START_MAXIMIZED=FALSE&amp;VAR:CALENDAR=US&amp;VAR:SYMBOL=668718&amp;VAR:INDEX=0"}</definedName>
    <definedName name="_809__FDSAUDITLINK__" hidden="1">{"fdsup://directions/FAT Viewer?action=UPDATE&amp;creator=factset&amp;DYN_ARGS=TRUE&amp;DOC_NAME=FAT:FQL_AUDITING_CLIENT_TEMPLATE.FAT&amp;display_string=Audit&amp;VAR:KEY=UVENUHKHAX&amp;VAR:QUERY=RkZfRVBTX0RJTChBTk4sNDA1NDMsLCwsSUNfQ1VSUkVOQ1lfSVNPKCkp&amp;WINDOW=FIRST_POPUP&amp;HEIGHT=45","0&amp;WIDTH=450&amp;START_MAXIMIZED=FALSE&amp;VAR:CALENDAR=US&amp;VAR:SYMBOL=B03MM4&amp;VAR:INDEX=0"}</definedName>
    <definedName name="_81__FDSAUDITLINK__" hidden="1">{"fdsup://IBCentral/FAT Viewer?action=UPDATE&amp;creator=factset&amp;DOC_NAME=fat:reuters_annual_source_window.fat&amp;display_string=Audit&amp;DYN_ARGS=TRUE&amp;VAR:ID1=30231G10&amp;VAR:RCODE=ATRC&amp;VAR:SDATE=20031299&amp;VAR:FREQ=Y&amp;VAR:RELITEM=RP&amp;VAR:CURRENCY=&amp;VAR:CURRSOURCE=EXSHARE&amp;V","AR:NATFREQ=ANNUAL&amp;VAR:RFIELD=FINALIZED&amp;VAR:DB_TYPE=&amp;VAR:UNITS=M&amp;window=popup&amp;width=450&amp;height=300&amp;START_MAXIMIZED=FALSE"}</definedName>
    <definedName name="_811__FDSAUDITLINK__" hidden="1">{"fdsup://directions/FAT Viewer?action=UPDATE&amp;creator=factset&amp;DYN_ARGS=TRUE&amp;DOC_NAME=FAT:FQL_AUDITING_CLIENT_TEMPLATE.FAT&amp;display_string=Audit&amp;VAR:KEY=YLORUBAZMD&amp;VAR:QUERY=RkZfQ0FQRVgoQU5OLDQwNDUxLCwsLElDX0NVUlJFTkNZX0lTTygpLE0p&amp;WINDOW=FIRST_POPUP&amp;HEIGHT=45","0&amp;WIDTH=450&amp;START_MAXIMIZED=FALSE&amp;VAR:CALENDAR=US&amp;VAR:SYMBOL=58958410&amp;VAR:INDEX=0"}</definedName>
    <definedName name="_812__FDSAUDITLINK__" hidden="1">{"fdsup://directions/FAT Viewer?action=UPDATE&amp;creator=factset&amp;DYN_ARGS=TRUE&amp;DOC_NAME=FAT:FQL_AUDITING_CLIENT_TEMPLATE.FAT&amp;display_string=Audit&amp;VAR:KEY=CDCPIPCNUT&amp;VAR:QUERY=RkZfSU5UX0VYUF9ORVQoTFRNUywwLCwsLElDX0NVUlJFTkNZX0lTTygpKQ==&amp;WINDOW=FIRST_POPUP&amp;HEIGH","T=450&amp;WIDTH=450&amp;START_MAXIMIZED=FALSE&amp;VAR:CALENDAR=US&amp;VAR:SYMBOL=B03MM4&amp;VAR:INDEX=0"}</definedName>
    <definedName name="_813__FDSAUDITLINK__" hidden="1">{"fdsup://Directions/FactSet Auditing Viewer?action=AUDIT_VALUE&amp;DB=129&amp;ID1=58958410&amp;VALUEID=04831&amp;SDATE=2010&amp;PERIODTYPE=ANN_STD&amp;window=popup_no_bar&amp;width=385&amp;height=120&amp;START_MAXIMIZED=FALSE&amp;creator=factset&amp;display_string=Audit"}</definedName>
    <definedName name="_814__FDSAUDITLINK__" hidden="1">{"fdsup://directions/FAT Viewer?action=UPDATE&amp;creator=factset&amp;DYN_ARGS=TRUE&amp;DOC_NAME=FAT:FQL_AUDITING_CLIENT_TEMPLATE.FAT&amp;display_string=Audit&amp;VAR:KEY=MVEZKDYLSD&amp;VAR:QUERY=RkZfSU5UX0VYUF9ORVQoTFRNUywwLCwsLElDX0NVUlJFTkNZX0lTTygpKQ==&amp;WINDOW=FIRST_POPUP&amp;HEIGH","T=450&amp;WIDTH=450&amp;START_MAXIMIZED=FALSE&amp;VAR:CALENDAR=US&amp;VAR:SYMBOL=58958410&amp;VAR:INDEX=0"}</definedName>
    <definedName name="_815__FDSAUDITLINK__" hidden="1">{"fdsup://directions/FAT Viewer?action=UPDATE&amp;creator=factset&amp;DYN_ARGS=TRUE&amp;DOC_NAME=FAT:FQL_AUDITING_CLIENT_TEMPLATE.FAT&amp;display_string=Audit&amp;VAR:KEY=NEFKFOZQBK&amp;VAR:QUERY=RkZfRUJJVERBX09QRVIoQU5OLDQwMjY4LCwsLElDX0NVUlJFTkNZX0lTTygpLE0p&amp;WINDOW=FIRST_POPUP&amp;H","EIGHT=450&amp;WIDTH=450&amp;START_MAXIMIZED=FALSE&amp;VAR:CALENDAR=US&amp;VAR:SYMBOL=626167&amp;VAR:INDEX=0"}</definedName>
    <definedName name="_816__FDSAUDITLINK__" hidden="1">{"fdsup://directions/FAT Viewer?action=UPDATE&amp;creator=factset&amp;DYN_ARGS=TRUE&amp;DOC_NAME=FAT:FQL_AUDITING_CLIENT_TEMPLATE.FAT&amp;display_string=Audit&amp;VAR:KEY=AJIZGTUDAJ&amp;VAR:QUERY=RkZfRUJJVF9PUEVSKExUTVMsMCwsLCxJQ19DVVJSRU5DWV9JU08oKSk=&amp;WINDOW=FIRST_POPUP&amp;HEIGHT=45","0&amp;WIDTH=450&amp;START_MAXIMIZED=FALSE&amp;VAR:CALENDAR=US&amp;VAR:SYMBOL=58958410&amp;VAR:INDEX=0"}</definedName>
    <definedName name="_818__FDSAUDITLINK__" hidden="1">{"fdsup://directions/FAT Viewer?action=UPDATE&amp;creator=factset&amp;DYN_ARGS=TRUE&amp;DOC_NAME=FAT:FQL_AUDITING_CLIENT_TEMPLATE.FAT&amp;display_string=Audit&amp;VAR:KEY=SXMTUFCHCJ&amp;VAR:QUERY=KCgoRkZfREVCVF9MVChRVFIsMEQsLCwsSUNfQ1VSUkVOQ1lfSVNPKCkpQEZGX0RFQlRfTFQoU0VNSSwwRCwsL","CxJQ19DVVJSRU5DWV9JU08oKSkpQEZGX0RFQlRfTFQoUVRSLDBELTEsLCwsSUNfQ1VSUkVOQ1lfSVNPKCkpKUBGRl9ERUJUX0xUKFNFTUksMEQtMSwsLCxJQ19DVVJSRU5DWV9JU08oKSkp&amp;WINDOW=FIRST_POPUP&amp;HEIGHT=450&amp;WIDTH=450&amp;START_MAXIMIZED=FALSE&amp;VAR:CALENDAR=US&amp;VAR:SYMBOL=58958410&amp;VAR:INDEX=0"}</definedName>
    <definedName name="_819__FDSAUDITLINK__" hidden="1">{"fdsup://directions/FAT Viewer?action=UPDATE&amp;creator=factset&amp;DYN_ARGS=TRUE&amp;DOC_NAME=FAT:FQL_AUDITING_CLIENT_TEMPLATE.FAT&amp;display_string=Audit&amp;VAR:KEY=KPKHONKXKT&amp;VAR:QUERY=RkZfRUJJVERBX09QRVIoTFRNUywwLCwsLElDX0NVUlJFTkNZX0lTTygpKQ==&amp;WINDOW=FIRST_POPUP&amp;HEIGH","T=450&amp;WIDTH=450&amp;START_MAXIMIZED=FALSE&amp;VAR:CALENDAR=US&amp;VAR:SYMBOL=B03MM4&amp;VAR:INDEX=0"}</definedName>
    <definedName name="_82__FDSAUDITLINK__" hidden="1">{"fdsup://IBCentral/FAT Viewer?action=UPDATE&amp;creator=factset&amp;DOC_NAME=fat:reuters_annual_source_window.fat&amp;display_string=Audit&amp;DYN_ARGS=TRUE&amp;VAR:ID1=30231G10&amp;VAR:RCODE=SCSI&amp;VAR:SDATE=20071299&amp;VAR:FREQ=Y&amp;VAR:RELITEM=RP&amp;VAR:CURRENCY=&amp;VAR:CURRSOURCE=EXSHARE&amp;V","AR:NATFREQ=ANNUAL&amp;VAR:RFIELD=FINALIZED&amp;VAR:DB_TYPE=&amp;VAR:UNITS=M&amp;window=popup&amp;width=450&amp;height=300&amp;START_MAXIMIZED=FALSE"}</definedName>
    <definedName name="_820__FDSAUDITLINK__" hidden="1">{"fdsup://directions/FAT Viewer?action=UPDATE&amp;creator=factset&amp;DYN_ARGS=TRUE&amp;DOC_NAME=FAT:FQL_AUDITING_CLIENT_TEMPLATE.FAT&amp;display_string=Audit&amp;VAR:KEY=IBABIPGFCH&amp;VAR:QUERY=RkZfRUJJVERBX09QRVIoTFRNUywwLCwsLElDX0NVUlJFTkNZX0lTTygpKQ==&amp;WINDOW=FIRST_POPUP&amp;HEIGH","T=450&amp;WIDTH=450&amp;START_MAXIMIZED=FALSE&amp;VAR:CALENDAR=US&amp;VAR:SYMBOL=B3KHXB&amp;VAR:INDEX=0"}</definedName>
    <definedName name="_821__FDSAUDITLINK__" hidden="1">{"fdsup://Directions/FactSet Auditing Viewer?action=AUDIT_VALUE&amp;DB=129&amp;ID1=B3KHXB&amp;VALUEID=03451&amp;SDATE=201001&amp;PERIODTYPE=SEMI_STD&amp;window=popup_no_bar&amp;width=385&amp;height=120&amp;START_MAXIMIZED=FALSE&amp;creator=factset&amp;display_string=Audit"}</definedName>
    <definedName name="_822__FDSAUDITLINK__" hidden="1">{"fdsup://directions/FAT Viewer?action=UPDATE&amp;creator=factset&amp;DYN_ARGS=TRUE&amp;DOC_NAME=FAT:FQL_AUDITING_CLIENT_TEMPLATE.FAT&amp;display_string=Audit&amp;VAR:KEY=CNULCJCRGV&amp;VAR:QUERY=KCgoRkZfREVCVF9MVChRVFIsMEQsLCwsSUNfQ1VSUkVOQ1lfSVNPKCkpQEZGX0RFQlRfTFQoU0VNSSwwRCwsL","CxJQ19DVVJSRU5DWV9JU08oKSkpQEZGX0RFQlRfTFQoUVRSLDBELTEsLCwsSUNfQ1VSUkVOQ1lfSVNPKCkpKUBGRl9ERUJUX0xUKFNFTUksMEQtMSwsLCxJQ19DVVJSRU5DWV9JU08oKSkp&amp;WINDOW=FIRST_POPUP&amp;HEIGHT=450&amp;WIDTH=450&amp;START_MAXIMIZED=FALSE&amp;VAR:CALENDAR=US&amp;VAR:SYMBOL=B3KHXB&amp;VAR:INDEX=0"}</definedName>
    <definedName name="_823__FDSAUDITLINK__"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4__FDSAUDITLINK__"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5__FDSAUDITLINK__"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6__FDSAUDITLINK__"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7__FDSAUDITLINK__"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9__FDSAUDITLINK__"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annual_source_window.fat&amp;display_string=Audit&amp;DYN_ARGS=TRUE&amp;VAR:ID1=30231G10&amp;VAR:RCODE=SCSI&amp;VAR:SDATE=20061299&amp;VAR:FREQ=Y&amp;VAR:RELITEM=RP&amp;VAR:CURRENCY=&amp;VAR:CURRSOURCE=EXSHARE&amp;V","AR:NATFREQ=ANNUAL&amp;VAR:RFIELD=FINALIZED&amp;VAR:DB_TYPE=&amp;VAR:UNITS=M&amp;window=popup&amp;width=450&amp;height=300&amp;START_MAXIMIZED=FALSE"}</definedName>
    <definedName name="_830__FDSAUDITLINK__"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1__FDSAUDITLINK__"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2__FDSAUDITLINK__"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3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4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5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6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7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8__FDSAUDITLINK__"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9__FDSAUDITLINK__"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annual_source_window.fat&amp;display_string=Audit&amp;DYN_ARGS=TRUE&amp;VAR:ID1=30231G10&amp;VAR:RCODE=SCSI&amp;VAR:SDATE=20051299&amp;VAR:FREQ=Y&amp;VAR:RELITEM=RP&amp;VAR:CURRENCY=&amp;VAR:CURRSOURCE=EXSHARE&amp;V","AR:NATFREQ=ANNUAL&amp;VAR:RFIELD=FINALIZED&amp;VAR:DB_TYPE=&amp;VAR:UNITS=M&amp;window=popup&amp;width=450&amp;height=300&amp;START_MAXIMIZED=FALSE"}</definedName>
    <definedName name="_840__FDSAUDITLINK__"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1__FDSAUDITLINK__"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2__FDSAUDITLINK__"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3__FDSAUDITLINK__"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4__FDSAUDITLINK__"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5__FDSAUDITLINK__"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6__FDSAUDITLINK__"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7__FDSAUDITLINK__"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8__FDSAUDITLINK__"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9__FDSAUDITLINK__"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annual_source_window.fat&amp;display_string=Audit&amp;DYN_ARGS=TRUE&amp;VAR:ID1=30231G10&amp;VAR:RCODE=SCSI&amp;VAR:SDATE=20041299&amp;VAR:FREQ=Y&amp;VAR:RELITEM=RP&amp;VAR:CURRENCY=&amp;VAR:CURRSOURCE=EXSHARE&amp;V","AR:NATFREQ=ANNUAL&amp;VAR:RFIELD=FINALIZED&amp;VAR:DB_TYPE=&amp;VAR:UNITS=M&amp;window=popup&amp;width=450&amp;height=300&amp;START_MAXIMIZED=FALSE"}</definedName>
    <definedName name="_850__FDSAUDITLINK__"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1__FDSAUDITLINK__"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2__FDSAUDITLINK__"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3__FDSAUDITLINK__"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4__FDSAUDITLINK__"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5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6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7__FDSAUDITLINK__"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8__FDSAUDITLINK__"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9__FDSAUDITLINK__"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annual_source_window.fat&amp;display_string=Audit&amp;DYN_ARGS=TRUE&amp;VAR:ID1=30231G10&amp;VAR:RCODE=SCSI&amp;VAR:SDATE=20031299&amp;VAR:FREQ=Y&amp;VAR:RELITEM=RP&amp;VAR:CURRENCY=&amp;VAR:CURRSOURCE=EXSHARE&amp;V","AR:NATFREQ=ANNUAL&amp;VAR:RFIELD=FINALIZED&amp;VAR:DB_TYPE=&amp;VAR:UNITS=M&amp;window=popup&amp;width=450&amp;height=300&amp;START_MAXIMIZED=FALSE"}</definedName>
    <definedName name="_860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1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2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3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4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6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7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8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9__FDSAUDITLINK__"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annual_source_window.fat&amp;display_string=Audit&amp;DYN_ARGS=TRUE&amp;VAR:ID1=30231G10&amp;VAR:RCODE=SCEX&amp;VAR:SDATE=20071299&amp;VAR:FREQ=Y&amp;VAR:RELITEM=RP&amp;VAR:CURRENCY=&amp;VAR:CURRSOURCE=EXSHARE&amp;V","AR:NATFREQ=ANNUAL&amp;VAR:RFIELD=FINALIZED&amp;VAR:DB_TYPE=&amp;VAR:UNITS=M&amp;window=popup&amp;width=450&amp;height=300&amp;START_MAXIMIZED=FALSE"}</definedName>
    <definedName name="_870__FDSAUDITLINK__"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1__FDSAUDITLINK__"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2__FDSAUDITLINK__"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3__FDSAUDITLINK__"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4__FDSAUDITLINK__"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5__FDSAUDITLINK__"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6__FDSAUDITLINK__"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7__FDSAUDITLINK__"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8__FDSAUDITLINK__"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9__FDSAUDITLINK__"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annual_source_window.fat&amp;display_string=Audit&amp;DYN_ARGS=TRUE&amp;VAR:ID1=30231G10&amp;VAR:RCODE=SCEX&amp;VAR:SDATE=20061299&amp;VAR:FREQ=Y&amp;VAR:RELITEM=RP&amp;VAR:CURRENCY=&amp;VAR:CURRSOURCE=EXSHARE&amp;V","AR:NATFREQ=ANNUAL&amp;VAR:RFIELD=FINALIZED&amp;VAR:DB_TYPE=&amp;VAR:UNITS=M&amp;window=popup&amp;width=450&amp;height=300&amp;START_MAXIMIZED=FALSE"}</definedName>
    <definedName name="_880__FDSAUDITLINK__"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1__FDSAUDITLINK__"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2__FDSAUDITLINK__"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3__FDSAUDITLINK__"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4__FDSAUDITLINK__"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5__FDSAUDITLINK__"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6__FDSAUDITLINK__"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7__FDSAUDITLINK__"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8__FDSAUDITLINK__"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9__FDSAUDITLINK__"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annual_source_window.fat&amp;display_string=Audit&amp;DYN_ARGS=TRUE&amp;VAR:ID1=30231G10&amp;VAR:RCODE=SCEX&amp;VAR:SDATE=20051299&amp;VAR:FREQ=Y&amp;VAR:RELITEM=RP&amp;VAR:CURRENCY=&amp;VAR:CURRSOURCE=EXSHARE&amp;V","AR:NATFREQ=ANNUAL&amp;VAR:RFIELD=FINALIZED&amp;VAR:DB_TYPE=&amp;VAR:UNITS=M&amp;window=popup&amp;width=450&amp;height=300&amp;START_MAXIMIZED=FALSE"}</definedName>
    <definedName name="_890__FDSAUDITLINK__"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2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3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4__FDSAUDITLINK__"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5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6__FDSAUDITLINK__"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7__FDSAUDITLINK__"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8__FDSAUDITLINK__"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9__FDSAUDITLINK__"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9__123Graph_ACHART_25" hidden="1">#REF!</definedName>
    <definedName name="_9__123Graph_BCHART_1" hidden="1">#REF!</definedName>
    <definedName name="_9__123Graph_LBL_ACHART_1" hidden="1">#REF!</definedName>
    <definedName name="_9__FDSAUDITLINK__" hidden="1">{"fdsup://directions/FAT Viewer?action=UPDATE&amp;creator=factset&amp;DYN_ARGS=TRUE&amp;DOC_NAME=FAT:FQL_AUDITING_CLIENT_TEMPLATE.FAT&amp;display_string=Audit&amp;VAR:KEY=IXSTMBMTIF&amp;VAR:QUERY=RkZfQ09HUyhBTk4sMCwtMTBBWSk=&amp;WINDOW=FIRST_POPUP&amp;HEIGHT=450&amp;WIDTH=450&amp;START_MAXIMIZED=","FALSE&amp;VAR:CALENDAR=US&amp;VAR:SYMBOL=088470&amp;VAR:INDEX=5"}</definedName>
    <definedName name="_9__FDSAUDITLINK___1" hidden="1">{"fdsup://directions/FAT Viewer?action=UPDATE&amp;creator=factset&amp;DYN_ARGS=TRUE&amp;DOC_NAME=FAT:FQL_AUDITING_CLIENT_TEMPLATE.FAT&amp;display_string=Audit&amp;VAR:KEY=IXKTWVETKJ&amp;VAR:QUERY=UkdGX0VOVFJQUl9WQUwoQU5OLDQwNTYyLCwsLCwsTk9BVURJVCk=&amp;WINDOW=FIRST_POPUP&amp;HEIGHT=450&amp;WI","DTH=450&amp;START_MAXIMIZED=FALSE&amp;VAR:CALENDAR=US&amp;VAR:SYMBOL=FRX&amp;VAR:INDEX=0"}</definedName>
    <definedName name="_9__FDSAUDITLINK___2" hidden="1">{"fdsup://directions/FAT Viewer?action=UPDATE&amp;creator=factset&amp;DYN_ARGS=TRUE&amp;DOC_NAME=FAT:FQL_AUDITING_CLIENT_TEMPLATE.FAT&amp;display_string=Audit&amp;VAR:KEY=IXKTWVETKJ&amp;VAR:QUERY=UkdGX0VOVFJQUl9WQUwoQU5OLDQwNTYyLCwsLCwsTk9BVURJVCk=&amp;WINDOW=FIRST_POPUP&amp;HEIGHT=450&amp;WI","DTH=450&amp;START_MAXIMIZED=FALSE&amp;VAR:CALENDAR=US&amp;VAR:SYMBOL=FRX&amp;VAR:INDEX=0"}</definedName>
    <definedName name="_90__FDSAUDITLINK__" hidden="1">{"fdsup://IBCentral/FAT Viewer?action=UPDATE&amp;creator=factset&amp;DOC_NAME=fat:reuters_annual_source_window.fat&amp;display_string=Audit&amp;DYN_ARGS=TRUE&amp;VAR:ID1=30231G10&amp;VAR:RCODE=SCEX&amp;VAR:SDATE=20041299&amp;VAR:FREQ=Y&amp;VAR:RELITEM=RP&amp;VAR:CURRENCY=&amp;VAR:CURRSOURCE=EXSHARE&amp;V","AR:NATFREQ=ANNUAL&amp;VAR:RFIELD=FINALIZED&amp;VAR:DB_TYPE=&amp;VAR:UNITS=M&amp;window=popup&amp;width=450&amp;height=300&amp;START_MAXIMIZED=FALSE"}</definedName>
    <definedName name="_900__FDSAUDITLINK__"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1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2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3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4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5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6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7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8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9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annual_source_window.fat&amp;display_string=Audit&amp;DYN_ARGS=TRUE&amp;VAR:ID1=30231G10&amp;VAR:RCODE=SCEX&amp;VAR:SDATE=20031299&amp;VAR:FREQ=Y&amp;VAR:RELITEM=RP&amp;VAR:CURRENCY=&amp;VAR:CURRSOURCE=EXSHARE&amp;V","AR:NATFREQ=ANNUAL&amp;VAR:RFIELD=FINALIZED&amp;VAR:DB_TYPE=&amp;VAR:UNITS=M&amp;window=popup&amp;width=450&amp;height=300&amp;START_MAXIMIZED=FALSE"}</definedName>
    <definedName name="_910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1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2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3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4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5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6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7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8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9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annual_source_window.fat&amp;display_string=Audit&amp;DYN_ARGS=TRUE&amp;VAR:ID1=30231G10&amp;VAR:RCODE=NIBX&amp;VAR:SDATE=20071299&amp;VAR:FREQ=Y&amp;VAR:RELITEM=RP&amp;VAR:CURRENCY=&amp;VAR:CURRSOURCE=EXSHARE&amp;V","AR:NATFREQ=ANNUAL&amp;VAR:RFIELD=FINALIZED&amp;VAR:DB_TYPE=&amp;VAR:UNITS=M&amp;window=popup&amp;width=450&amp;height=300&amp;START_MAXIMIZED=FALSE"}</definedName>
    <definedName name="_920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1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2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3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4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5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6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7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8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9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annual_source_window.fat&amp;display_string=Audit&amp;DYN_ARGS=TRUE&amp;VAR:ID1=30231G10&amp;VAR:RCODE=NIBX&amp;VAR:SDATE=20061299&amp;VAR:FREQ=Y&amp;VAR:RELITEM=RP&amp;VAR:CURRENCY=&amp;VAR:CURRSOURCE=EXSHARE&amp;V","AR:NATFREQ=ANNUAL&amp;VAR:RFIELD=FINALIZED&amp;VAR:DB_TYPE=&amp;VAR:UNITS=M&amp;window=popup&amp;width=450&amp;height=300&amp;START_MAXIMIZED=FALSE"}</definedName>
    <definedName name="_930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1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2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3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4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5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6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7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8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9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4__FDSAUDITLINK__" hidden="1">{"fdsup://IBCentral/FAT Viewer?action=UPDATE&amp;creator=factset&amp;DOC_NAME=fat:reuters_annual_source_window.fat&amp;display_string=Audit&amp;DYN_ARGS=TRUE&amp;VAR:ID1=30231G10&amp;VAR:RCODE=NIBX&amp;VAR:SDATE=20051299&amp;VAR:FREQ=Y&amp;VAR:RELITEM=RP&amp;VAR:CURRENCY=&amp;VAR:CURRSOURCE=EXSHARE&amp;V","AR:NATFREQ=ANNUAL&amp;VAR:RFIELD=FINALIZED&amp;VAR:DB_TYPE=&amp;VAR:UNITS=M&amp;window=popup&amp;width=450&amp;height=300&amp;START_MAXIMIZED=FALSE"}</definedName>
    <definedName name="_940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1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2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3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4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5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6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7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8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annual_source_window.fat&amp;display_string=Audit&amp;DYN_ARGS=TRUE&amp;VAR:ID1=30231G10&amp;VAR:RCODE=NIBX&amp;VAR:SDATE=20041299&amp;VAR:FREQ=Y&amp;VAR:RELITEM=RP&amp;VAR:CURRENCY=&amp;VAR:CURRSOURCE=EXSHARE&amp;V","AR:NATFREQ=ANNUAL&amp;VAR:RFIELD=FINALIZED&amp;VAR:DB_TYPE=&amp;VAR:UNITS=M&amp;window=popup&amp;width=450&amp;height=300&amp;START_MAXIMIZED=FALSE"}</definedName>
    <definedName name="_950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1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2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3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4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5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6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7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8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9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annual_source_window.fat&amp;display_string=Audit&amp;DYN_ARGS=TRUE&amp;VAR:ID1=30231G10&amp;VAR:RCODE=NIBX&amp;VAR:SDATE=20031299&amp;VAR:FREQ=Y&amp;VAR:RELITEM=RP&amp;VAR:CURRENCY=&amp;VAR:CURRSOURCE=EXSHARE&amp;V","AR:NATFREQ=ANNUAL&amp;VAR:RFIELD=FINALIZED&amp;VAR:DB_TYPE=&amp;VAR:UNITS=M&amp;window=popup&amp;width=450&amp;height=300&amp;START_MAXIMIZED=FALSE"}</definedName>
    <definedName name="_960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1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2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3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4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5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6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7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8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9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7__FDSAUDITLINK__" hidden="1">{"fdsup://IBCentral/FAT Viewer?action=UPDATE&amp;creator=factset&amp;DOC_NAME=fat:reuters_annual_source_window.fat&amp;display_string=Audit&amp;DYN_ARGS=TRUE&amp;VAR:ID1=30231G10&amp;VAR:RCODE=EIBT&amp;VAR:SDATE=20071299&amp;VAR:FREQ=Y&amp;VAR:RELITEM=RP&amp;VAR:CURRENCY=&amp;VAR:CURRSOURCE=EXSHARE&amp;V","AR:NATFREQ=ANNUAL&amp;VAR:RFIELD=FINALIZED&amp;VAR:DB_TYPE=&amp;VAR:UNITS=M&amp;window=popup&amp;width=450&amp;height=300&amp;START_MAXIMIZED=FALSE"}</definedName>
    <definedName name="_970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1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2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3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4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5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6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7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8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9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8__FDSAUDITLINK__" hidden="1">{"fdsup://IBCentral/FAT Viewer?action=UPDATE&amp;creator=factset&amp;DOC_NAME=fat:reuters_annual_source_window.fat&amp;display_string=Audit&amp;DYN_ARGS=TRUE&amp;VAR:ID1=30231G10&amp;VAR:RCODE=EIBT&amp;VAR:SDATE=20061299&amp;VAR:FREQ=Y&amp;VAR:RELITEM=RP&amp;VAR:CURRENCY=&amp;VAR:CURRSOURCE=EXSHARE&amp;V","AR:NATFREQ=ANNUAL&amp;VAR:RFIELD=FINALIZED&amp;VAR:DB_TYPE=&amp;VAR:UNITS=M&amp;window=popup&amp;width=450&amp;height=300&amp;START_MAXIMIZED=FALSE"}</definedName>
    <definedName name="_980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1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2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3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4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5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6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7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8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9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9__FDSAUDITLINK__" hidden="1">{"fdsup://IBCentral/FAT Viewer?action=UPDATE&amp;creator=factset&amp;DOC_NAME=fat:reuters_annual_source_window.fat&amp;display_string=Audit&amp;DYN_ARGS=TRUE&amp;VAR:ID1=30231G10&amp;VAR:RCODE=EIBT&amp;VAR:SDATE=20051299&amp;VAR:FREQ=Y&amp;VAR:RELITEM=RP&amp;VAR:CURRENCY=&amp;VAR:CURRSOURCE=EXSHARE&amp;V","AR:NATFREQ=ANNUAL&amp;VAR:RFIELD=FINALIZED&amp;VAR:DB_TYPE=&amp;VAR:UNITS=M&amp;window=popup&amp;width=450&amp;height=300&amp;START_MAXIMIZED=FALSE"}</definedName>
    <definedName name="_990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1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2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3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4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5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6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7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8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9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a1" hidden="1">{#N/A,#N/A,FALSE,"Pharm";#N/A,#N/A,FALSE,"WWCM"}</definedName>
    <definedName name="_a10" hidden="1">{#N/A,#N/A,FALSE,"Bilan"}</definedName>
    <definedName name="_A100" hidden="1">{#N/A,#N/A,FALSE,"DIR-REP";#N/A,#N/A,FALSE,"AUD-REPORT";#N/A,#N/A,FALSE,"P7L&amp;BS";#N/A,#N/A,FALSE,"NOTES";#N/A,#N/A,FALSE,"FA";#N/A,#N/A,FALSE,"NOTES (2)";#N/A,#N/A,FALSE,"Schedule  IV";#N/A,#N/A,FALSE,"Schedule V"}</definedName>
    <definedName name="_A1001" hidden="1">{#N/A,#N/A,FALSE,"DIR-REP";#N/A,#N/A,FALSE,"AUD-REPORT";#N/A,#N/A,FALSE,"P7L&amp;BS";#N/A,#N/A,FALSE,"NOTES";#N/A,#N/A,FALSE,"FA";#N/A,#N/A,FALSE,"NOTES (2)";#N/A,#N/A,FALSE,"Schedule  IV";#N/A,#N/A,FALSE,"Schedule V"}</definedName>
    <definedName name="_A11" hidden="1">{#N/A,#N/A,FALSE,"Umsatz 99";#N/A,#N/A,FALSE,"ER 99 "}</definedName>
    <definedName name="_a12" hidden="1">{#N/A,#N/A,FALSE,"Bilan"}</definedName>
    <definedName name="_a13" hidden="1">{#N/A,#N/A,FALSE,"Bilan"}</definedName>
    <definedName name="_a14" hidden="1">{#N/A,#N/A,FALSE,"Bilan"}</definedName>
    <definedName name="_a15" hidden="1">{#N/A,#N/A,FALSE,"Bilan"}</definedName>
    <definedName name="_a2" hidden="1">{"mgmt forecast",#N/A,FALSE,"Mgmt Forecast";"dcf table",#N/A,FALSE,"Mgmt Forecast";"sensitivity",#N/A,FALSE,"Mgmt Forecast";"table inputs",#N/A,FALSE,"Mgmt Forecast";"calculations",#N/A,FALSE,"Mgmt Forecast"}</definedName>
    <definedName name="_A4" hidden="1">{#N/A,#N/A,FALSE,"Bilan"}</definedName>
    <definedName name="_a40" hidden="1">{#N/A,#N/A,FALSE,"Bilan"}</definedName>
    <definedName name="_a41" hidden="1">{#N/A,#N/A,FALSE,"Bilan"}</definedName>
    <definedName name="_a42" hidden="1">{#N/A,#N/A,FALSE,"Bilan"}</definedName>
    <definedName name="_a43" hidden="1">{#N/A,#N/A,FALSE,"Bilan"}</definedName>
    <definedName name="_a44" hidden="1">{#N/A,#N/A,FALSE,"Bilan"}</definedName>
    <definedName name="_a45" hidden="1">{#N/A,#N/A,FALSE,"Bilan"}</definedName>
    <definedName name="_a5" hidden="1">{#N/A,#N/A,FALSE,"Bilan"}</definedName>
    <definedName name="_a6" hidden="1">{#N/A,#N/A,FALSE,"Bilan"}</definedName>
    <definedName name="_a8" hidden="1">{#N/A,#N/A,FALSE,"Partnership Splits";#N/A,#N/A,FALSE,"Condensed Financials-Endo";#N/A,#N/A,FALSE,"Condensed Financials-Partner";#N/A,#N/A,FALSE,"P&amp;L Detail";#N/A,#N/A,FALSE,"Payments";#N/A,#N/A,FALSE,"Selling &amp; Mktg Summary (3)"}</definedName>
    <definedName name="_aa1" hidden="1">{#N/A,"PURADD",FALSE,"Business Analysis";#N/A,"PURSPP",FALSE,"Business Analysis";#N/A,"CTGIND",FALSE,"Business Analysis";#N/A,"PURCHM",FALSE,"Business Analysis";#N/A,"SPADD",FALSE,"Business Analysis";#N/A,"EPOXY",FALSE,"Business Analysis";#N/A,"PURPER",FALSE,"Business Analysis"}</definedName>
    <definedName name="_aaa1" hidden="1">{#N/A,#N/A,FALSE,"REPORT"}</definedName>
    <definedName name="_aas1" hidden="1">{#N/A,#N/A,FALSE,"REPORT"}</definedName>
    <definedName name="_ab098" hidden="1">{#N/A,"PURCHM",FALSE,"Business Analysis";#N/A,"SPADD",FALSE,"Business Analysis"}</definedName>
    <definedName name="_abc098" hidden="1">{#N/A,"PURCHM",FALSE,"Business Analysis";#N/A,"SPADD",FALSE,"Business Analysis"}</definedName>
    <definedName name="_abc1" hidden="1">{"detail",#N/A,FALSE,"mfg";"summary",#N/A,FALSE,"mfg"}</definedName>
    <definedName name="_abc10" hidden="1">{"detail",#N/A,FALSE,"mfg";"summary",#N/A,FALSE,"mfg"}</definedName>
    <definedName name="_abc101" hidden="1">{"detail",#N/A,FALSE,"mfg";"summary",#N/A,FALSE,"mfg"}</definedName>
    <definedName name="_abc102" hidden="1">{"detail",#N/A,FALSE,"mfg";"summary",#N/A,FALSE,"mfg"}</definedName>
    <definedName name="_abc105" hidden="1">{"detail",#N/A,FALSE,"mfg";"summary",#N/A,FALSE,"mfg"}</definedName>
    <definedName name="_abc1082" hidden="1">{"detail",#N/A,FALSE,"mfg";"summary",#N/A,FALSE,"mfg"}</definedName>
    <definedName name="_abc11" hidden="1">{"detail",#N/A,FALSE,"mfg";"summary",#N/A,FALSE,"mfg"}</definedName>
    <definedName name="_abc115" hidden="1">{"detail",#N/A,FALSE,"mfg";"summary",#N/A,FALSE,"mfg"}</definedName>
    <definedName name="_abc12" hidden="1">{"detail",#N/A,FALSE,"mfg";"summary",#N/A,FALSE,"mfg"}</definedName>
    <definedName name="_abc1234" hidden="1">{#N/A,"PURCHM",FALSE,"Business Analysis";#N/A,"SPADD",FALSE,"Business Analysis"}</definedName>
    <definedName name="_abc125" hidden="1">{"detail",#N/A,FALSE,"mfg";"summary",#N/A,FALSE,"mfg"}</definedName>
    <definedName name="_abc13" hidden="1">{"detail",#N/A,FALSE,"mfg";"summary",#N/A,FALSE,"mfg"}</definedName>
    <definedName name="_abc1325" hidden="1">{"detail",#N/A,FALSE,"mfg";"summary",#N/A,FALSE,"mfg"}</definedName>
    <definedName name="_abc14" hidden="1">{"detail",#N/A,FALSE,"mfg";"summary",#N/A,FALSE,"mfg"}</definedName>
    <definedName name="_abc1425" hidden="1">{"detail",#N/A,FALSE,"mfg";"summary",#N/A,FALSE,"mfg"}</definedName>
    <definedName name="_abc2" hidden="1">{"detail",#N/A,FALSE,"mfg";"summary",#N/A,FALSE,"mfg"}</definedName>
    <definedName name="_abc200" hidden="1">{"detail",#N/A,FALSE,"mfg";"summary",#N/A,FALSE,"mfg"}</definedName>
    <definedName name="_abc2005" hidden="1">{#N/A,"PURCHM",FALSE,"Business Analysis";#N/A,"SPADD",FALSE,"Business Analysis"}</definedName>
    <definedName name="_abc201" hidden="1">{"detail",#N/A,FALSE,"mfg";"summary",#N/A,FALSE,"mfg"}</definedName>
    <definedName name="_abc202" hidden="1">{"detail",#N/A,FALSE,"mfg";"summary",#N/A,FALSE,"mfg"}</definedName>
    <definedName name="_abc2054" hidden="1">{"detail",#N/A,FALSE,"mfg";"summary",#N/A,FALSE,"mfg"}</definedName>
    <definedName name="_abc212" hidden="1">{"detail",#N/A,FALSE,"mfg";"summary",#N/A,FALSE,"mfg"}</definedName>
    <definedName name="_abc212450" hidden="1">{"detail",#N/A,FALSE,"mfg";"summary",#N/A,FALSE,"mfg"}</definedName>
    <definedName name="_abc23" hidden="1">{"detail",#N/A,FALSE,"mfg";"summary",#N/A,FALSE,"mfg"}</definedName>
    <definedName name="_abc24" hidden="1">{"detail",#N/A,FALSE,"mfg";"summary",#N/A,FALSE,"mfg"}</definedName>
    <definedName name="_abc25" hidden="1">{"detail",#N/A,FALSE,"mfg";"summary",#N/A,FALSE,"mfg"}</definedName>
    <definedName name="_abc26" hidden="1">{"detail",#N/A,FALSE,"mfg";"summary",#N/A,FALSE,"mfg"}</definedName>
    <definedName name="_abc289" hidden="1">{"detail",#N/A,FALSE,"mfg";"summary",#N/A,FALSE,"mfg"}</definedName>
    <definedName name="_abc3" hidden="1">{"detail",#N/A,FALSE,"mfg";"summary",#N/A,FALSE,"mfg"}</definedName>
    <definedName name="_abc31" hidden="1">{"detail",#N/A,FALSE,"mfg";"summary",#N/A,FALSE,"mfg"}</definedName>
    <definedName name="_abc312" hidden="1">{"detail",#N/A,FALSE,"mfg";"summary",#N/A,FALSE,"mfg"}</definedName>
    <definedName name="_abc315" hidden="1">{"detail",#N/A,FALSE,"mfg";"summary",#N/A,FALSE,"mfg"}</definedName>
    <definedName name="_abc316" hidden="1">{"detail",#N/A,FALSE,"mfg";"summary",#N/A,FALSE,"mfg"}</definedName>
    <definedName name="_abc32" hidden="1">{"detail",#N/A,FALSE,"mfg";"summary",#N/A,FALSE,"mfg"}</definedName>
    <definedName name="_abc3216" hidden="1">{"detail",#N/A,FALSE,"mfg";"summary",#N/A,FALSE,"mfg"}</definedName>
    <definedName name="_abc35" hidden="1">{"detail",#N/A,FALSE,"mfg";"summary",#N/A,FALSE,"mfg"}</definedName>
    <definedName name="_abc36" hidden="1">{"detail",#N/A,FALSE,"mfg";"summary",#N/A,FALSE,"mfg"}</definedName>
    <definedName name="_abc37" hidden="1">{"detail",#N/A,FALSE,"mfg";"summary",#N/A,FALSE,"mfg"}</definedName>
    <definedName name="_abc38" hidden="1">{"detail",#N/A,FALSE,"mfg";"summary",#N/A,FALSE,"mfg"}</definedName>
    <definedName name="_ABC41" hidden="1">{"detail",#N/A,FALSE,"mfg";"summary",#N/A,FALSE,"mfg"}</definedName>
    <definedName name="_abc42" hidden="1">{"detail",#N/A,FALSE,"mfg";"summary",#N/A,FALSE,"mfg"}</definedName>
    <definedName name="_abc51" hidden="1">{"detail",#N/A,FALSE,"mfg";"summary",#N/A,FALSE,"mfg"}</definedName>
    <definedName name="_abc61" hidden="1">{"detail",#N/A,FALSE,"mfg";"summary",#N/A,FALSE,"mfg"}</definedName>
    <definedName name="_abc71" hidden="1">{"detail",#N/A,FALSE,"mfg";"summary",#N/A,FALSE,"mfg"}</definedName>
    <definedName name="_abc7884" hidden="1">{"detail",#N/A,FALSE,"mfg";"summary",#N/A,FALSE,"mfg"}</definedName>
    <definedName name="_ACS2000" hidden="1">{#N/A,#N/A,FALSE,"REPORT"}</definedName>
    <definedName name="_ACTUAL" hidden="1">#REF!</definedName>
    <definedName name="_ad1" hidden="1">{#N/A,#N/A,FALSE,"TB";#N/A,#N/A,FALSE,"DR";#N/A,#N/A,FALSE,"AR";#N/A,#N/A,FALSE,"PL";#N/A,#N/A,FALSE,"BS";#N/A,#N/A,FALSE,"NOTES";#N/A,#N/A,FALSE,"NOTES (2)";#N/A,#N/A,FALSE,"NOTES (3)";#N/A,#N/A,FALSE,"DPL";#N/A,#N/A,FALSE,"TAXC.INDEX";#N/A,#N/A,FALSE,"Schedule I";#N/A,#N/A,FALSE,"Adjustments"}</definedName>
    <definedName name="_ae2" hidden="1">{"'Inventory &amp; Anal-Cur Wkbk'!$A$7:$AP$71"}</definedName>
    <definedName name="_AMO_ContentDefinition_247660852" hidden="1">"'Partitions:51'"</definedName>
    <definedName name="_AMO_ContentDefinition_247660852.0" hidden="1">"'&lt;ContentDefinition name=""SASApp:FECDL.DS_WB_REVENUE"" rsid=""247660852"" type=""PivotTable"" format=""ReportXml"" imgfmt=""ActiveX"" created=""08/24/2015 14:56:10"" modifed=""09/16/2015 15:25:13"" user=""Houghland"" apply=""False"" css=""C:\Program F'"</definedName>
    <definedName name="_AMO_ContentDefinition_247660852.1" hidden="1">"'iles\SASHome\x86\SASAddinforMicrosoftOffice\5.1\Styles\AMODefault.css"" range=""SASApp_FECDL_DS_WB_REVENUE_3"" auto=""False"" xTime=""00:00:00.0200000"" rTime=""00:00:09.5300000"" bgnew=""False"" nFmt=""False"" grphSet=""False"" imgY=""0"" imgX=""0""&gt;'"</definedName>
    <definedName name="_AMO_ContentDefinition_247660852.10" hidden="1">"'amp;gt;&amp;amp;lt;RightHandSideNumType&amp;amp;gt;SINGLE&amp;amp;lt;/RightHandSideNumType&amp;amp;gt;&amp;amp;lt;RightHandSideItems&amp;amp;gt;&amp;amp;lt;RHSItem&amp;amp;gt;&amp;amp;lt;RHSType&amp;amp;gt;EXPRESSION&amp;amp;lt;/RHSType&amp;amp;gt;&amp;amp;lt;AddQuotes&amp;amp;gt;True&amp;amp;lt;/AddQuotes&amp;amp'"</definedName>
    <definedName name="_AMO_ContentDefinition_247660852.11" hidden="1">"';gt;&amp;amp;lt;DateFormat&amp;amp;gt;None&amp;amp;lt;/DateFormat&amp;amp;gt;&amp;amp;lt;RightHandSideExpression&amp;amp;gt;Motor Carriers&amp;amp;lt;/RightHandSideExpression&amp;amp;gt;&amp;amp;lt;IsSubquery&amp;amp;gt;False&amp;amp;lt;/IsSubquery&amp;amp;gt;&amp;amp;lt;SubqueryTemplateName /&amp;amp;gt;&amp;'"</definedName>
    <definedName name="_AMO_ContentDefinition_247660852.12" hidden="1">"'amp;lt;/RHSItem&amp;amp;gt;&amp;amp;lt;/RightHandSideItems&amp;amp;gt;&amp;amp;lt;/RightHandSide&amp;amp;gt;&amp;amp;lt;/Node&amp;amp;gt;&amp;amp;lt;/SiblingLink&amp;amp;gt;&amp;amp;lt;Operator&amp;amp;gt;=&amp;amp;lt;/Operator&amp;amp;gt;&amp;amp;lt;UseMacroFunction&amp;amp;gt;False&amp;amp;lt;/UseMacroFunction&amp;a'"</definedName>
    <definedName name="_AMO_ContentDefinition_247660852.13" hidden="1">"'mp;gt;&amp;amp;lt;Not&amp;amp;gt;False&amp;amp;lt;/Not&amp;amp;gt;&amp;amp;lt;Label /&amp;amp;gt;&amp;amp;lt;RightHandSide&amp;amp;gt;&amp;amp;lt;RightHandSideNumType&amp;amp;gt;SINGLE&amp;amp;lt;/RightHandSideNumType&amp;amp;gt;&amp;amp;lt;RightHandSideItems&amp;amp;gt;&amp;amp;lt;RHSItem&amp;amp;gt;&amp;amp;lt;RHSTy'"</definedName>
    <definedName name="_AMO_ContentDefinition_247660852.14" hidden="1">"'pe&amp;amp;gt;EXPRESSION&amp;amp;lt;/RHSType&amp;amp;gt;&amp;amp;lt;AddQuotes&amp;amp;gt;True&amp;amp;lt;/AddQuotes&amp;amp;gt;&amp;amp;lt;DateFormat&amp;amp;gt;None&amp;amp;lt;/DateFormat&amp;amp;gt;&amp;amp;lt;RightHandSideExpression&amp;amp;gt;Intermodal&amp;amp;lt;/RightHandSideExpression&amp;amp;gt;&amp;amp;l'"</definedName>
    <definedName name="_AMO_ContentDefinition_247660852.15" hidden="1">"'t;IsSubquery&amp;amp;gt;False&amp;amp;lt;/IsSubquery&amp;amp;gt;&amp;amp;lt;SubqueryTemplateName /&amp;amp;gt;&amp;amp;lt;/RHSItem&amp;amp;gt;&amp;amp;lt;/RightHandSideItems&amp;amp;gt;&amp;amp;lt;/RightHandSide&amp;amp;gt;&amp;amp;lt;/Node&amp;amp;gt;&amp;amp;lt;/SiblingLink&amp;amp;gt;&amp;amp;lt;Operator&amp;amp;gt'"</definedName>
    <definedName name="_AMO_ContentDefinition_247660852.16" hidden="1">"';=&amp;amp;lt;/Operator&amp;amp;gt;&amp;amp;lt;UseMacroFunction&amp;amp;gt;False&amp;amp;lt;/UseMacroFunction&amp;amp;gt;&amp;amp;lt;Not&amp;amp;gt;False&amp;amp;lt;/Not&amp;amp;gt;&amp;amp;lt;Label /&amp;amp;gt;&amp;amp;lt;RightHandSide&amp;amp;gt;&amp;amp;lt;RightHandSideNumType&amp;amp;gt;SINGLE&amp;amp;lt;/RightHa'"</definedName>
    <definedName name="_AMO_ContentDefinition_247660852.17" hidden="1">"'n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Definition_247660852.18" hidden="1">"';lt;RightHandSideExpression&amp;amp;gt;2015&amp;amp;lt;/RightHandSideExpression&amp;amp;gt;&amp;amp;lt;IsSubquery&amp;amp;gt;False&amp;amp;lt;/IsSubquery&amp;amp;gt;&amp;amp;lt;SubqueryTemplateName /&amp;amp;gt;&amp;amp;lt;/RHSItem&amp;amp;gt;&amp;amp;lt;/RightHandSideItems&amp;amp;gt;&amp;amp;lt;/RightHan'"</definedName>
    <definedName name="_AMO_ContentDefinition_247660852.19" hidden="1">"'dSide&amp;amp;gt;&amp;amp;lt;/TreeRoot&amp;amp;gt;&amp;amp;lt;/FilterTree&amp;amp;gt;&amp;quot; ColSelFlg=&amp;quot;0&amp;quot; Name=&amp;quot;DS_WB_REVENUE&amp;quot;&amp;gt;&amp;#xD;&amp;#xA;&amp;lt;Cols&amp;gt;&amp;#xD;&amp;#xA;&amp;lt;cn&amp;gt;Year&amp;lt;/cn&amp;gt;&amp;#xD;&amp;#xA;&amp;lt;cn&amp;gt;Month&amp;lt;/cn&amp;gt;&amp;#xD;&amp;#xA;&amp;lt;cn&amp;gt;Transpor'"</definedName>
    <definedName name="_AMO_ContentDefinition_247660852.20" hidden="1">"'tMethod&amp;lt;/cn&amp;gt;&amp;#xD;&amp;#xA;&amp;lt;cn&amp;gt;BusinessSegment&amp;lt;/cn&amp;gt;&amp;#xD;&amp;#xA;&amp;lt;cn&amp;gt;CustName&amp;lt;/cn&amp;gt;&amp;#xD;&amp;#xA;&amp;lt;cn&amp;gt;Division&amp;lt;/cn&amp;gt;&amp;#xD;&amp;#xA;&amp;lt;cn&amp;gt;Units&amp;lt;/cn&amp;gt;&amp;#xD;&amp;#xA;&amp;lt;cn&amp;gt;LineHaul&amp;lt;/cn&amp;gt;&amp;#xD;&amp;#xA;&amp;lt;/Cols&amp;gt;&amp;#xD;&amp;#xA;&amp;'"</definedName>
    <definedName name="_AMO_ContentDefinition_247660852.21" hidden="1">"'lt;ColOrd&amp;gt;&amp;#xD;&amp;#xA;&amp;lt;cn&amp;gt;Year&amp;lt;/cn&amp;gt;&amp;#xD;&amp;#xA;&amp;lt;cn&amp;gt;Month&amp;lt;/cn&amp;gt;&amp;#xD;&amp;#xA;&amp;lt;cn&amp;gt;TransportMethod&amp;lt;/cn&amp;gt;&amp;#xD;&amp;#xA;&amp;lt;cn&amp;gt;BusinessSegment&amp;lt;/cn&amp;gt;&amp;#xD;&amp;#xA;&amp;lt;cn&amp;gt;CustName&amp;lt;/cn&amp;gt;&amp;#xD;&amp;#xA;&amp;lt;cn&amp;gt;Division&amp;lt;/cn&amp;'"</definedName>
    <definedName name="_AMO_ContentDefinition_247660852.22" hidden="1">"'gt;&amp;#xD;&amp;#xA;&amp;lt;cn&amp;gt;Units&amp;lt;/cn&amp;gt;&amp;#xD;&amp;#xA;&amp;lt;cn&amp;gt;LineHaul&amp;lt;/cn&amp;gt;&amp;#xD;&amp;#xA;&amp;lt;cn&amp;gt;Day&amp;lt;/cn&amp;gt;&amp;#xD;&amp;#xA;&amp;lt;cn&amp;gt;DOW&amp;lt;/cn&amp;gt;&amp;#xD;&amp;#xA;&amp;lt;cn&amp;gt;DOWName&amp;lt;/cn&amp;gt;&amp;#xD;&amp;#xA;&amp;lt;cn&amp;gt;DropTerminal&amp;lt;/cn&amp;gt;&amp;#xD;&amp;#xA;&amp;lt;cn&amp;gt;Haul'"</definedName>
    <definedName name="_AMO_ContentDefinition_247660852.23" hidden="1">"'age&amp;lt;/cn&amp;gt;&amp;#xD;&amp;#xA;&amp;lt;cn&amp;gt;EQInit&amp;lt;/cn&amp;gt;&amp;#xD;&amp;#xA;&amp;lt;cn&amp;gt;EQNbr&amp;lt;/cn&amp;gt;&amp;#xD;&amp;#xA;&amp;lt;cn&amp;gt;WBNbr&amp;lt;/cn&amp;gt;&amp;#xD;&amp;#xA;&amp;lt;cn&amp;gt;WBDate&amp;lt;/cn&amp;gt;&amp;#xD;&amp;#xA;&amp;lt;cn&amp;gt;BOLNbr&amp;lt;/cn&amp;gt;&amp;#xD;&amp;#xA;&amp;lt;cn&amp;gt;BOLDate&amp;lt;/cn&amp;gt;&amp;#xD;&amp;#xA;&amp;lt;cn'"</definedName>
    <definedName name="_AMO_ContentDefinition_247660852.24" hidden="1">"'&amp;gt;RevDate&amp;lt;/cn&amp;gt;&amp;#xD;&amp;#xA;&amp;lt;cn&amp;gt;AcctYrMo&amp;lt;/cn&amp;gt;&amp;#xD;&amp;#xA;&amp;lt;cn&amp;gt;ProNbr&amp;lt;/cn&amp;gt;&amp;#xD;&amp;#xA;&amp;lt;cn&amp;gt;Kind&amp;lt;/cn&amp;gt;&amp;#xD;&amp;#xA;&amp;lt;cn&amp;gt;EQLength&amp;lt;/cn&amp;gt;&amp;#xD;&amp;#xA;&amp;lt;cn&amp;gt;LESts&amp;lt;/cn&amp;gt;&amp;#xD;&amp;#xA;&amp;lt;cn&amp;gt;STCC&amp;lt;/cn&amp;gt;&amp;#xD;&amp;#x'"</definedName>
    <definedName name="_AMO_ContentDefinition_247660852.25" hidden="1">"'A;&amp;lt;cn&amp;gt;STCC2&amp;lt;/cn&amp;gt;&amp;#xD;&amp;#xA;&amp;lt;cn&amp;gt;PayMethod&amp;lt;/cn&amp;gt;&amp;#xD;&amp;#xA;&amp;lt;cn&amp;gt;Ownership&amp;lt;/cn&amp;gt;&amp;#xD;&amp;#xA;&amp;lt;cn&amp;gt;OwnerProgram&amp;lt;/cn&amp;gt;&amp;#xD;&amp;#xA;&amp;lt;cn&amp;gt;OrigState&amp;lt;/cn&amp;gt;&amp;#xD;&amp;#xA;&amp;lt;cn&amp;gt;DestState&amp;lt;/cn&amp;gt;&amp;#xD;&amp;#xA;&amp;lt;cn&amp;gt;'"</definedName>
    <definedName name="_AMO_ContentDefinition_247660852.26" hidden="1">"'CustID&amp;lt;/cn&amp;gt;&amp;#xD;&amp;#xA;&amp;lt;cn&amp;gt;CustAddr&amp;lt;/cn&amp;gt;&amp;#xD;&amp;#xA;&amp;lt;cn&amp;gt;rptCustName&amp;lt;/cn&amp;gt;&amp;#xD;&amp;#xA;&amp;lt;cn&amp;gt;ShipperName&amp;lt;/cn&amp;gt;&amp;#xD;&amp;#xA;&amp;lt;cn&amp;gt;ShipperID&amp;lt;/cn&amp;gt;&amp;#xD;&amp;#xA;&amp;lt;cn&amp;gt;ShipperAddr&amp;lt;/cn&amp;gt;&amp;#xD;&amp;#xA;&amp;lt;cn&amp;gt;ShipperCi'"</definedName>
    <definedName name="_AMO_ContentDefinition_247660852.27" hidden="1">"'ty&amp;lt;/cn&amp;gt;&amp;#xD;&amp;#xA;&amp;lt;cn&amp;gt;ShipperState&amp;lt;/cn&amp;gt;&amp;#xD;&amp;#xA;&amp;lt;cn&amp;gt;ShipperZipcode&amp;lt;/cn&amp;gt;&amp;#xD;&amp;#xA;&amp;lt;cn&amp;gt;ConsigneeName&amp;lt;/cn&amp;gt;&amp;#xD;&amp;#xA;&amp;lt;cn&amp;gt;ConsigneeID&amp;lt;/cn&amp;gt;&amp;#xD;&amp;#xA;&amp;lt;cn&amp;gt;ConsigneeAddr&amp;lt;/cn&amp;gt;&amp;#xD;&amp;#xA;&amp;lt;cn&amp;gt;'"</definedName>
    <definedName name="_AMO_ContentDefinition_247660852.28" hidden="1">"'ConsigneeCity&amp;lt;/cn&amp;gt;&amp;#xD;&amp;#xA;&amp;lt;cn&amp;gt;ConsigneeState&amp;lt;/cn&amp;gt;&amp;#xD;&amp;#xA;&amp;lt;cn&amp;gt;ConsigneeZipcode&amp;lt;/cn&amp;gt;&amp;#xD;&amp;#xA;&amp;lt;cn&amp;gt;UltimateShipper&amp;lt;/cn&amp;gt;&amp;#xD;&amp;#xA;&amp;lt;cn&amp;gt;UltimateShipperID&amp;lt;/cn&amp;gt;&amp;#xD;&amp;#xA;&amp;lt;cn&amp;gt;UltimateShipperAddr&amp;l'"</definedName>
    <definedName name="_AMO_ContentDefinition_247660852.29" hidden="1">"'t;/cn&amp;gt;&amp;#xD;&amp;#xA;&amp;lt;cn&amp;gt;UltimateShipperCity&amp;lt;/cn&amp;gt;&amp;#xD;&amp;#xA;&amp;lt;cn&amp;gt;UltimateShipperState&amp;lt;/cn&amp;gt;&amp;#xD;&amp;#xA;&amp;lt;cn&amp;gt;UltimateShipperZipcode&amp;lt;/cn&amp;gt;&amp;#xD;&amp;#xA;&amp;lt;cn&amp;gt;UltimateConsignee&amp;lt;/cn&amp;gt;&amp;#xD;&amp;#xA;&amp;lt;cn&amp;gt;UltimateConsigneeID&amp;'"</definedName>
    <definedName name="_AMO_ContentDefinition_247660852.3" hidden="1">"'
  &lt;param n=""DataSource"" v=""&amp;lt;SasDataSource Version=&amp;quot;4.2&amp;quot; Type=&amp;quot;SAS.Servers.Dataset&amp;quot; Svr=&amp;quot;SASApp&amp;quot; Lib=&amp;quot;FECDL&amp;quot; Filter=&amp;quot;Year = '2015' AND TransportMethod = 'Intermodal' AND BusinessSegment = 'Motor Carri'"</definedName>
    <definedName name="_AMO_ContentDefinition_247660852.30" hidden="1">"'lt;/cn&amp;gt;&amp;#xD;&amp;#xA;&amp;lt;cn&amp;gt;UltimateConsigneeAddr&amp;lt;/cn&amp;gt;&amp;#xD;&amp;#xA;&amp;lt;cn&amp;gt;UltimateConsigneeCity&amp;lt;/cn&amp;gt;&amp;#xD;&amp;#xA;&amp;lt;cn&amp;gt;UltimateConsigneeState&amp;lt;/cn&amp;gt;&amp;#xD;&amp;#xA;&amp;lt;cn&amp;gt;UltimateConsigneeZipcode&amp;lt;/cn&amp;gt;&amp;#xD;&amp;#xA;&amp;lt;cn&amp;gt;Beneficia'"</definedName>
    <definedName name="_AMO_ContentDefinition_247660852.31" hidden="1">"'lOwner&amp;lt;/cn&amp;gt;&amp;#xD;&amp;#xA;&amp;lt;cn&amp;gt;BeneficialOwnerID&amp;lt;/cn&amp;gt;&amp;#xD;&amp;#xA;&amp;lt;cn&amp;gt;BeneficialOwnerAddr&amp;lt;/cn&amp;gt;&amp;#xD;&amp;#xA;&amp;lt;cn&amp;gt;BeneficialOwnerCity&amp;lt;/cn&amp;gt;&amp;#xD;&amp;#xA;&amp;lt;cn&amp;gt;BeneficialOwnerState&amp;lt;/cn&amp;gt;&amp;#xD;&amp;#xA;&amp;lt;cn&amp;gt;BeneficialOwner'"</definedName>
    <definedName name="_AMO_ContentDefinition_247660852.32" hidden="1">"'Zipcode&amp;lt;/cn&amp;gt;&amp;#xD;&amp;#xA;&amp;lt;cn&amp;gt;NotifyParty&amp;lt;/cn&amp;gt;&amp;#xD;&amp;#xA;&amp;lt;cn&amp;gt;NotifyPartyCity&amp;lt;/cn&amp;gt;&amp;#xD;&amp;#xA;&amp;lt;cn&amp;gt;NotifyPartyState&amp;lt;/cn&amp;gt;&amp;#xD;&amp;#xA;&amp;lt;cn&amp;gt;NotifyPartyID&amp;lt;/cn&amp;gt;&amp;#xD;&amp;#xA;&amp;lt;cn&amp;gt;NotifyPartyAddr&amp;lt;/cn&amp;gt;&amp;#xD;&amp;#x'"</definedName>
    <definedName name="_AMO_ContentDefinition_247660852.33" hidden="1">"'A;&amp;lt;cn&amp;gt;NotifyPartyZipcode&amp;lt;/cn&amp;gt;&amp;#xD;&amp;#xA;&amp;lt;cn&amp;gt;Rate1SCAC&amp;lt;/cn&amp;gt;&amp;#xD;&amp;#xA;&amp;lt;cn&amp;gt;Rate1AuthNbr&amp;lt;/cn&amp;gt;&amp;#xD;&amp;#xA;&amp;lt;cn&amp;gt;Rate2SCAC&amp;lt;/cn&amp;gt;&amp;#xD;&amp;#xA;&amp;lt;cn&amp;gt;Rate2AuthNbr&amp;lt;/cn&amp;gt;&amp;#xD;&amp;#xA;&amp;lt;cn&amp;gt;Rate3SCAC&amp;lt;/cn&amp;gt;&amp;#xD'"</definedName>
    <definedName name="_AMO_ContentDefinition_247660852.34" hidden="1">"';&amp;#xA;&amp;lt;cn&amp;gt;Rate3AuthNbr&amp;lt;/cn&amp;gt;&amp;#xD;&amp;#xA;&amp;lt;cn&amp;gt;OurProp&amp;lt;/cn&amp;gt;&amp;#xD;&amp;#xA;&amp;lt;cn&amp;gt;Estimated&amp;lt;/cn&amp;gt;&amp;#xD;&amp;#xA;&amp;lt;cn&amp;gt;EstimateOnly&amp;lt;/cn&amp;gt;&amp;#xD;&amp;#xA;&amp;lt;cn&amp;gt;Revenue&amp;lt;/cn&amp;gt;&amp;#xD;&amp;#xA;&amp;lt;cn&amp;gt;RevenueNoFuel&amp;lt;/cn&amp;gt;&amp;#xD;&amp;#xA'"</definedName>
    <definedName name="_AMO_ContentDefinition_247660852.35" hidden="1">"';&amp;lt;cn&amp;gt;Fuel&amp;lt;/cn&amp;gt;&amp;#xD;&amp;#xA;&amp;lt;cn&amp;gt;FuelAccrual&amp;lt;/cn&amp;gt;&amp;#xD;&amp;#xA;&amp;lt;cn&amp;gt;FuelEstimate&amp;lt;/cn&amp;gt;&amp;#xD;&amp;#xA;&amp;lt;cn&amp;gt;IProd&amp;lt;/cn&amp;gt;&amp;#xD;&amp;#xA;&amp;lt;cn&amp;gt;AtlantaServType&amp;lt;/cn&amp;gt;&amp;#xD;&amp;#xA;&amp;lt;cn&amp;gt;IPType&amp;lt;/cn&amp;gt;&amp;#xD;&amp;#xA;&amp;lt;cn&amp;gt;I'"</definedName>
    <definedName name="_AMO_ContentDefinition_247660852.36" hidden="1">"'PTypeDesc&amp;lt;/cn&amp;gt;&amp;#xD;&amp;#xA;&amp;lt;cn&amp;gt;DataSource&amp;lt;/cn&amp;gt;&amp;#xD;&amp;#xA;&amp;lt;cn&amp;gt;InvoiceNbr&amp;lt;/cn&amp;gt;&amp;#xD;&amp;#xA;&amp;lt;cn&amp;gt;InvoiceVer&amp;lt;/cn&amp;gt;&amp;#xD;&amp;#xA;&amp;lt;cn&amp;gt;InvoiceBillDate&amp;lt;/cn&amp;gt;&amp;#xD;&amp;#xA;&amp;lt;cn&amp;gt;InvoiceCustName&amp;lt;/cn&amp;gt;&amp;#xD;&amp;#xA;&amp;lt;cn'"</definedName>
    <definedName name="_AMO_ContentDefinition_247660852.37" hidden="1">"'&amp;gt;InvoiceCustID&amp;lt;/cn&amp;gt;&amp;#xD;&amp;#xA;&amp;lt;cn&amp;gt;InvoiceCustAddr&amp;lt;/cn&amp;gt;&amp;#xD;&amp;#xA;&amp;lt;cn&amp;gt;ProMiles&amp;lt;/cn&amp;gt;&amp;#xD;&amp;#xA;&amp;lt;cn&amp;gt;Direction&amp;lt;/cn&amp;gt;&amp;#xD;&amp;#xA;&amp;lt;cn&amp;gt;ICHRRoad&amp;lt;/cn&amp;gt;&amp;#xD;&amp;#xA;&amp;lt;cn&amp;gt;LineHaulACC&amp;lt;/cn&amp;gt;&amp;#xD;&amp;#xA;&amp;lt;cn&amp;'"</definedName>
    <definedName name="_AMO_ContentDefinition_247660852.38" hidden="1">"'gt;Accessorial&amp;lt;/cn&amp;gt;&amp;#xD;&amp;#xA;&amp;lt;cn&amp;gt;HaulRoad&amp;lt;/cn&amp;gt;&amp;#xD;&amp;#xA;&amp;lt;cn&amp;gt;AARCarType&amp;lt;/cn&amp;gt;&amp;#xD;&amp;#xA;&amp;lt;cn&amp;gt;BlockToCustID&amp;lt;/cn&amp;gt;&amp;#xD;&amp;#xA;&amp;lt;cn&amp;gt;BlockToCustAddr&amp;lt;/cn&amp;gt;&amp;#xD;&amp;#xA;&amp;lt;cn&amp;gt;Commodity&amp;lt;/cn&amp;gt;&amp;#xD;&amp;#xA;&amp;lt;cn'"</definedName>
    <definedName name="_AMO_ContentDefinition_247660852.39" hidden="1">"'&amp;gt;TrainID&amp;lt;/cn&amp;gt;&amp;#xD;&amp;#xA;&amp;lt;cn&amp;gt;InCareofPartyID&amp;lt;/cn&amp;gt;&amp;#xD;&amp;#xA;&amp;lt;cn&amp;gt;InCareofPartyAddr&amp;lt;/cn&amp;gt;&amp;#xD;&amp;#xA;&amp;lt;cn&amp;gt;InCareofParty&amp;lt;/cn&amp;gt;&amp;#xD;&amp;#xA;&amp;lt;cn&amp;gt;InCareofPartyCity&amp;lt;/cn&amp;gt;&amp;#xD;&amp;#xA;&amp;lt;cn&amp;gt;InCareofPartyState&amp;lt;/'"</definedName>
    <definedName name="_AMO_ContentDefinition_247660852.4" hidden="1">"'ers'&amp;quot; FilterDS=&amp;quot;&amp;amp;lt;?xml version=&amp;amp;quot;1.0&amp;amp;quot; encoding=&amp;amp;quot;utf-16&amp;amp;quot;?&amp;amp;gt;&amp;amp;lt;FilterTree&amp;amp;gt;&amp;amp;lt;TreeRoot&amp;amp;gt;&amp;amp;lt;ID&amp;amp;gt;2194bfad-931f-4366-83c4-0dff9e587708&amp;amp;lt;/ID&amp;amp;gt;&amp;amp;lt;Filte'"</definedName>
    <definedName name="_AMO_ContentDefinition_247660852.40" hidden="1">"'cn&amp;gt;&amp;#xD;&amp;#xA;&amp;lt;cn&amp;gt;InCareofPartyZipcode&amp;lt;/cn&amp;gt;&amp;#xD;&amp;#xA;&amp;lt;cn&amp;gt;GrossWeight&amp;lt;/cn&amp;gt;&amp;#xD;&amp;#xA;&amp;lt;cn&amp;gt;initiative_name&amp;lt;/cn&amp;gt;&amp;#xD;&amp;#xA;&amp;lt;cn&amp;gt;BudgetUnits&amp;lt;/cn&amp;gt;&amp;#xD;&amp;#xA;&amp;lt;cn&amp;gt;BudgetRevenue&amp;lt;/cn&amp;gt;&amp;#xD;&amp;#xA;&amp;lt;cn&amp;gt;'"</definedName>
    <definedName name="_AMO_ContentDefinition_247660852.41" hidden="1">"'OrigCustID&amp;lt;/cn&amp;gt;&amp;#xD;&amp;#xA;&amp;lt;cn&amp;gt;OrigCustAddr&amp;lt;/cn&amp;gt;&amp;#xD;&amp;#xA;&amp;lt;cn&amp;gt;PortMiami&amp;lt;/cn&amp;gt;&amp;#xD;&amp;#xA;&amp;lt;cn&amp;gt;TrafficCustName&amp;lt;/cn&amp;gt;&amp;#xD;&amp;#xA;&amp;lt;cn&amp;gt;RevWeek&amp;lt;/cn&amp;gt;&amp;#xD;&amp;#xA;&amp;lt;cn&amp;gt;BudgetRec&amp;lt;/cn&amp;gt;&amp;#xD;&amp;#xA;&amp;lt;cn&amp;gt;eql'"</definedName>
    <definedName name="_AMO_ContentDefinition_247660852.42" hidden="1">"'ength_adjusted&amp;lt;/cn&amp;gt;&amp;#xD;&amp;#xA;&amp;lt;cn&amp;gt;DivisionName&amp;lt;/cn&amp;gt;&amp;#xD;&amp;#xA;&amp;lt;cn&amp;gt;Salesperson&amp;lt;/cn&amp;gt;&amp;#xD;&amp;#xA;&amp;lt;cn&amp;gt;SalesVP&amp;lt;/cn&amp;gt;&amp;#xD;&amp;#xA;&amp;lt;cn&amp;gt;CSXFacilitator&amp;lt;/cn&amp;gt;&amp;#xD;&amp;#xA;&amp;lt;cn&amp;gt;OrigShippername&amp;lt;/cn&amp;gt;&amp;#xD;&amp;#xA;&amp;l'"</definedName>
    <definedName name="_AMO_ContentDefinition_247660852.43" hidden="1">"'t;cn&amp;gt;OrigShipperID&amp;lt;/cn&amp;gt;&amp;#xD;&amp;#xA;&amp;lt;cn&amp;gt;OrigShipperAddr&amp;lt;/cn&amp;gt;&amp;#xD;&amp;#xA;&amp;lt;cn&amp;gt;OrigUltimateShipper&amp;lt;/cn&amp;gt;&amp;#xD;&amp;#xA;&amp;lt;cn&amp;gt;OrigUltimateShipperID&amp;lt;/cn&amp;gt;&amp;#xD;&amp;#xA;&amp;lt;cn&amp;gt;OrigUltimateShipperAddr&amp;lt;/cn&amp;gt;&amp;#xD;&amp;#xA;&amp;lt;cn&amp;'"</definedName>
    <definedName name="_AMO_ContentDefinition_247660852.44" hidden="1">"'gt;OrigConsigneename&amp;lt;/cn&amp;gt;&amp;#xD;&amp;#xA;&amp;lt;cn&amp;gt;OrigConsigneeID&amp;lt;/cn&amp;gt;&amp;#xD;&amp;#xA;&amp;lt;cn&amp;gt;OrigConsigneeAddr&amp;lt;/cn&amp;gt;&amp;#xD;&amp;#xA;&amp;lt;cn&amp;gt;OrigUltimateConsignee&amp;lt;/cn&amp;gt;&amp;#xD;&amp;#xA;&amp;lt;cn&amp;gt;OrigUltimateConsigneeID&amp;lt;/cn&amp;gt;&amp;#xD;&amp;#xA;&amp;lt;cn&amp;gt;'"</definedName>
    <definedName name="_AMO_ContentDefinition_247660852.45" hidden="1">"'OrigUltimateConsigneeAddr&amp;lt;/cn&amp;gt;&amp;#xD;&amp;#xA;&amp;lt;cn&amp;gt;E1CustID&amp;lt;/cn&amp;gt;&amp;#xD;&amp;#xA;&amp;lt;cn&amp;gt;DestCity&amp;lt;/cn&amp;gt;&amp;#xD;&amp;#xA;&amp;lt;cn&amp;gt;OrigCity&amp;lt;/cn&amp;gt;&amp;#xD;&amp;#xA;&amp;lt;cn&amp;gt;TrafficCategory&amp;lt;/cn&amp;gt;&amp;#xD;&amp;#xA;&amp;lt;cn&amp;gt;Old_ShipperName&amp;lt;/cn&amp;gt;&amp;#xD;&amp;'"</definedName>
    <definedName name="_AMO_ContentDefinition_247660852.46" hidden="1">"'#xA;&amp;lt;cn&amp;gt;Old_ShipperID&amp;lt;/cn&amp;gt;&amp;#xD;&amp;#xA;&amp;lt;cn&amp;gt;Old_ShipperAddr&amp;lt;/cn&amp;gt;&amp;#xD;&amp;#xA;&amp;lt;cn&amp;gt;Old_Consigneename&amp;lt;/cn&amp;gt;&amp;#xD;&amp;#xA;&amp;lt;cn&amp;gt;Old_ConsigneeID&amp;lt;/cn&amp;gt;&amp;#xD;&amp;#xA;&amp;lt;cn&amp;gt;Old_ConsigneeAddr&amp;lt;/cn&amp;gt;&amp;#xD;&amp;#xA;&amp;lt;cn&amp;gt;New_S'"</definedName>
    <definedName name="_AMO_ContentDefinition_247660852.47" hidden="1">"'hipperName&amp;lt;/cn&amp;gt;&amp;#xD;&amp;#xA;&amp;lt;cn&amp;gt;New_ShipperID&amp;lt;/cn&amp;gt;&amp;#xD;&amp;#xA;&amp;lt;cn&amp;gt;New_ShipperAddr&amp;lt;/cn&amp;gt;&amp;#xD;&amp;#xA;&amp;lt;cn&amp;gt;New_Consigneename&amp;lt;/cn&amp;gt;&amp;#xD;&amp;#xA;&amp;lt;cn&amp;gt;New_ConsigneeID&amp;lt;/cn&amp;gt;&amp;#xD;&amp;#xA;&amp;lt;cn&amp;gt;New_ConsigneeAddr&amp;lt;/cn&amp;g'"</definedName>
    <definedName name="_AMO_ContentDefinition_247660852.5" hidden="1">"'rType&amp;amp;gt;COLUMN&amp;amp;lt;/FilterType&amp;amp;gt;&amp;amp;lt;TableID /&amp;amp;gt;&amp;amp;lt;ColumnName&amp;amp;gt;Year&amp;amp;lt;/ColumnName&amp;amp;gt;&amp;amp;lt;ColumnType&amp;amp;gt;Character&amp;amp;lt;/ColumnType&amp;amp;gt;&amp;amp;lt;GroupLevel /&amp;amp;gt;&amp;amp;lt;SiblingLink&amp;amp;gt;&amp;amp;l'"</definedName>
    <definedName name="_AMO_ContentDefinition_247660852.50" hidden="1">"'sertEntire"" ColOpt=""InsertCells"" /&gt;_x005F_x000D_
&lt;/ContentDefinition&gt;'"</definedName>
    <definedName name="_AMO_ContentDefinition_247660852.6" hidden="1">"'t;LinkType&amp;amp;gt;AND&amp;amp;lt;/LinkType&amp;amp;gt;&amp;amp;lt;Node&amp;amp;gt;&amp;amp;lt;ID&amp;amp;gt;3c3c60b5-ce3c-4a6c-b0f5-eb8d5a33fe77&amp;amp;lt;/ID&amp;amp;gt;&amp;amp;lt;FilterType&amp;amp;gt;COLUMN&amp;amp;lt;/FilterType&amp;amp;gt;&amp;amp;lt;TableID /&amp;amp;gt;&amp;amp;lt;ColumnName&amp;amp;gt;Tr'"</definedName>
    <definedName name="_AMO_ContentDefinition_247660852.7" hidden="1">"'ansportMethod&amp;amp;lt;/ColumnName&amp;amp;gt;&amp;amp;lt;ColumnType&amp;amp;gt;Character&amp;amp;lt;/ColumnType&amp;amp;gt;&amp;amp;lt;GroupLevel /&amp;amp;gt;&amp;amp;lt;SiblingLink&amp;amp;gt;&amp;amp;lt;LinkType&amp;amp;gt;AND&amp;amp;lt;/LinkType&amp;amp;gt;&amp;amp;lt;Node&amp;amp;gt;&amp;amp;lt;ID&amp;amp;gt;e422'"</definedName>
    <definedName name="_AMO_ContentDefinition_247660852.8" hidden="1">"'ad42-6ae1-4401-9092-e4e90cdbc6e4&amp;amp;lt;/ID&amp;amp;gt;&amp;amp;lt;FilterType&amp;amp;gt;COLUMN&amp;amp;lt;/FilterType&amp;amp;gt;&amp;amp;lt;TableID /&amp;amp;gt;&amp;amp;lt;ColumnName&amp;amp;gt;BusinessSegment&amp;amp;lt;/ColumnName&amp;amp;gt;&amp;amp;lt;ColumnType&amp;amp;gt;Character&amp;amp;lt;/Colu'"</definedName>
    <definedName name="_AMO_ContentDefinition_247660852.9" hidden="1">"'mnType&amp;amp;gt;&amp;amp;lt;GroupLevel /&amp;amp;gt;&amp;amp;lt;Operator&amp;amp;gt;=&amp;amp;lt;/Operator&amp;amp;gt;&amp;amp;lt;UseMacroFunction&amp;amp;gt;False&amp;amp;lt;/UseMacroFunction&amp;amp;gt;&amp;amp;lt;Not&amp;amp;gt;False&amp;amp;lt;/Not&amp;amp;gt;&amp;amp;lt;Label /&amp;amp;gt;&amp;amp;lt;RightHandSide&amp;'"</definedName>
    <definedName name="_AMO_ContentDefinition_682937942" hidden="1">"'Partitions:13'"</definedName>
    <definedName name="_AMO_ContentDefinition_682937942.0" hidden="1">"'&lt;ContentDefinition name=""SASApp:FECDL.DS_WB_REVENUE"" rsid=""682937942"" type=""PivotTable"" format=""ReportXml"" imgfmt=""ActiveX"" created=""08/24/2015 14:38:26"" modifed=""09/16/2015 15:21:24"" user=""Houghland"" apply=""False"" css=""C:\Program F'"</definedName>
    <definedName name="_AMO_ContentDefinition_682937942.1" hidden="1">"'iles\SASHome\x86\SASAddinforMicrosoftOffice\5.1\Styles\AMODefault.css"" range=""SASApp_FECDL_DS_WB_REVENUE_2"" auto=""False"" xTime=""00:00:00"" rTime=""00:00:57.0700000"" bgnew=""False"" nFmt=""False"" grphSet=""False"" imgY=""0"" imgX=""0""&gt;_x005F_x000D_
  &lt;fil'"</definedName>
    <definedName name="_AMO_ContentDefinition_682937942.10" hidden="1">"'Category&amp;lt;/cn&amp;gt;&amp;#xD;&amp;#xA;&amp;lt;cn&amp;gt;Division&amp;lt;/cn&amp;gt;&amp;#xD;&amp;#xA;&amp;lt;cn&amp;gt;OrigCity&amp;lt;/cn&amp;gt;&amp;#xD;&amp;#xA;&amp;lt;cn&amp;gt;DestCity&amp;lt;/cn&amp;gt;&amp;#xD;&amp;#xA;&amp;lt;cn&amp;gt;Units&amp;lt;/cn&amp;gt;&amp;#xD;&amp;#xA;&amp;lt;cn&amp;gt;LineHaul&amp;lt;/cn&amp;gt;&amp;#xD;&amp;#xA;&amp;lt;/Cols&amp;gt;&amp;#xD;&amp;#xA;&amp;lt;/Sa'"</definedName>
    <definedName name="_AMO_ContentDefinition_682937942.12" hidden="1">"'aram n=""NamedRange"" v=""_AMO_SingleObject_682937942_PivotTable_682937942"" /&gt;_x005F_x000D_
  &lt;ExcelXMLOptions AdjColWidths=""True"" RowOpt=""InsertEntire"" ColOpt=""InsertCells"" /&gt;_x005F_x000D_
&lt;/ContentDefinition&gt;'"</definedName>
    <definedName name="_AMO_ContentDefinition_682937942.3" hidden="1">"'am n=""DataSource"" v=""&amp;lt;SasDataSource Version=&amp;quot;4.2&amp;quot; Type=&amp;quot;SAS.Servers.Dataset&amp;quot; Svr=&amp;quot;SASApp&amp;quot; Lib=&amp;quot;FECDL&amp;quot; Filter=&amp;quot;Year = '2015'&amp;quot; FilterDS=&amp;quot;&amp;amp;lt;?xml version=&amp;amp;quot;1.0&amp;amp;quot; encoding=&amp;'"</definedName>
    <definedName name="_AMO_ContentDefinition_682937942.4" hidden="1">"'amp;quot;utf-16&amp;amp;quot;?&amp;amp;gt;&amp;amp;lt;FilterTree&amp;amp;gt;&amp;amp;lt;TreeRoot&amp;amp;gt;&amp;amp;lt;ID&amp;amp;gt;a3eea8cd-91df-4e41-8ff3-670fc1487cdf&amp;amp;lt;/ID&amp;amp;gt;&amp;amp;lt;FilterType&amp;amp;gt;COLUMN&amp;amp;lt;/FilterType&amp;amp;gt;&amp;amp;lt;TableID /&amp;amp;gt;&amp;amp;lt;Co'"</definedName>
    <definedName name="_AMO_ContentDefinition_682937942.5" hidden="1">"'lumnName&amp;amp;gt;Year&amp;amp;lt;/ColumnName&amp;amp;gt;&amp;amp;lt;ColumnType&amp;amp;gt;Character&amp;amp;lt;/ColumnType&amp;amp;gt;&amp;amp;lt;GroupLevel /&amp;amp;gt;&amp;amp;lt;Operator&amp;amp;gt;=&amp;amp;lt;/Operator&amp;amp;gt;&amp;amp;lt;UseMacroFunction&amp;amp;gt;False&amp;amp;lt;/UseMacroFunction&amp;a'"</definedName>
    <definedName name="_AMO_ContentDefinition_682937942.6" hidden="1">"'mp;gt;&amp;amp;lt;Not&amp;amp;gt;False&amp;amp;lt;/Not&amp;amp;gt;&amp;amp;lt;Label /&amp;amp;gt;&amp;amp;lt;RightHandSide&amp;amp;gt;&amp;amp;lt;RightHandSideNumType&amp;amp;gt;SINGLE&amp;amp;lt;/RightHandSideNumType&amp;amp;gt;&amp;amp;lt;RightHandSideItems&amp;amp;gt;&amp;amp;lt;RHSItem&amp;amp;gt;&amp;amp;lt;RHSTy'"</definedName>
    <definedName name="_AMO_ContentDefinition_682937942.7" hidden="1">"'pe&amp;amp;gt;EXPRESSION&amp;amp;lt;/RHSType&amp;amp;gt;&amp;amp;lt;AddQuotes&amp;amp;gt;True&amp;amp;lt;/AddQuotes&amp;amp;gt;&amp;amp;lt;DateFormat&amp;amp;gt;None&amp;amp;lt;/DateFormat&amp;amp;gt;&amp;amp;lt;RightHandSideExpression&amp;amp;gt;2015&amp;amp;lt;/RightHandSideExpression&amp;amp;gt;&amp;amp;lt;IsSu'"</definedName>
    <definedName name="_AMO_ContentDefinition_682937942.8" hidden="1">"'bquery&amp;amp;gt;False&amp;amp;lt;/IsSubquery&amp;amp;gt;&amp;amp;lt;SubqueryTemplateName /&amp;amp;gt;&amp;amp;lt;/RHSItem&amp;amp;gt;&amp;amp;lt;/RightHandSideItems&amp;amp;gt;&amp;amp;lt;/RightHandSide&amp;amp;gt;&amp;amp;lt;/TreeRoot&amp;amp;gt;&amp;amp;lt;/FilterTree&amp;amp;gt;&amp;quot; ColSelFlg=&amp;quot;0&amp;q'"</definedName>
    <definedName name="_AMO_ContentDefinition_682937942.9" hidden="1">"'uot; Name=&amp;quot;DS_WB_REVENUE&amp;quot;&amp;gt;&amp;#xD;&amp;#xA;&amp;lt;Cols&amp;gt;&amp;#xD;&amp;#xA;&amp;lt;cn&amp;gt;Year&amp;lt;/cn&amp;gt;&amp;#xD;&amp;#xA;&amp;lt;cn&amp;gt;Month&amp;lt;/cn&amp;gt;&amp;#xD;&amp;#xA;&amp;lt;cn&amp;gt;TransportMethod&amp;lt;/cn&amp;gt;&amp;#xD;&amp;#xA;&amp;lt;cn&amp;gt;BusinessSegment&amp;lt;/cn&amp;gt;&amp;#xD;&amp;#xA;&amp;lt;cn&amp;gt;Traffic'"</definedName>
    <definedName name="_AMO_ContentDefinition_972960867" hidden="1">"'Partitions:49'"</definedName>
    <definedName name="_AMO_ContentDefinition_972960867.0" hidden="1">"'&lt;ContentDefinition name=""SASApp:FECDL.DS_WB_REVENUE"" rsid=""972960867"" type=""PivotTable"" format=""ReportXml"" imgfmt=""ActiveX"" created=""08/24/2015 14:32:20"" modifed=""08/24/2015 14:43:02"" user=""Houghland"" apply=""False"" css=""C:\Program F'"</definedName>
    <definedName name="_AMO_ContentDefinition_972960867.1" hidden="1">"'iles\SASHome\x86\SASAddinforMicrosoftOffice\5.1\Styles\AMODefault.css"" range=""SASApp_FECDL_DS_WB_REVENUE"" auto=""False"" xTime=""00:00:00"" rTime=""00:00:12.7005080"" bgnew=""False"" nFmt=""False"" grphSet=""False"" imgY=""0"" imgX=""0""&gt;_x005F_x000D_
  &lt;files'"</definedName>
    <definedName name="_AMO_ContentDefinition_972960867.10" hidden="1">"';lt;/ColumnName&amp;amp;gt;&amp;amp;lt;ColumnType&amp;amp;gt;Character&amp;amp;lt;/ColumnType&amp;amp;gt;&amp;amp;lt;GroupLevel /&amp;amp;gt;&amp;amp;lt;Operator&amp;amp;gt;=&amp;amp;lt;/Operator&amp;amp;gt;&amp;amp;lt;UseMacroFunction&amp;amp;gt;False&amp;amp;lt;/UseMacroFunction&amp;amp;gt;&amp;amp;lt;Not&amp;amp;gt'"</definedName>
    <definedName name="_AMO_ContentDefinition_972960867.11" hidden="1">"';False&amp;amp;lt;/Not&amp;amp;gt;&amp;amp;lt;Label /&amp;amp;gt;&amp;amp;lt;RightHandSide&amp;amp;gt;&amp;amp;lt;RightHandSideNumType&amp;amp;gt;SINGLE&amp;amp;lt;/RightHandSideNumType&amp;amp;gt;&amp;amp;lt;RightHandSideItems&amp;amp;gt;&amp;amp;lt;RHSItem&amp;amp;gt;&amp;amp;lt;RHSType&amp;amp;gt;EXPRESSION&amp;amp'"</definedName>
    <definedName name="_AMO_ContentDefinition_972960867.12" hidden="1">"';lt;/RHSType&amp;amp;gt;&amp;amp;lt;AddQuotes&amp;amp;gt;True&amp;amp;lt;/AddQuotes&amp;amp;gt;&amp;amp;lt;DateFormat&amp;amp;gt;None&amp;amp;lt;/DateFormat&amp;amp;gt;&amp;amp;lt;RightHandSideExpression&amp;amp;gt;International Shippers&amp;amp;lt;/RightHandSideExpression&amp;amp;gt;&amp;amp;lt;IsSubquery'"</definedName>
    <definedName name="_AMO_ContentDefinition_972960867.13" hidden="1">"'&amp;amp;gt;False&amp;amp;lt;/IsSubquery&amp;amp;gt;&amp;amp;lt;SubqueryTemplateName /&amp;amp;gt;&amp;amp;lt;/RHSItem&amp;amp;gt;&amp;amp;lt;/RightHandSideItems&amp;amp;gt;&amp;amp;lt;/RightHandSide&amp;amp;gt;&amp;amp;lt;/Node&amp;amp;gt;&amp;amp;lt;/SiblingLink&amp;amp;gt;&amp;amp;lt;Operator&amp;amp;gt;=&amp;amp;lt;/O'"</definedName>
    <definedName name="_AMO_ContentDefinition_972960867.14" hidden="1">"'perator&amp;amp;gt;&amp;amp;lt;UseMacroFunction&amp;amp;gt;False&amp;amp;lt;/UseMacroFunction&amp;amp;gt;&amp;amp;lt;Not&amp;amp;gt;False&amp;amp;lt;/Not&amp;amp;gt;&amp;amp;lt;Label /&amp;amp;gt;&amp;amp;lt;RightHandSide&amp;amp;gt;&amp;amp;lt;RightHandSideNumType&amp;amp;gt;SINGLE&amp;amp;lt;/RightHandSideNumTyp'"</definedName>
    <definedName name="_AMO_ContentDefinition_972960867.15" hidden="1">"'e&amp;amp;gt;&amp;amp;lt;RightHandSideItems&amp;amp;gt;&amp;amp;lt;RHSItem&amp;amp;gt;&amp;amp;lt;RHSType&amp;amp;gt;EXPRESSION&amp;amp;lt;/RHSType&amp;amp;gt;&amp;amp;lt;AddQuotes&amp;amp;gt;True&amp;amp;lt;/AddQuotes&amp;amp;gt;&amp;amp;lt;DateFormat&amp;amp;gt;None&amp;amp;lt;/DateFormat&amp;amp;gt;&amp;amp;lt;RightHan'"</definedName>
    <definedName name="_AMO_ContentDefinition_972960867.16" hidden="1">"'dSideExpression&amp;amp;gt;Intermodal&amp;amp;lt;/RightHandSideExpression&amp;amp;gt;&amp;amp;lt;IsSubquery&amp;amp;gt;False&amp;amp;lt;/IsSubquery&amp;amp;gt;&amp;amp;lt;SubqueryTemplateName /&amp;amp;gt;&amp;amp;lt;/RHSItem&amp;amp;gt;&amp;amp;lt;/RightHandSideItems&amp;amp;gt;&amp;amp;lt;/RightHandSide&amp;'"</definedName>
    <definedName name="_AMO_ContentDefinition_972960867.17" hidden="1">"'amp;gt;&amp;amp;lt;/Node&amp;amp;gt;&amp;amp;lt;/SiblingLink&amp;amp;gt;&amp;amp;lt;Operator&amp;amp;gt;=&amp;amp;lt;/Operator&amp;amp;gt;&amp;amp;lt;UseMacroFunction&amp;amp;gt;False&amp;amp;lt;/UseMacroFunction&amp;amp;gt;&amp;amp;lt;Not&amp;amp;gt;False&amp;amp;lt;/Not&amp;amp;gt;&amp;amp;lt;Label /&amp;amp;gt;&amp;amp;lt;'"</definedName>
    <definedName name="_AMO_ContentDefinition_972960867.18" hidden="1">"'RightHandSide&amp;amp;gt;&amp;amp;lt;RightHandSideNumType&amp;amp;gt;SINGLE&amp;amp;lt;/RightHandSideNumType&amp;amp;gt;&amp;amp;lt;RightHandSideItems&amp;amp;gt;&amp;amp;lt;RHSItem&amp;amp;gt;&amp;amp;lt;RHSType&amp;amp;gt;EXPRESSION&amp;amp;lt;/RHSType&amp;amp;gt;&amp;amp;lt;AddQuotes&amp;amp;gt;True&amp;amp;lt;'"</definedName>
    <definedName name="_AMO_ContentDefinition_972960867.19" hidden="1">"'/AddQuotes&amp;amp;gt;&amp;amp;lt;DateFormat&amp;amp;gt;None&amp;amp;lt;/DateFormat&amp;amp;gt;&amp;amp;lt;RightHandSideExpression&amp;amp;gt;2015&amp;amp;lt;/RightHandSideExpression&amp;amp;gt;&amp;amp;lt;IsSubquery&amp;amp;gt;False&amp;amp;lt;/IsSubquery&amp;amp;gt;&amp;amp;lt;SubqueryTemplateName /&amp;amp;'"</definedName>
    <definedName name="_AMO_ContentDefinition_972960867.20" hidden="1">"'gt;&amp;amp;lt;/RHSItem&amp;amp;gt;&amp;amp;lt;/RightHandSideItems&amp;amp;gt;&amp;amp;lt;/RightHandSide&amp;amp;gt;&amp;amp;lt;/TreeRoot&amp;amp;gt;&amp;amp;lt;/FilterTree&amp;amp;gt;&amp;quot; DispVarsSortOrder=&amp;quot;1&amp;quot; ColSelFlg=&amp;quot;0&amp;quot; Name=&amp;quot;DS_WB_REVENUE&amp;quot;&amp;gt;&amp;#xD;&amp;#xA;'"</definedName>
    <definedName name="_AMO_ContentDefinition_972960867.21" hidden="1">"'&amp;lt;Cols&amp;gt;&amp;#xD;&amp;#xA;&amp;lt;cn&amp;gt;Year&amp;lt;/cn&amp;gt;&amp;#xD;&amp;#xA;&amp;lt;cn&amp;gt;Month&amp;lt;/cn&amp;gt;&amp;#xD;&amp;#xA;&amp;lt;cn&amp;gt;TransportMethod&amp;lt;/cn&amp;gt;&amp;#xD;&amp;#xA;&amp;lt;cn&amp;gt;BusinessSegment&amp;lt;/cn&amp;gt;&amp;#xD;&amp;#xA;&amp;lt;cn&amp;gt;TrafficCategory&amp;lt;/cn&amp;gt;&amp;#xD;&amp;#xA;&amp;lt;cn&amp;gt;Division&amp;l'"</definedName>
    <definedName name="_AMO_ContentDefinition_972960867.22" hidden="1">"'t;/cn&amp;gt;&amp;#xD;&amp;#xA;&amp;lt;cn&amp;gt;OrigCity&amp;lt;/cn&amp;gt;&amp;#xD;&amp;#xA;&amp;lt;cn&amp;gt;DestCity&amp;lt;/cn&amp;gt;&amp;#xD;&amp;#xA;&amp;lt;cn&amp;gt;Units&amp;lt;/cn&amp;gt;&amp;#xD;&amp;#xA;&amp;lt;cn&amp;gt;LineHaul&amp;lt;/cn&amp;gt;&amp;#xD;&amp;#xA;&amp;lt;/Cols&amp;gt;&amp;#xD;&amp;#xA;&amp;lt;ColOrd&amp;gt;&amp;#xD;&amp;#xA;&amp;lt;cn&amp;gt;Year&amp;lt;/cn&amp;gt;&amp;#xD;&amp;#'"</definedName>
    <definedName name="_AMO_ContentDefinition_972960867.23" hidden="1">"'xA;&amp;lt;cn&amp;gt;Month&amp;lt;/cn&amp;gt;&amp;#xD;&amp;#xA;&amp;lt;cn&amp;gt;TransportMethod&amp;lt;/cn&amp;gt;&amp;#xD;&amp;#xA;&amp;lt;cn&amp;gt;BusinessSegment&amp;lt;/cn&amp;gt;&amp;#xD;&amp;#xA;&amp;lt;cn&amp;gt;TrafficCategory&amp;lt;/cn&amp;gt;&amp;#xD;&amp;#xA;&amp;lt;cn&amp;gt;Division&amp;lt;/cn&amp;gt;&amp;#xD;&amp;#xA;&amp;lt;cn&amp;gt;OrigCity&amp;lt;/cn&amp;gt;&amp;#xD;&amp;'"</definedName>
    <definedName name="_AMO_ContentDefinition_972960867.24" hidden="1">"'#xA;&amp;lt;cn&amp;gt;DestCity&amp;lt;/cn&amp;gt;&amp;#xD;&amp;#xA;&amp;lt;cn&amp;gt;Units&amp;lt;/cn&amp;gt;&amp;#xD;&amp;#xA;&amp;lt;cn&amp;gt;LineHaul&amp;lt;/cn&amp;gt;&amp;#xD;&amp;#xA;&amp;lt;cn&amp;gt;AARCarType&amp;lt;/cn&amp;gt;&amp;#xD;&amp;#xA;&amp;lt;cn&amp;gt;Accessorial&amp;lt;/cn&amp;gt;&amp;#xD;&amp;#xA;&amp;lt;cn&amp;gt;AcctYrMo&amp;lt;/cn&amp;gt;&amp;#xD;&amp;#xA;&amp;lt;cn&amp;gt;A'"</definedName>
    <definedName name="_AMO_ContentDefinition_972960867.25" hidden="1">"'tlantaServType&amp;lt;/cn&amp;gt;&amp;#xD;&amp;#xA;&amp;lt;cn&amp;gt;BeneficialOwner&amp;lt;/cn&amp;gt;&amp;#xD;&amp;#xA;&amp;lt;cn&amp;gt;BeneficialOwnerAddr&amp;lt;/cn&amp;gt;&amp;#xD;&amp;#xA;&amp;lt;cn&amp;gt;BeneficialOwnerCity&amp;lt;/cn&amp;gt;&amp;#xD;&amp;#xA;&amp;lt;cn&amp;gt;BeneficialOwnerID&amp;lt;/cn&amp;gt;&amp;#xD;&amp;#xA;&amp;lt;cn&amp;gt;BeneficialOw'"</definedName>
    <definedName name="_AMO_ContentDefinition_972960867.26" hidden="1">"'nerState&amp;lt;/cn&amp;gt;&amp;#xD;&amp;#xA;&amp;lt;cn&amp;gt;BeneficialOwnerZipcode&amp;lt;/cn&amp;gt;&amp;#xD;&amp;#xA;&amp;lt;cn&amp;gt;BlockToCustAddr&amp;lt;/cn&amp;gt;&amp;#xD;&amp;#xA;&amp;lt;cn&amp;gt;BlockToCustID&amp;lt;/cn&amp;gt;&amp;#xD;&amp;#xA;&amp;lt;cn&amp;gt;BOLDate&amp;lt;/cn&amp;gt;&amp;#xD;&amp;#xA;&amp;lt;cn&amp;gt;BOLNbr&amp;lt;/cn&amp;gt;&amp;#xD;&amp;#xA;&amp;lt;'"</definedName>
    <definedName name="_AMO_ContentDefinition_972960867.27" hidden="1">"'cn&amp;gt;BudgetRec&amp;lt;/cn&amp;gt;&amp;#xD;&amp;#xA;&amp;lt;cn&amp;gt;BudgetRevenue&amp;lt;/cn&amp;gt;&amp;#xD;&amp;#xA;&amp;lt;cn&amp;gt;BudgetUnits&amp;lt;/cn&amp;gt;&amp;#xD;&amp;#xA;&amp;lt;cn&amp;gt;Commodity&amp;lt;/cn&amp;gt;&amp;#xD;&amp;#xA;&amp;lt;cn&amp;gt;ConsigneeAddr&amp;lt;/cn&amp;gt;&amp;#xD;&amp;#xA;&amp;lt;cn&amp;gt;ConsigneeCity&amp;lt;/cn&amp;gt;&amp;#xD;&amp;#xA;&amp;'"</definedName>
    <definedName name="_AMO_ContentDefinition_972960867.28" hidden="1">"'lt;cn&amp;gt;ConsigneeID&amp;lt;/cn&amp;gt;&amp;#xD;&amp;#xA;&amp;lt;cn&amp;gt;ConsigneeName&amp;lt;/cn&amp;gt;&amp;#xD;&amp;#xA;&amp;lt;cn&amp;gt;ConsigneeState&amp;lt;/cn&amp;gt;&amp;#xD;&amp;#xA;&amp;lt;cn&amp;gt;ConsigneeZipcode&amp;lt;/cn&amp;gt;&amp;#xD;&amp;#xA;&amp;lt;cn&amp;gt;CSXFacilitator&amp;lt;/cn&amp;gt;&amp;#xD;&amp;#xA;&amp;lt;cn&amp;gt;CustAddr&amp;lt;/cn&amp;gt;'"</definedName>
    <definedName name="_AMO_ContentDefinition_972960867.29" hidden="1">"'&amp;#xD;&amp;#xA;&amp;lt;cn&amp;gt;CustID&amp;lt;/cn&amp;gt;&amp;#xD;&amp;#xA;&amp;lt;cn&amp;gt;CustName&amp;lt;/cn&amp;gt;&amp;#xD;&amp;#xA;&amp;lt;cn&amp;gt;DataSource&amp;lt;/cn&amp;gt;&amp;#xD;&amp;#xA;&amp;lt;cn&amp;gt;Day&amp;lt;/cn&amp;gt;&amp;#xD;&amp;#xA;&amp;lt;cn&amp;gt;DestState&amp;lt;/cn&amp;gt;&amp;#xD;&amp;#xA;&amp;lt;cn&amp;gt;Direction&amp;lt;/cn&amp;gt;&amp;#xD;&amp;#xA;&amp;lt;cn&amp;gt;'"</definedName>
    <definedName name="_AMO_ContentDefinition_972960867.30" hidden="1">"'DivisionName&amp;lt;/cn&amp;gt;&amp;#xD;&amp;#xA;&amp;lt;cn&amp;gt;DOW&amp;lt;/cn&amp;gt;&amp;#xD;&amp;#xA;&amp;lt;cn&amp;gt;DOWName&amp;lt;/cn&amp;gt;&amp;#xD;&amp;#xA;&amp;lt;cn&amp;gt;DropTerminal&amp;lt;/cn&amp;gt;&amp;#xD;&amp;#xA;&amp;lt;cn&amp;gt;E1CustID&amp;lt;/cn&amp;gt;&amp;#xD;&amp;#xA;&amp;lt;cn&amp;gt;EQInit&amp;lt;/cn&amp;gt;&amp;#xD;&amp;#xA;&amp;lt;cn&amp;gt;EQLength&amp;lt;/cn&amp;g'"</definedName>
    <definedName name="_AMO_ContentDefinition_972960867.31" hidden="1">"'t;&amp;#xD;&amp;#xA;&amp;lt;cn&amp;gt;eqlength_adjusted&amp;lt;/cn&amp;gt;&amp;#xD;&amp;#xA;&amp;lt;cn&amp;gt;EQNbr&amp;lt;/cn&amp;gt;&amp;#xD;&amp;#xA;&amp;lt;cn&amp;gt;Estimated&amp;lt;/cn&amp;gt;&amp;#xD;&amp;#xA;&amp;lt;cn&amp;gt;EstimateOnly&amp;lt;/cn&amp;gt;&amp;#xD;&amp;#xA;&amp;lt;cn&amp;gt;Fuel&amp;lt;/cn&amp;gt;&amp;#xD;&amp;#xA;&amp;lt;cn&amp;gt;FuelAccrual&amp;lt;/cn&amp;gt;&amp;#xD;'"</definedName>
    <definedName name="_AMO_ContentDefinition_972960867.32" hidden="1">"'&amp;#xA;&amp;lt;cn&amp;gt;FuelEstimate&amp;lt;/cn&amp;gt;&amp;#xD;&amp;#xA;&amp;lt;cn&amp;gt;GrossWeight&amp;lt;/cn&amp;gt;&amp;#xD;&amp;#xA;&amp;lt;cn&amp;gt;Haulage&amp;lt;/cn&amp;gt;&amp;#xD;&amp;#xA;&amp;lt;cn&amp;gt;HaulRoad&amp;lt;/cn&amp;gt;&amp;#xD;&amp;#xA;&amp;lt;cn&amp;gt;ICHRRoad&amp;lt;/cn&amp;gt;&amp;#xD;&amp;#xA;&amp;lt;cn&amp;gt;InCareofParty&amp;lt;/cn&amp;gt;&amp;#xD;&amp;#xA;&amp;'"</definedName>
    <definedName name="_AMO_ContentDefinition_972960867.33" hidden="1">"'lt;cn&amp;gt;InCareofPartyAddr&amp;lt;/cn&amp;gt;&amp;#xD;&amp;#xA;&amp;lt;cn&amp;gt;InCareofPartyCity&amp;lt;/cn&amp;gt;&amp;#xD;&amp;#xA;&amp;lt;cn&amp;gt;InCareofPartyID&amp;lt;/cn&amp;gt;&amp;#xD;&amp;#xA;&amp;lt;cn&amp;gt;InCareofPartyState&amp;lt;/cn&amp;gt;&amp;#xD;&amp;#xA;&amp;lt;cn&amp;gt;InCareofPartyZipcode&amp;lt;/cn&amp;gt;&amp;#xD;&amp;#xA;&amp;lt;cn&amp;gt;'"</definedName>
    <definedName name="_AMO_ContentDefinition_972960867.34" hidden="1">"'initiative_name&amp;lt;/cn&amp;gt;&amp;#xD;&amp;#xA;&amp;lt;cn&amp;gt;InvoiceBillDate&amp;lt;/cn&amp;gt;&amp;#xD;&amp;#xA;&amp;lt;cn&amp;gt;InvoiceCustAddr&amp;lt;/cn&amp;gt;&amp;#xD;&amp;#xA;&amp;lt;cn&amp;gt;InvoiceCustID&amp;lt;/cn&amp;gt;&amp;#xD;&amp;#xA;&amp;lt;cn&amp;gt;InvoiceCustName&amp;lt;/cn&amp;gt;&amp;#xD;&amp;#xA;&amp;lt;cn&amp;gt;InvoiceNbr&amp;lt;/cn&amp;gt;&amp;#'"</definedName>
    <definedName name="_AMO_ContentDefinition_972960867.35" hidden="1">"'xD;&amp;#xA;&amp;lt;cn&amp;gt;InvoiceVer&amp;lt;/cn&amp;gt;&amp;#xD;&amp;#xA;&amp;lt;cn&amp;gt;IProd&amp;lt;/cn&amp;gt;&amp;#xD;&amp;#xA;&amp;lt;cn&amp;gt;IPType&amp;lt;/cn&amp;gt;&amp;#xD;&amp;#xA;&amp;lt;cn&amp;gt;IPTypeDesc&amp;lt;/cn&amp;gt;&amp;#xD;&amp;#xA;&amp;lt;cn&amp;gt;Kind&amp;lt;/cn&amp;gt;&amp;#xD;&amp;#xA;&amp;lt;cn&amp;gt;LESts&amp;lt;/cn&amp;gt;&amp;#xD;&amp;#xA;&amp;lt;cn&amp;gt;LineHau'"</definedName>
    <definedName name="_AMO_ContentDefinition_972960867.36" hidden="1">"'lACC&amp;lt;/cn&amp;gt;&amp;#xD;&amp;#xA;&amp;lt;cn&amp;gt;NotifyParty&amp;lt;/cn&amp;gt;&amp;#xD;&amp;#xA;&amp;lt;cn&amp;gt;NotifyPartyAddr&amp;lt;/cn&amp;gt;&amp;#xD;&amp;#xA;&amp;lt;cn&amp;gt;NotifyPartyCity&amp;lt;/cn&amp;gt;&amp;#xD;&amp;#xA;&amp;lt;cn&amp;gt;NotifyPartyID&amp;lt;/cn&amp;gt;&amp;#xD;&amp;#xA;&amp;lt;cn&amp;gt;NotifyPartyState&amp;lt;/cn&amp;gt;&amp;#xD;&amp;#xA;&amp;'"</definedName>
    <definedName name="_AMO_ContentDefinition_972960867.37" hidden="1">"'lt;cn&amp;gt;NotifyPartyZipcode&amp;lt;/cn&amp;gt;&amp;#xD;&amp;#xA;&amp;lt;cn&amp;gt;OrigConsigneeAddr&amp;lt;/cn&amp;gt;&amp;#xD;&amp;#xA;&amp;lt;cn&amp;gt;OrigConsigneeID&amp;lt;/cn&amp;gt;&amp;#xD;&amp;#xA;&amp;lt;cn&amp;gt;OrigConsigneename&amp;lt;/cn&amp;gt;&amp;#xD;&amp;#xA;&amp;lt;cn&amp;gt;OrigCustAddr&amp;lt;/cn&amp;gt;&amp;#xD;&amp;#xA;&amp;lt;cn&amp;gt;OrigCust'"</definedName>
    <definedName name="_AMO_ContentDefinition_972960867.38" hidden="1">"'ID&amp;lt;/cn&amp;gt;&amp;#xD;&amp;#xA;&amp;lt;cn&amp;gt;OrigShipperAddr&amp;lt;/cn&amp;gt;&amp;#xD;&amp;#xA;&amp;lt;cn&amp;gt;OrigShipperID&amp;lt;/cn&amp;gt;&amp;#xD;&amp;#xA;&amp;lt;cn&amp;gt;OrigShippername&amp;lt;/cn&amp;gt;&amp;#xD;&amp;#xA;&amp;lt;cn&amp;gt;OrigState&amp;lt;/cn&amp;gt;&amp;#xD;&amp;#xA;&amp;lt;cn&amp;gt;OrigUltimateConsignee&amp;lt;/cn&amp;gt;&amp;#xD;&amp;#xA;'"</definedName>
    <definedName name="_AMO_ContentDefinition_972960867.39" hidden="1">"'&amp;lt;cn&amp;gt;OrigUltimateConsigneeAddr&amp;lt;/cn&amp;gt;&amp;#xD;&amp;#xA;&amp;lt;cn&amp;gt;OrigUltimateConsigneeID&amp;lt;/cn&amp;gt;&amp;#xD;&amp;#xA;&amp;lt;cn&amp;gt;OrigUltimateShipper&amp;lt;/cn&amp;gt;&amp;#xD;&amp;#xA;&amp;lt;cn&amp;gt;OrigUltimateShipperAddr&amp;lt;/cn&amp;gt;&amp;#xD;&amp;#xA;&amp;lt;cn&amp;gt;OrigUltimateShipperID&amp;lt;/c'"</definedName>
    <definedName name="_AMO_ContentDefinition_972960867.4" hidden="1">"'ge"" v=""_AMO_SingleObject_972960867_PivotTable_972960867"" /&gt;_x005F_x000D_
  &lt;param n=""DataSource"" v=""&amp;lt;SasDataSource Version=&amp;quot;4.2&amp;quot; Type=&amp;quot;SAS.Servers.Dataset&amp;quot; Svr=&amp;quot;SASApp&amp;quot; Lib=&amp;quot;FECDL&amp;quot; Filter=&amp;quot;Year = '2015' AND Tr'"</definedName>
    <definedName name="_AMO_ContentDefinition_972960867.40" hidden="1">"'n&amp;gt;&amp;#xD;&amp;#xA;&amp;lt;cn&amp;gt;OurProp&amp;lt;/cn&amp;gt;&amp;#xD;&amp;#xA;&amp;lt;cn&amp;gt;OwnerProgram&amp;lt;/cn&amp;gt;&amp;#xD;&amp;#xA;&amp;lt;cn&amp;gt;Ownership&amp;lt;/cn&amp;gt;&amp;#xD;&amp;#xA;&amp;lt;cn&amp;gt;PayMethod&amp;lt;/cn&amp;gt;&amp;#xD;&amp;#xA;&amp;lt;cn&amp;gt;PortMiami&amp;lt;/cn&amp;gt;&amp;#xD;&amp;#xA;&amp;lt;cn&amp;gt;ProMiles&amp;lt;/cn&amp;gt;&amp;#xD;&amp;'"</definedName>
    <definedName name="_AMO_ContentDefinition_972960867.41" hidden="1">"'#xA;&amp;lt;cn&amp;gt;ProNbr&amp;lt;/cn&amp;gt;&amp;#xD;&amp;#xA;&amp;lt;cn&amp;gt;Rate1AuthNbr&amp;lt;/cn&amp;gt;&amp;#xD;&amp;#xA;&amp;lt;cn&amp;gt;Rate1SCAC&amp;lt;/cn&amp;gt;&amp;#xD;&amp;#xA;&amp;lt;cn&amp;gt;Rate2AuthNbr&amp;lt;/cn&amp;gt;&amp;#xD;&amp;#xA;&amp;lt;cn&amp;gt;Rate2SCAC&amp;lt;/cn&amp;gt;&amp;#xD;&amp;#xA;&amp;lt;cn&amp;gt;Rate3AuthNbr&amp;lt;/cn&amp;gt;&amp;#xD;&amp;#xA;&amp;'"</definedName>
    <definedName name="_AMO_ContentDefinition_972960867.42" hidden="1">"'lt;cn&amp;gt;Rate3SCAC&amp;lt;/cn&amp;gt;&amp;#xD;&amp;#xA;&amp;lt;cn&amp;gt;RevDate&amp;lt;/cn&amp;gt;&amp;#xD;&amp;#xA;&amp;lt;cn&amp;gt;Revenue&amp;lt;/cn&amp;gt;&amp;#xD;&amp;#xA;&amp;lt;cn&amp;gt;RevenueNoFuel&amp;lt;/cn&amp;gt;&amp;#xD;&amp;#xA;&amp;lt;cn&amp;gt;RevWeek&amp;lt;/cn&amp;gt;&amp;#xD;&amp;#xA;&amp;lt;cn&amp;gt;rptCustName&amp;lt;/cn&amp;gt;&amp;#xD;&amp;#xA;&amp;lt;cn&amp;gt;Sa'"</definedName>
    <definedName name="_AMO_ContentDefinition_972960867.43" hidden="1">"'lesperson&amp;lt;/cn&amp;gt;&amp;#xD;&amp;#xA;&amp;lt;cn&amp;gt;SalesVP&amp;lt;/cn&amp;gt;&amp;#xD;&amp;#xA;&amp;lt;cn&amp;gt;ShipperAddr&amp;lt;/cn&amp;gt;&amp;#xD;&amp;#xA;&amp;lt;cn&amp;gt;ShipperCity&amp;lt;/cn&amp;gt;&amp;#xD;&amp;#xA;&amp;lt;cn&amp;gt;ShipperID&amp;lt;/cn&amp;gt;&amp;#xD;&amp;#xA;&amp;lt;cn&amp;gt;ShipperName&amp;lt;/cn&amp;gt;&amp;#xD;&amp;#xA;&amp;lt;cn&amp;gt;Shipper'"</definedName>
    <definedName name="_AMO_ContentDefinition_972960867.44" hidden="1">"'State&amp;lt;/cn&amp;gt;&amp;#xD;&amp;#xA;&amp;lt;cn&amp;gt;ShipperZipcode&amp;lt;/cn&amp;gt;&amp;#xD;&amp;#xA;&amp;lt;cn&amp;gt;STCC&amp;lt;/cn&amp;gt;&amp;#xD;&amp;#xA;&amp;lt;cn&amp;gt;STCC2&amp;lt;/cn&amp;gt;&amp;#xD;&amp;#xA;&amp;lt;cn&amp;gt;TrafficCustName&amp;lt;/cn&amp;gt;&amp;#xD;&amp;#xA;&amp;lt;cn&amp;gt;TrainID&amp;lt;/cn&amp;gt;&amp;#xD;&amp;#xA;&amp;lt;cn&amp;gt;UltimateConsign'"</definedName>
    <definedName name="_AMO_ContentDefinition_972960867.45" hidden="1">"'ee&amp;lt;/cn&amp;gt;&amp;#xD;&amp;#xA;&amp;lt;cn&amp;gt;UltimateConsigneeAddr&amp;lt;/cn&amp;gt;&amp;#xD;&amp;#xA;&amp;lt;cn&amp;gt;UltimateConsigneeCity&amp;lt;/cn&amp;gt;&amp;#xD;&amp;#xA;&amp;lt;cn&amp;gt;UltimateConsigneeID&amp;lt;/cn&amp;gt;&amp;#xD;&amp;#xA;&amp;lt;cn&amp;gt;UltimateConsigneeState&amp;lt;/cn&amp;gt;&amp;#xD;&amp;#xA;&amp;lt;cn&amp;gt;UltimateCon'"</definedName>
    <definedName name="_AMO_ContentDefinition_972960867.46" hidden="1">"'signeeZipcode&amp;lt;/cn&amp;gt;&amp;#xD;&amp;#xA;&amp;lt;cn&amp;gt;UltimateShipper&amp;lt;/cn&amp;gt;&amp;#xD;&amp;#xA;&amp;lt;cn&amp;gt;UltimateShipperAddr&amp;lt;/cn&amp;gt;&amp;#xD;&amp;#xA;&amp;lt;cn&amp;gt;UltimateShipperCity&amp;lt;/cn&amp;gt;&amp;#xD;&amp;#xA;&amp;lt;cn&amp;gt;UltimateShipperID&amp;lt;/cn&amp;gt;&amp;#xD;&amp;#xA;&amp;lt;cn&amp;gt;UltimateShipp'"</definedName>
    <definedName name="_AMO_ContentDefinition_972960867.47" hidden="1">"'erState&amp;lt;/cn&amp;gt;&amp;#xD;&amp;#xA;&amp;lt;cn&amp;gt;UltimateShipperZipcode&amp;lt;/cn&amp;gt;&amp;#xD;&amp;#xA;&amp;lt;cn&amp;gt;WBDate&amp;lt;/cn&amp;gt;&amp;#xD;&amp;#xA;&amp;lt;cn&amp;gt;WBNbr&amp;lt;/cn&amp;gt;&amp;#xD;&amp;#xA;&amp;lt;/ColOrd&amp;gt;&amp;#xD;&amp;#xA;&amp;lt;/SasDataSource&amp;gt;"" /&gt;_x005F_x000D_
  &lt;param n=""DataFieldsList"" v=""Sum of Un'"</definedName>
    <definedName name="_AMO_ContentDefinition_972960867.48" hidden="1">"'its,Sum of LineHaul"" /&gt;_x005F_x000D_
  &lt;ExcelXMLOptions AdjColWidths=""True"" RowOpt=""InsertEntire"" ColOpt=""InsertCells"" /&gt;_x005F_x000D_
&lt;/ContentDefinition&gt;'"</definedName>
    <definedName name="_AMO_ContentDefinition_972960867.5" hidden="1">"'ansportMethod = 'Intermodal' AND BusinessSegment = 'International Shippers'&amp;quot; FilterDS=&amp;quot;&amp;amp;lt;?xml version=&amp;amp;quot;1.0&amp;amp;quot; encoding=&amp;amp;quot;utf-16&amp;amp;quot;?&amp;amp;gt;&amp;amp;lt;FilterTree&amp;amp;gt;&amp;amp;lt;TreeRoot&amp;amp;gt;&amp;amp;lt;ID&amp;amp;'"</definedName>
    <definedName name="_AMO_ContentDefinition_972960867.6" hidden="1">"'gt;d8a8e433-bfe2-49b2-a719-a7f0ef98262a&amp;amp;lt;/ID&amp;amp;gt;&amp;amp;lt;FilterType&amp;amp;gt;COLUMN&amp;amp;lt;/FilterType&amp;amp;gt;&amp;amp;lt;TableID /&amp;amp;gt;&amp;amp;lt;ColumnName&amp;amp;gt;Year&amp;amp;lt;/ColumnName&amp;amp;gt;&amp;amp;lt;ColumnType&amp;amp;gt;Character&amp;amp;lt;/ColumnTy'"</definedName>
    <definedName name="_AMO_ContentDefinition_972960867.7" hidden="1">"'pe&amp;amp;gt;&amp;amp;lt;GroupLevel /&amp;amp;gt;&amp;amp;lt;SiblingLink&amp;amp;gt;&amp;amp;lt;LinkType&amp;amp;gt;AND&amp;amp;lt;/LinkType&amp;amp;gt;&amp;amp;lt;Node&amp;amp;gt;&amp;amp;lt;ID&amp;amp;gt;b7040e11-7e0f-4226-9638-160fade7f965&amp;amp;lt;/ID&amp;amp;gt;&amp;amp;lt;FilterType&amp;amp;gt;COLUMN&amp;amp;lt;/'"</definedName>
    <definedName name="_AMO_ContentDefinition_972960867.8" hidden="1">"'FilterType&amp;amp;gt;&amp;amp;lt;TableID /&amp;amp;gt;&amp;amp;lt;ColumnName&amp;amp;gt;TransportMethod&amp;amp;lt;/ColumnName&amp;amp;gt;&amp;amp;lt;ColumnType&amp;amp;gt;Character&amp;amp;lt;/ColumnType&amp;amp;gt;&amp;amp;lt;GroupLevel /&amp;amp;gt;&amp;amp;lt;SiblingLink&amp;amp;gt;&amp;amp;lt;LinkType&amp;amp;gt'"</definedName>
    <definedName name="_AMO_ContentDefinition_972960867.9" hidden="1">"';AND&amp;amp;lt;/LinkType&amp;amp;gt;&amp;amp;lt;Node&amp;amp;gt;&amp;amp;lt;ID&amp;amp;gt;8275a7ba-e52a-4e1b-91a8-95b9d06874b7&amp;amp;lt;/ID&amp;amp;gt;&amp;amp;lt;FilterType&amp;amp;gt;COLUMN&amp;amp;lt;/FilterType&amp;amp;gt;&amp;amp;lt;TableID /&amp;amp;gt;&amp;amp;lt;ColumnName&amp;amp;gt;BusinessSegment&amp;amp'"</definedName>
    <definedName name="_AMO_ContentDefinition_982752879" hidden="1">"'Partitions:22'"</definedName>
    <definedName name="_AMO_ContentDefinition_982752879.0" hidden="1">"'&lt;ContentDefinition name=""SASApp:FECDL.DS_WB_REVENUE"" rsid=""982752879"" type=""PivotTable"" format=""ReportXml"" imgfmt=""ActiveX"" created=""08/16/2013 14:22:12"" modifed=""08/16/2013 14:22:12"" user=""Stephanie"" apply=""False"" css=""C:\Program F'"</definedName>
    <definedName name="_AMO_ContentDefinition_982752879.1" hidden="1">"'iles\SASHome\x86\SASAddinforMicrosoftOffice\5.1\Styles\AMODefault.css"" range=""SASApp_FECDL_DS_WB_REVENUE"" auto=""False"" xTime=""00:00:00"" rTime=""00:00:00.6890000"" bgnew=""False"" nFmt=""False"" grphSet=""False"" imgY=""0"" imgX=""0""&gt;_x005F_x000D_
  &lt;files'"</definedName>
    <definedName name="_AMO_ContentDefinition_982752879.10" hidden="1">"'l /&amp;amp;gt;&amp;amp;lt;RightHandSide&amp;amp;gt;&amp;amp;lt;RightHandSideNumType&amp;amp;gt;SINGLE&amp;amp;lt;/RightHandSideNumType&amp;amp;gt;&amp;amp;lt;RightHandSideItems&amp;amp;gt;&amp;amp;lt;RHSItem&amp;amp;gt;&amp;amp;lt;RHSType&amp;amp;gt;EXPRESSION&amp;amp;lt;/RHSType&amp;amp;gt;&amp;amp;lt;AddQuotes&amp;'"</definedName>
    <definedName name="_AMO_ContentDefinition_982752879.11" hidden="1">"'amp;gt;True&amp;amp;lt;/AddQuotes&amp;amp;gt;&amp;amp;lt;DateFormat&amp;amp;gt;None&amp;amp;lt;/DateFormat&amp;amp;gt;&amp;amp;lt;RightHandSideExpression&amp;amp;gt;WEST PALM BEACH&amp;amp;lt;/RightHandSideExpression&amp;amp;gt;&amp;amp;lt;IsSubquery&amp;amp;gt;False&amp;amp;lt;/IsSubquery&amp;amp;gt;&amp;amp;'"</definedName>
    <definedName name="_AMO_ContentDefinition_982752879.12" hidden="1">"'lt;SubqueryTemplateName /&amp;amp;gt;&amp;amp;lt;/RHSItem&amp;amp;gt;&amp;amp;lt;/RightHandSideItems&amp;amp;gt;&amp;amp;lt;/RightHandSide&amp;amp;gt;&amp;amp;lt;/Node&amp;amp;gt;&amp;amp;lt;/SiblingLink&amp;amp;gt;&amp;amp;lt;Operator&amp;amp;gt;=&amp;amp;lt;/Operator&amp;amp;gt;&amp;amp;lt;UseMacroFunction&amp;amp;g'"</definedName>
    <definedName name="_AMO_ContentDefinition_982752879.13" hidden="1">"'t;False&amp;amp;lt;/UseMacroFunction&amp;amp;gt;&amp;amp;lt;Not&amp;amp;gt;False&amp;amp;lt;/Not&amp;amp;gt;&amp;amp;lt;Label /&amp;amp;gt;&amp;amp;lt;RightHandSide&amp;amp;gt;&amp;amp;lt;RightHandSideNumType&amp;amp;gt;SINGLE&amp;amp;lt;/RightHandSideNumType&amp;amp;gt;&amp;amp;lt;RightHandSideItems&amp;amp;gt;&amp;a'"</definedName>
    <definedName name="_AMO_ContentDefinition_982752879.14" hidden="1">"'mp;lt;RHSItem&amp;amp;gt;&amp;amp;lt;RHSType&amp;amp;gt;EXPRESSION&amp;amp;lt;/RHSType&amp;amp;gt;&amp;amp;lt;AddQuotes&amp;amp;gt;True&amp;amp;lt;/AddQuotes&amp;amp;gt;&amp;amp;lt;DateFormat&amp;amp;gt;None&amp;amp;lt;/DateFormat&amp;amp;gt;&amp;amp;lt;RightHandSideExpression&amp;amp;gt;08&amp;amp;lt;/RightHandSi'"</definedName>
    <definedName name="_AMO_ContentDefinition_982752879.15" hidden="1">"'deExpression&amp;amp;gt;&amp;amp;lt;IsSubquery&amp;amp;gt;False&amp;amp;lt;/IsSubquery&amp;amp;gt;&amp;amp;lt;SubqueryTemplateName /&amp;amp;gt;&amp;amp;lt;/RHSItem&amp;amp;gt;&amp;amp;lt;/RightHandSideItems&amp;amp;gt;&amp;amp;lt;/RightHandSide&amp;amp;gt;&amp;amp;lt;/Node&amp;amp;gt;&amp;amp;lt;/SiblingLink&amp;amp;'"</definedName>
    <definedName name="_AMO_ContentDefinition_982752879.16" hidden="1">"'gt;&amp;amp;lt;Operator&amp;amp;gt;=&amp;amp;lt;/Operator&amp;amp;gt;&amp;amp;lt;UseMacroFunction&amp;amp;gt;False&amp;amp;lt;/UseMacroFunction&amp;amp;gt;&amp;amp;lt;Not&amp;amp;gt;False&amp;amp;lt;/Not&amp;amp;gt;&amp;amp;lt;Label /&amp;amp;gt;&amp;amp;lt;RightHandSide&amp;amp;gt;&amp;amp;lt;RightHandSideNumType&amp;amp'"</definedName>
    <definedName name="_AMO_ContentDefinition_982752879.17" hidden="1">"';gt;SINGLE&amp;amp;lt;/RightHandSideNumType&amp;amp;gt;&amp;amp;lt;RightHandSideItems&amp;amp;gt;&amp;amp;lt;RHSItem&amp;amp;gt;&amp;amp;lt;RHSType&amp;amp;gt;EXPRESSION&amp;amp;lt;/RHSType&amp;amp;gt;&amp;amp;lt;AddQuotes&amp;amp;gt;True&amp;amp;lt;/AddQuotes&amp;amp;gt;&amp;amp;lt;DateFormat&amp;amp;gt;None&amp;amp;'"</definedName>
    <definedName name="_AMO_ContentDefinition_982752879.18" hidden="1">"'lt;/DateFormat&amp;amp;gt;&amp;amp;lt;RightHandSideExpression&amp;amp;gt;2013&amp;amp;lt;/RightHandSideExpression&amp;amp;gt;&amp;amp;lt;IsSubquery&amp;amp;gt;False&amp;amp;lt;/IsSubquery&amp;amp;gt;&amp;amp;lt;SubqueryTemplateName /&amp;amp;gt;&amp;amp;lt;/RHSItem&amp;amp;gt;&amp;amp;lt;/RightHandSideItem'"</definedName>
    <definedName name="_AMO_ContentDefinition_982752879.21" hidden="1">"'tCells"" /&gt;_x005F_x000D_
&lt;/ContentDefinition&gt;'"</definedName>
    <definedName name="_AMO_ContentDefinition_982752879.4" hidden="1">"'013' AND Month = '08' AND DestCity = 'WEST PALM BEACH'&amp;quot; FilterDS=&amp;quot;&amp;amp;lt;?xml version=&amp;amp;quot;1.0&amp;amp;quot; encoding=&amp;amp;quot;utf-16&amp;amp;quot;?&amp;amp;gt;&amp;amp;lt;FilterTree&amp;amp;gt;&amp;amp;lt;TreeRoot&amp;amp;gt;&amp;amp;lt;ID&amp;amp;gt;833f2438-e012-4d20'"</definedName>
    <definedName name="_AMO_ContentDefinition_982752879.5" hidden="1">"'-b5e3-1f2202a5cf5f&amp;amp;lt;/ID&amp;amp;gt;&amp;amp;lt;FilterType&amp;amp;gt;COLUMN&amp;amp;lt;/FilterType&amp;amp;gt;&amp;amp;lt;TableID /&amp;amp;gt;&amp;amp;lt;ColumnName&amp;amp;gt;Year&amp;amp;lt;/ColumnName&amp;amp;gt;&amp;amp;lt;ColumnType&amp;amp;gt;Character&amp;amp;lt;/ColumnType&amp;amp;gt;&amp;amp;lt;Gro'"</definedName>
    <definedName name="_AMO_ContentDefinition_982752879.6" hidden="1">"'upLevel /&amp;amp;gt;&amp;amp;lt;SiblingLink&amp;amp;gt;&amp;amp;lt;LinkType&amp;amp;gt;AND&amp;amp;lt;/LinkType&amp;amp;gt;&amp;amp;lt;Node&amp;amp;gt;&amp;amp;lt;ID&amp;amp;gt;971ff91c-d64e-49d2-b652-425a82147d07&amp;amp;lt;/ID&amp;amp;gt;&amp;amp;lt;FilterType&amp;amp;gt;COLUMN&amp;amp;lt;/FilterType&amp;amp;gt;&amp;am'"</definedName>
    <definedName name="_AMO_ContentDefinition_982752879.7" hidden="1">"'p;lt;TableID /&amp;amp;gt;&amp;amp;lt;ColumnName&amp;amp;gt;Month&amp;amp;lt;/ColumnName&amp;amp;gt;&amp;amp;lt;ColumnType&amp;amp;gt;Character&amp;amp;lt;/ColumnType&amp;amp;gt;&amp;amp;lt;GroupLevel /&amp;amp;gt;&amp;amp;lt;SiblingLink&amp;amp;gt;&amp;amp;lt;LinkType&amp;amp;gt;AND&amp;amp;lt;/LinkType&amp;amp;gt;&amp;a'"</definedName>
    <definedName name="_AMO_ContentDefinition_982752879.8" hidden="1">"'mp;lt;Node&amp;amp;gt;&amp;amp;lt;ID&amp;amp;gt;a72ed6c3-99e3-44a7-b147-17d8241a27b3&amp;amp;lt;/ID&amp;amp;gt;&amp;amp;lt;FilterType&amp;amp;gt;COLUMN&amp;amp;lt;/FilterType&amp;amp;gt;&amp;amp;lt;TableID /&amp;amp;gt;&amp;amp;lt;ColumnName&amp;amp;gt;DestCity&amp;amp;lt;/ColumnName&amp;amp;gt;&amp;amp;lt;ColumnT'"</definedName>
    <definedName name="_AMO_ContentDefinition_982752879.9" hidden="1">"'ype&amp;amp;gt;Character&amp;amp;lt;/ColumnType&amp;amp;gt;&amp;amp;lt;GroupLevel /&amp;amp;gt;&amp;amp;lt;Operator&amp;amp;gt;=&amp;amp;lt;/Operator&amp;amp;gt;&amp;amp;lt;UseMacroFunction&amp;amp;gt;False&amp;amp;lt;/UseMacroFunction&amp;amp;gt;&amp;amp;lt;Not&amp;amp;gt;False&amp;amp;lt;/Not&amp;amp;gt;&amp;amp;lt;Labe'"</definedName>
    <definedName name="_AMO_ContentLocation_247660852_PivotTable_247660852" hidden="1">"'&lt;ContentLocation path=""247660852"" rsid=""247660852"" tag=""PivotTable"" fid=""0""&gt;_x005F_x000D_
  &lt;param n=""_NumRows"" v=""5"" /&gt;_x005F_x000D_
  &lt;param n=""_NumCols"" v=""15"" /&gt;_x005F_x000D_
&lt;/ContentLocation&gt;'"</definedName>
    <definedName name="_AMO_ContentLocation_682937942_PivotTable_682937942" hidden="1">"'&lt;ContentLocation path=""682937942"" rsid=""682937942"" tag=""PivotTable"" fid=""0""&gt;_x005F_x000D_
  &lt;param n=""_NumRows"" v=""10"" /&gt;_x005F_x000D_
  &lt;param n=""_NumCols"" v=""15"" /&gt;_x005F_x000D_
&lt;/ContentLocation&gt;'"</definedName>
    <definedName name="_AMO_ContentLocation_972960867_PivotTable_972960867" hidden="1">"'&lt;ContentLocation path=""972960867"" rsid=""972960867"" tag=""PivotTable"" fid=""0""&gt;_x005F_x000D_
  &lt;param n=""_NumRows"" v=""14"" /&gt;_x005F_x000D_
  &lt;param n=""_NumCols"" v=""17"" /&gt;_x005F_x000D_
&lt;/ContentLocation&gt;'"</definedName>
    <definedName name="_AMO_ContentLocation_982752879_PivotTable_982752879" hidden="1">"'&lt;ContentLocation path=""982752879"" rsid=""982752879"" tag=""PivotTable"" fid=""0""&gt;_x005F_x000D_
  &lt;param n=""_NumRows"" v=""1"" /&gt;_x005F_x000D_
  &lt;param n=""_NumCols"" v=""1"" /&gt;_x005F_x000D_
&lt;/ContentLocation&gt;'"</definedName>
    <definedName name="_AMO_RefreshMultipleList" hidden="1">"'73452249'"</definedName>
    <definedName name="_AMO_XmlVersion" hidden="1">"'1'"</definedName>
    <definedName name="_ap2" hidden="1">{"detail",#N/A,FALSE,"mfg";"summary",#N/A,FALSE,"mfg"}</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dm.00a2d55e6f1242e08795dd56c33ee4f1.edm" hidden="1">#REF!</definedName>
    <definedName name="_bdm.00CE43CA37BF405F8250BAAA15FA4F8D.edm" hidden="1">#N/A</definedName>
    <definedName name="_bdm.02E29E7B1053433EA3CCCBE4E5141596.edm" hidden="1">#REF!</definedName>
    <definedName name="_bdm.037aca60fe7a4a74ac3e8815f8daadb3.edm" hidden="1">#REF!</definedName>
    <definedName name="_bdm.044d3d7092a247e18b916ad2a4aedd19.edm" hidden="1">#REF!</definedName>
    <definedName name="_bdm.0465D0F8BD2C4E888AB9C11EA0CBE52C.edm" hidden="1">#REF!</definedName>
    <definedName name="_bdm.049AF7E691814E14ADD6230F1838C105.edm" hidden="1">#N/A</definedName>
    <definedName name="_bdm.075cef152b134ebdba84cd436772b3c9.edm" hidden="1">#REF!</definedName>
    <definedName name="_bdm.09FF308430834A478A69FC98B29B4DDB.edm" hidden="1">#REF!</definedName>
    <definedName name="_bdm.0d3127be0e704f2c8c689e283914ac0b.edm" hidden="1">#REF!</definedName>
    <definedName name="_bdm.0D36997B78AB466394832F21270DBFC5.edm" hidden="1">#REF!</definedName>
    <definedName name="_bdm.0DEB5153B4174A38BB98AD01BCE49112.edm" hidden="1">#N/A</definedName>
    <definedName name="_bdm.15EB37047682472E9895B21045E780F6.edm" hidden="1">#N/A</definedName>
    <definedName name="_bdm.171DB9927CB04DA0A34634F5C57D2EDB.edm" hidden="1">#REF!</definedName>
    <definedName name="_bdm.199CE51CD6604C2C96FE10969C5B6381.edm" hidden="1">#N/A</definedName>
    <definedName name="_bdm.1FCF0ECA32D54B84A48FCD9F6B94FA0C.edm" hidden="1">#N/A</definedName>
    <definedName name="_bdm.29f04197a2bf4d0fb83c4fb92029da96.edm" hidden="1">#REF!</definedName>
    <definedName name="_bdm.2B140A12B7FE438EB51DA451EE96851B.edm" hidden="1">#N/A</definedName>
    <definedName name="_bdm.2B2E16B8628B4DDE93E242C5944BBC2A.edm" hidden="1">#N/A</definedName>
    <definedName name="_bdm.2BE1B6FB3FF847C6B05433A1B4320E97.edm" hidden="1">#N/A</definedName>
    <definedName name="_bdm.2C2C8CE7AD294A9FB9B89B8D73EE2BDD.edm" hidden="1">#N/A</definedName>
    <definedName name="_bdm.2D6EA23F79A343A2AFBF8BC29F20EF15.edm" hidden="1">#REF!</definedName>
    <definedName name="_bdm.324DCBF8881846BE8FDFF9CEDE5A8C82.edm" hidden="1">#REF!</definedName>
    <definedName name="_bdm.32F15C614E2047838261D30F2E50B850.edm" hidden="1">#REF!</definedName>
    <definedName name="_bdm.36c0584e8c974897baa5bd9e615ce793.edm" hidden="1">#REF!</definedName>
    <definedName name="_bdm.3B402E581D364D5F9C8B532825D712C2.edm" hidden="1">#N/A</definedName>
    <definedName name="_bdm.3C815B76555B493AB602D9968CC7DD66.edm" hidden="1">#REF!</definedName>
    <definedName name="_bdm.3DA076497D67457B8D7732CACE2B2957.edm" hidden="1">#N/A</definedName>
    <definedName name="_bdm.42F3ED22E2544332B398BA763371E8E7.edm" hidden="1">#N/A</definedName>
    <definedName name="_bdm.44e641d35f174021a0ee6d2f0380975e.edm" hidden="1">#REF!</definedName>
    <definedName name="_bdm.49565B8E158E44FB89229994D5A19292.edm" hidden="1">#N/A</definedName>
    <definedName name="_bdm.4ACBD9AA881F4A5BAD5712132FCA49C6.edm" hidden="1">#N/A</definedName>
    <definedName name="_bdm.4b78de28768e43769f57c4f030fbc557.edm" hidden="1">#REF!</definedName>
    <definedName name="_bdm.4cbe75833c2348de9c7c26fcf880363f.edm" hidden="1">#REF!</definedName>
    <definedName name="_bdm.4E93F2B8DF7F4306AB2FC9401A7BC8B9.edm" hidden="1">#N/A</definedName>
    <definedName name="_bdm.4F0ED42406564EB0B4EF21D4BDA22759.edm" hidden="1">#REF!</definedName>
    <definedName name="_bdm.51E398638D774FC489DA2C3E579B9B7A.edm" hidden="1">#REF!</definedName>
    <definedName name="_bdm.55D7D1668AC949EA9CFFACBB765CF14B.edm" hidden="1">#N/A</definedName>
    <definedName name="_bdm.5D900F34585D429190BE9DC54828FD2A.edm" hidden="1">#N/A</definedName>
    <definedName name="_bdm.5E317F46B07541CCBB72397A0D207CD7.edm" hidden="1">#REF!</definedName>
    <definedName name="_bdm.5E46E830322B492E947554439AE5ADCB.edm" hidden="1">#REF!</definedName>
    <definedName name="_bdm.5e5db16e8b1f4aefb5e02ed0b5ce3fe3.edm" hidden="1">#REF!</definedName>
    <definedName name="_bdm.5FCD2F3F54F146738C1CCD11C765CEC5.edm" hidden="1">#N/A</definedName>
    <definedName name="_bdm.62B03D84AE4F4347964AE24E79C4B938.edm" hidden="1">#REF!</definedName>
    <definedName name="_bdm.637886DF6F964A3FBB3572B50FCE256D.edm" hidden="1">#N/A</definedName>
    <definedName name="_bdm.652cd13ecde142928e15371e6afde8e2.edm" hidden="1">#REF!</definedName>
    <definedName name="_bdm.65B6832B65C54D7492A4C73B76F04615.edm" hidden="1">#N/A</definedName>
    <definedName name="_bdm.6663FF2214E84EB9A9614F1EA538570C.edm" hidden="1">#N/A</definedName>
    <definedName name="_bdm.678BC342C6794DD2AAD67E2BFA1E146B.edm" hidden="1">#N/A</definedName>
    <definedName name="_bdm.681856CF51684A4C8AE0F40622102A1F.edm" hidden="1">#N/A</definedName>
    <definedName name="_bdm.6A0FD1929E154E2BBA019FAB777DF0BF.edm" hidden="1">#REF!</definedName>
    <definedName name="_bdm.6EE9F001327A4815A74D6C76FD71049F.edm" hidden="1">#REF!</definedName>
    <definedName name="_bdm.703DCCA3EC1F471B86ED2F21DB610B58.edm" hidden="1">#REF!</definedName>
    <definedName name="_bdm.70a28a3531744bdda41a0280e88eb5f0.edm" hidden="1">#REF!</definedName>
    <definedName name="_bdm.715604092C014992A091A7E3D868B1DA.edm" hidden="1">#N/A</definedName>
    <definedName name="_bdm.74E41D00D7894B9AA6D93CD9136B75BA.edm" hidden="1">#REF!</definedName>
    <definedName name="_bdm.74FE88D3DA4C4D3CB2145205F6F16DDB.edm" hidden="1">#REF!</definedName>
    <definedName name="_bdm.76F8D51A4F8F4F279757E8BAB9049E38.edm" hidden="1">#REF!</definedName>
    <definedName name="_bdm.7a7f5065aff8415ab46f20a04e6efc9a.edm" hidden="1">#REF!</definedName>
    <definedName name="_bdm.7D19BA5009A94D07832D2DBB5F962E81.edm" hidden="1">#N/A</definedName>
    <definedName name="_bdm.7DBDA030E1AD41FC9FDB644EC8B70ECF.edm" hidden="1">#REF!</definedName>
    <definedName name="_bdm.7E562CB54AAD47DAA7CC022467B9703B.edm" hidden="1">#REF!</definedName>
    <definedName name="_bdm.7EAC761F9BB14F8587A06E100F426D16.edm" hidden="1">#N/A</definedName>
    <definedName name="_bdm.819DC72A5F9746BBB838650C1CF3CF4F.edm" hidden="1">#REF!</definedName>
    <definedName name="_bdm.8255ceccf45649588c028a07b347369c.edm" hidden="1">#REF!</definedName>
    <definedName name="_bdm.84D87C2383A04C829026C19F07C2EA4A.edm" hidden="1">#REF!</definedName>
    <definedName name="_bdm.85B113706080479092AB40B9783E3C17.edm" hidden="1">#N/A</definedName>
    <definedName name="_bdm.88E47E551DA64FD9AD70DFDF10A67288.edm" hidden="1">#N/A</definedName>
    <definedName name="_bdm.895E5A5881164E53BC74EC24F4623C71.edm" hidden="1">#REF!</definedName>
    <definedName name="_bdm.89f43af5df304953850487dc66e048b7.edm" hidden="1">#REF!</definedName>
    <definedName name="_bdm.8A05BA6199B74F48BBB2324C06576B79.edm" hidden="1">#REF!</definedName>
    <definedName name="_bdm.8A24C8FDA25F4951A5909FA4FC8D0F12.edm" hidden="1">#REF!</definedName>
    <definedName name="_bdm.8A8E43394703478DA4D63567337EE99B.edm" hidden="1">#N/A</definedName>
    <definedName name="_bdm.8EEDF57198474DBF8EAFFC85849F0B6F.edm" hidden="1">#REF!</definedName>
    <definedName name="_bdm.8FE1AB05082D42C6B56589A085F635B9.edm" hidden="1">#REF!</definedName>
    <definedName name="_bdm.908eae9de4a14f8c80bd2bfbaca74d6d.edm" hidden="1">#REF!</definedName>
    <definedName name="_bdm.909D501CD72742FE987B50DB12632971.edm" hidden="1">#REF!</definedName>
    <definedName name="_bdm.913c2f0e56f94f72b707c08aa48fe066.edm" hidden="1">#REF!</definedName>
    <definedName name="_bdm.9301DDFC67D846248C16E96B86458D94.edm" hidden="1">#REF!</definedName>
    <definedName name="_bdm.94B10F7FEFC345789F8A71A019993121.edm" hidden="1">#REF!</definedName>
    <definedName name="_bdm.951ED7BA7FB9413C8AED2A74D987DCB1.edm" hidden="1">#N/A</definedName>
    <definedName name="_bdm.9628FD7DE1094CB1ACD7DE7610DCEE29.edm" hidden="1">#REF!</definedName>
    <definedName name="_bdm.9663DFEF05104ED587E6141F2DA4B56F.edm" hidden="1">#N/A</definedName>
    <definedName name="_bdm.9B05FB9EE2954BEA86FC4F2D1880A52B.edm" hidden="1">#N/A</definedName>
    <definedName name="_bdm.9B3A5B7FB2794DB798AD56302595A423.edm" hidden="1">#REF!</definedName>
    <definedName name="_bdm.9E50FCC05DE5486D820DC9E4145F484C.edm" hidden="1">#REF!</definedName>
    <definedName name="_bdm.A1600B43A6104DA8A1EEAA137EF388D1.edm" hidden="1">#N/A</definedName>
    <definedName name="_bdm.A186F40BC883499DB9A1EB8BBE569A39.edm" hidden="1">#REF!</definedName>
    <definedName name="_bdm.A1BAEFE926DB458297B8F72F3198289D.edm" hidden="1">#REF!</definedName>
    <definedName name="_bdm.A1EA706CE6B64D66A2E10F992A7E8F2C.edm" hidden="1">#N/A</definedName>
    <definedName name="_bdm.A4B6E8298D504274A71B14E71AA8DB0C.edm" hidden="1">#REF!</definedName>
    <definedName name="_bdm.A4D30B7A36B04041BCC01387779E621E.edm" hidden="1">#REF!</definedName>
    <definedName name="_bdm.a5c8bcee8837454780c71b0b2a4343ec.edm" hidden="1">#REF!</definedName>
    <definedName name="_bdm.A64CFEDA80D0441BB0BE70398E0C093D.edm" hidden="1">#N/A</definedName>
    <definedName name="_bdm.AA21185748A04CDB9F8733A1DC2D0BD3.edm" hidden="1">#REF!</definedName>
    <definedName name="_bdm.ac27a97827d24619a7555e5740e81c11.edm" hidden="1">#REF!</definedName>
    <definedName name="_bdm.ACF60CA571A744FD8F302A1F5A19D2E1.edm" hidden="1">#REF!</definedName>
    <definedName name="_bdm.ADB7D3013F70400CBF89579543BDD551.edm" hidden="1">#REF!</definedName>
    <definedName name="_bdm.ADEDF78ADA454B1796B8BDE0C18A8802.edm" hidden="1">#REF!</definedName>
    <definedName name="_bdm.AED16B9E3F324E1FB845882B41A06705.edm" hidden="1">#N/A</definedName>
    <definedName name="_bdm.b18cdd1ab6c4447e89cdafd75c9d4373.edm" hidden="1">#REF!</definedName>
    <definedName name="_bdm.B2EB2BFC94F847DB839D7B9AF78CF333.edm" hidden="1">#N/A</definedName>
    <definedName name="_bdm.B55E3824B40F434BB589E4713FF361BD.edm" hidden="1">#REF!</definedName>
    <definedName name="_bdm.B5E1CE290D664EC9908CE120B7DDB7AD.edm" hidden="1">#REF!</definedName>
    <definedName name="_bdm.b78ac411127541af914f6cf601ffca8b.edm" hidden="1">#REF!</definedName>
    <definedName name="_bdm.b790dc691a8e4d60b7fee67b358a0f21.edm" hidden="1">#REF!</definedName>
    <definedName name="_bdm.B8B94DB6C3A046A9A97601EB2CF1F264.edm" hidden="1">#N/A</definedName>
    <definedName name="_bdm.BABE3AB22DBF4434947BDB4AB002DDA7.edm" hidden="1">#N/A</definedName>
    <definedName name="_bdm.BBA07F5596C64DC1ABC01C6456B19CEE.edm" hidden="1">#N/A</definedName>
    <definedName name="_bdm.BEF2049645054542A79E25D05ADCE4FB.edm" hidden="1">#N/A</definedName>
    <definedName name="_bdm.c3cc6098386a465f868b619e876843ad.edm" hidden="1">#REF!</definedName>
    <definedName name="_bdm.C469933243E44D62844154522B99E05F.edm" hidden="1">#N/A</definedName>
    <definedName name="_bdm.C571A30360A04E58928A2403E725432A.edm" hidden="1">#REF!</definedName>
    <definedName name="_bdm.CA281689ABFE429E8C0754F018B12509.edm" hidden="1">#REF!</definedName>
    <definedName name="_bdm.cbf631dd656c4943be0c86022c1e0a60.edm" hidden="1">#REF!</definedName>
    <definedName name="_bdm.CCF7F1EFC8E0414487790C98523200FC.edm" hidden="1">#N/A</definedName>
    <definedName name="_bdm.CD21F88F9FFE47F995EBC5C81841CAE0.edm" hidden="1">#N/A</definedName>
    <definedName name="_bdm.cf11a08f61444fcd9349867ab74c54a9.edm" hidden="1">#REF!</definedName>
    <definedName name="_bdm.CFDE9ECF1F8B4C60A6B7FA6B9C50A76A.edm" hidden="1">#REF!</definedName>
    <definedName name="_bdm.D02EBD2481214D4F820070F132C7C149.edm" hidden="1">#N/A</definedName>
    <definedName name="_bdm.D1648DF05EAF4F148634597A0C06286A.edm" hidden="1">#REF!</definedName>
    <definedName name="_bdm.D19822FE09284918AD3E41161BE43379.edm" hidden="1">#N/A</definedName>
    <definedName name="_bdm.D53AE69ED9E841EFBC1CE6DD976C8FC6.edm" hidden="1">#REF!</definedName>
    <definedName name="_bdm.D7CC7787E0E04BE09FB1C19316F79CDB.edm" hidden="1">#REF!</definedName>
    <definedName name="_bdm.D8A23A2A23AD4CB18BDD315904A14865.edm" hidden="1">#REF!</definedName>
    <definedName name="_bdm.D8A8AED6C35A451DBD164C72F71E65B2.edm" hidden="1">#REF!</definedName>
    <definedName name="_bdm.d9378ef1b4e24f9baad5389e0585e7d9.edm" hidden="1">#REF!</definedName>
    <definedName name="_bdm.D93B74B5BCF94CBB8291F5F5198A587D.edm" hidden="1">#N/A</definedName>
    <definedName name="_bdm.D9E6F7E2FBDB4FF6A6D632BFBE3A1A0F.edm" hidden="1">#REF!</definedName>
    <definedName name="_bdm.DB3604FA8FE649F684A0B00083628BD8.edm" hidden="1">#REF!</definedName>
    <definedName name="_bdm.DBE77A39AF664227893C6EE3B4864DB6.edm" hidden="1">#N/A</definedName>
    <definedName name="_bdm.DBF8F79D2FE244698C14155A4A3CFA25.edm" hidden="1">#REF!</definedName>
    <definedName name="_bdm.DECE61D0B00740F8822691B828FDC6CA.edm" hidden="1">#REF!</definedName>
    <definedName name="_bdm.DED1AAA456F44E25A24F1D959D5217AB.edm" hidden="1">#N/A</definedName>
    <definedName name="_bdm.E15B36EB7FB34A3E8B5600A85ACBB02A.edm" hidden="1">#N/A</definedName>
    <definedName name="_bdm.E395F42D17104097B59778D7258FFEAE.edm" hidden="1">#N/A</definedName>
    <definedName name="_bdm.E4EACF2F9B1D411DB6CD9999843D5FFF.edm" hidden="1">#REF!</definedName>
    <definedName name="_bdm.EAEC9C3D50474F6CA7AEE5FBEDB1FC8E.edm" hidden="1">#REF!</definedName>
    <definedName name="_bdm.f1d092024d284d28915f98669dd5e164.edm" hidden="1">#REF!</definedName>
    <definedName name="_bdm.F3E164B04C2E4A8184A2147D244CF7BE.edm" hidden="1">#REF!</definedName>
    <definedName name="_bdm.F412B18EA8FE4C0A8395C5FE3F2B2382.edm" hidden="1">#N/A</definedName>
    <definedName name="_bdm.F7BB8D8B4FFC43F986ABD54037C3BBBC.edm" hidden="1">#REF!</definedName>
    <definedName name="_bdm.f7c2dac56ba34c6abff3979b5d2ba218.edm" hidden="1">#REF!</definedName>
    <definedName name="_bdm.F910150D6B4C40E7B72516F18ECEE7D7.edm" hidden="1">#N/A</definedName>
    <definedName name="_bdm.F929ADA323D4471A99C51D9452BF6DE2.edm" hidden="1">#N/A</definedName>
    <definedName name="_bdm.fa394a61df204eccbfac12b4a63e04bc.edm" hidden="1">#REF!</definedName>
    <definedName name="_bdm.fa6df23e605041c4a0ffd8eb76f7c1f4.edm" hidden="1">#REF!</definedName>
    <definedName name="_bdm.FADD4CE7F2D9478CBC257D71776F0851.edm" hidden="1">#REF!</definedName>
    <definedName name="_bdm.FastTrackBookmark.1_24_2022_9_13_26_PM.edm" hidden="1">#REF!</definedName>
    <definedName name="_bdm.FastTrackBookmark.6_3_2019_1_04_45_PM.edm" hidden="1">#REF!</definedName>
    <definedName name="_bdm.FastTrackBookmark.6_3_2019_1_04_46_PM.edm" hidden="1">#REF!</definedName>
    <definedName name="_bdm.FastTrackBookmark.8_8_2007_1_44_32_PM.edm" hidden="1">#N/A</definedName>
    <definedName name="_bdm.FCFC0CE45A254C9F81335F456701D59A.edm" hidden="1">#N/A</definedName>
    <definedName name="_bji23" hidden="1">{#N/A,"PURCHM",FALSE,"Business Analysis";#N/A,"SPADD",FALSE,"Business Analysis"}</definedName>
    <definedName name="_bkd87" hidden="1">{#N/A,"PURCHM",FALSE,"Business Analysis";#N/A,"SPADD",FALSE,"Business Analysis"}</definedName>
    <definedName name="_BQ4.1" hidden="1">#REF!</definedName>
    <definedName name="_BQ4.2" hidden="1">#REF!</definedName>
    <definedName name="_BQ4.3" hidden="1">#REF!</definedName>
    <definedName name="_BQ4.4" hidden="1">#REF!</definedName>
    <definedName name="_BQ4.5" hidden="1">#REF!</definedName>
    <definedName name="_BQ4.6" hidden="1">#REF!</definedName>
    <definedName name="_BQ4.7" hidden="1">#REF!</definedName>
    <definedName name="_BQ4.8" hidden="1">#REF!</definedName>
    <definedName name="_BQ4.9" hidden="1">#REF!</definedName>
    <definedName name="_BS1" hidden="1">{"OEE OAP",#N/A,FALSE,"oap";"OEE APAP",#N/A,FALSE,"apap";"OEE nitros",#N/A,FALSE,"nitros"}</definedName>
    <definedName name="_c" hidden="1">{"Fiesta Facer Page",#N/A,FALSE,"Q_C_S";"Fiesta Main Page",#N/A,FALSE,"V_L";"Fiesta 95BP Struct",#N/A,FALSE,"StructBP";"Fiesta Post 95BP Struct",#N/A,FALSE,"AdjStructBP"}</definedName>
    <definedName name="_C1001" hidden="1">{#N/A,#N/A,FALSE,"TB";#N/A,#N/A,FALSE,"AR";#N/A,#N/A,FALSE,"BS";#N/A,#N/A,FALSE,"PL";#N/A,#N/A,FALSE,"NOTES";#N/A,#N/A,FALSE,"NOTES (2)";#N/A,#N/A,FALSE,"NOTES (3)";#N/A,#N/A,FALSE,"TAXC.INDEX";#N/A,#N/A,FALSE,"Schedule I";#N/A,#N/A,FALSE,"DPL";#N/A,#N/A,FALSE,"Schedule IV";#N/A,#N/A,FALSE,"Adjustments"}</definedName>
    <definedName name="_c83" hidden="1">{0,0,0,0;0,0,0,0;0,0,0,0}</definedName>
    <definedName name="_c88" hidden="1">{0,0,0,0;0,0,0,0;0,0,0,0;0,0,TRUE,0}</definedName>
    <definedName name="_CCY1">#REF!</definedName>
    <definedName name="_CCY2">#REF!</definedName>
    <definedName name="_CURMONTH">#REF!</definedName>
    <definedName name="_del25" hidden="1">{"'Sheet1'!$A$1:$G$85"}</definedName>
    <definedName name="_del8" hidden="1">{"'Sheet1'!$A$1:$G$85"}</definedName>
    <definedName name="_df1" hidden="1">{#N/A,#N/A,FALSE,"TB";#N/A,#N/A,FALSE,"AR";#N/A,#N/A,FALSE,"BS";#N/A,#N/A,FALSE,"PL";#N/A,#N/A,FALSE,"NOTES";#N/A,#N/A,FALSE,"NOTES (2)";#N/A,#N/A,FALSE,"NOTES (3)";#N/A,#N/A,FALSE,"TAXC.INDEX";#N/A,#N/A,FALSE,"Schedule I";#N/A,#N/A,FALSE,"DPL";#N/A,#N/A,FALSE,"Schedule IV";#N/A,#N/A,FALSE,"Adjustments"}</definedName>
    <definedName name="_df2" hidden="1">{#N/A,#N/A,FALSE,"TB";#N/A,#N/A,FALSE,"DR";#N/A,#N/A,FALSE,"AR";#N/A,#N/A,FALSE,"PL";#N/A,#N/A,FALSE,"BS";#N/A,#N/A,FALSE,"NOTES";#N/A,#N/A,FALSE,"NOTES (2)";#N/A,#N/A,FALSE,"NOTES (3)";#N/A,#N/A,FALSE,"DPL";#N/A,#N/A,FALSE,"TAXC.INDEX";#N/A,#N/A,FALSE,"Schedule I";#N/A,#N/A,FALSE,"Adjustments"}</definedName>
    <definedName name="_DIM1" hidden="1">"DIM1=0530/0830;DIM2=;DIM3=;DIM4=;DIM5=;DIM6=;DIM7=;DIM8=;DIM9=;"</definedName>
    <definedName name="_DIM2" hidden="1">" "</definedName>
    <definedName name="_DIM3" hidden="1">" "</definedName>
    <definedName name="_DIM4" hidden="1">" "</definedName>
    <definedName name="_Dist_Bin" hidden="1">#REF!</definedName>
    <definedName name="_Dist_Values" hidden="1">#REF!</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kj" hidden="1">#REF!</definedName>
    <definedName name="_dwa1" hidden="1">{#N/A,"PURCHM",FALSE,"Business Analysis";#N/A,"SPADD",FALSE,"Business Analysis"}</definedName>
    <definedName name="_E1" hidden="1">{#N/A,#N/A,FALSE,"TB";#N/A,#N/A,FALSE,"AR";#N/A,#N/A,FALSE,"BS";#N/A,#N/A,FALSE,"PL";#N/A,#N/A,FALSE,"NOTES";#N/A,#N/A,FALSE,"NOTES (2)";#N/A,#N/A,FALSE,"NOTES (3)";#N/A,#N/A,FALSE,"TAXC.INDEX";#N/A,#N/A,FALSE,"Schedule I";#N/A,#N/A,FALSE,"DPL";#N/A,#N/A,FALSE,"Schedule IV";#N/A,#N/A,FALSE,"Adjustments"}</definedName>
    <definedName name="_E1100" hidden="1">{#N/A,#N/A,FALSE,"TAXC.INDEX";#N/A,#N/A,FALSE,"Schedule I";#N/A,#N/A,FALSE,"Schedule  II";#N/A,#N/A,FALSE,"Schedule III";#N/A,#N/A,FALSE,"Schedule IV";#N/A,#N/A,FALSE,"Schedule IV (Cont'd)";#N/A,#N/A,FALSE,"Schedule V";#N/A,#N/A,FALSE,"Schedule VI";#N/A,#N/A,FALSE,"Schedule VII"}</definedName>
    <definedName name="_e12" hidden="1">{#N/A,#N/A,FALSE,"TB";#N/A,#N/A,FALSE,"AR";#N/A,#N/A,FALSE,"BS";#N/A,#N/A,FALSE,"PL";#N/A,#N/A,FALSE,"NOTES";#N/A,#N/A,FALSE,"NOTES (2)";#N/A,#N/A,FALSE,"NOTES (3)";#N/A,#N/A,FALSE,"TAXC.INDEX";#N/A,#N/A,FALSE,"Schedule I";#N/A,#N/A,FALSE,"DPL";#N/A,#N/A,FALSE,"Schedule IV";#N/A,#N/A,FALSE,"Adjustments"}</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u93" hidden="1">{"Comp_of_Price_Effect",#N/A,FALSE,"QTRDPVAR"}</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ds2" hidden="1">{"comps",#N/A,FALSE,"comps";"notes",#N/A,FALSE,"comps"}</definedName>
    <definedName name="_fhf2" hidden="1">{#N/A,#N/A,FALSE,"CA";#N/A,#N/A,FALSE,"CN";#N/A,#N/A,FALSE,"Inv";#N/A,#N/A,FALSE,"Inv Acc";"Miguel_balance",#N/A,FALSE,"Bal";#N/A,#N/A,FALSE,"Plantilla";#N/A,#N/A,FALSE,"CA (2)";#N/A,#N/A,FALSE,"CN (2)"}</definedName>
    <definedName name="_FI4" hidden="1">{"Vinyl1999Q1IFOrecon",#N/A,TRUE,"Vinyl";"Vinyl1999Q2IFOrecon",#N/A,TRUE,"Vinyl";"Vinyl1999Q3IFOrecon",#N/A,TRUE,"Vinyl";"Vinyl1999Q4IFOrecon",#N/A,TRUE,"Vinyl";"Vinyl1999TotalIFOrecon",#N/A,TRUE,"Vinyl";#N/A,#N/A,TRUE,"Vinyl"}</definedName>
    <definedName name="_Fill" hidden="1">#REF!</definedName>
    <definedName name="_FilterDatabase2" hidden="1">#REF!</definedName>
    <definedName name="_fy97" hidden="1">{#N/A,#N/A,FALSE,"FY97";#N/A,#N/A,FALSE,"FY98";#N/A,#N/A,FALSE,"FY99";#N/A,#N/A,FALSE,"FY00";#N/A,#N/A,FALSE,"FY01"}</definedName>
    <definedName name="_gfg2" hidden="1">{"Sum WW A",#N/A,FALSE,"FY95SLS";"Sum WW B",#N/A,FALSE,"FY95SLS";"Sum US A",#N/A,FALSE,"FY95SLS";"Sum US B",#N/A,FALSE,"FY95SLS";"Sum US Bocg",#N/A,FALSE,"FY95SLS";"Sum Can A",#N/A,FALSE,"FY95SLS";"Sum Can B",#N/A,FALSE,"FY95SLS";"Sum Europe",#N/A,FALSE,"FY95SLS";"Sum Row",#N/A,FALSE,"FY95SLS"}</definedName>
    <definedName name="_GSRATES_1" hidden="1">"CT300001Latest          "</definedName>
    <definedName name="_GSRATES_10" hidden="1">"CT30000120010930        "</definedName>
    <definedName name="_GSRATES_11" hidden="1">"CF3000012001102420001024"</definedName>
    <definedName name="_GSRATES_12" hidden="1">"CT30000120011024        "</definedName>
    <definedName name="_GSRATES_13" hidden="1">"CF3000122000123120000101"</definedName>
    <definedName name="_GSRATES_14" hidden="1">"CF3000012000093020000101"</definedName>
    <definedName name="_GSRATES_15" hidden="1">"CF3000012005072520040901"</definedName>
    <definedName name="_GSRATES_16" hidden="1">"CT30000120050725        "</definedName>
    <definedName name="_GSRATES_17" hidden="1">"CF3000012004083120040726"</definedName>
    <definedName name="_GSRATES_2" hidden="1">"CT30000120040521        "</definedName>
    <definedName name="_GSRATES_3" hidden="1">"CT300001Latest          "</definedName>
    <definedName name="_GSRATES_4" hidden="1">"CF3000012001092920010101"</definedName>
    <definedName name="_GSRATES_5" hidden="1">"CT30000120010929        "</definedName>
    <definedName name="_GSRATES_6" hidden="1">"CF3000012000093020000101"</definedName>
    <definedName name="_GSRATES_7" hidden="1">"CF3000012000093020000101"</definedName>
    <definedName name="_GSRATES_8" hidden="1">"CF3000012001092920010101"</definedName>
    <definedName name="_GSRATES_9" hidden="1">"CF3000012001093020010101"</definedName>
    <definedName name="_GSRATES_COUNT" hidden="1">2</definedName>
    <definedName name="_GSRATESR_1" hidden="1">#REF!</definedName>
    <definedName name="_GSRATESR_2" hidden="1">#REF!</definedName>
    <definedName name="_GSRATESR_3" hidden="1">#REF!</definedName>
    <definedName name="_INDEX1">#REF!</definedName>
    <definedName name="_INDEX2">#REF!</definedName>
    <definedName name="_INDEX3">#REF!</definedName>
    <definedName name="_INDEX4">#REF!</definedName>
    <definedName name="_INDEX5">#REF!</definedName>
    <definedName name="_INDEX6">#REF!</definedName>
    <definedName name="_k1" hidden="1">{#N/A,#N/A,FALSE,"TB";#N/A,#N/A,FALSE,"DR";#N/A,#N/A,FALSE,"AR";#N/A,#N/A,FALSE,"PL";#N/A,#N/A,FALSE,"BS";#N/A,#N/A,FALSE,"NOTES";#N/A,#N/A,FALSE,"NOTES (2)";#N/A,#N/A,FALSE,"NOTES (3)";#N/A,#N/A,FALSE,"DPL";#N/A,#N/A,FALSE,"TAXC.INDEX";#N/A,#N/A,FALSE,"Schedule I";#N/A,#N/A,FALSE,"Adjustments"}</definedName>
    <definedName name="_KAW999929" hidden="1">#REF!</definedName>
    <definedName name="_KAW999934" hidden="1">#REF!</definedName>
    <definedName name="_KAW999957" hidden="1">#REF!</definedName>
    <definedName name="_Key" hidden="1">#REF!</definedName>
    <definedName name="_Key1" hidden="1">#REF!</definedName>
    <definedName name="_Key2" hidden="1">#REF!</definedName>
    <definedName name="_key3" hidden="1">#REF!</definedName>
    <definedName name="_lay1" hidden="1">{#N/A,#N/A,FALSE,"TB";#N/A,#N/A,FALSE,"DR";#N/A,#N/A,FALSE,"AR";#N/A,#N/A,FALSE,"BS";#N/A,#N/A,FALSE,"PL";#N/A,#N/A,FALSE,"NOTES";#N/A,#N/A,FALSE,"NOTES (2)";#N/A,#N/A,FALSE,"NOTES (3)";#N/A,#N/A,FALSE,"DPL";#N/A,#N/A,FALSE,"DPL"}</definedName>
    <definedName name="_lot3" hidden="1">{"First Page",#N/A,FALSE,"Surfactants LBO";"Second Page",#N/A,FALSE,"Surfactants LBO"}</definedName>
    <definedName name="_mno9" hidden="1">{"detail",#N/A,FALSE,"mfg";"summary",#N/A,FALSE,"mfg"}</definedName>
    <definedName name="_nam305" hidden="1">{"detail",#N/A,FALSE,"mfg";"summary",#N/A,FALSE,"mfg"}</definedName>
    <definedName name="_new1" hidden="1">{#N/A,#N/A,FALSE,"Pharm";#N/A,#N/A,FALSE,"WWCM"}</definedName>
    <definedName name="_new2" hidden="1">{#N/A,#N/A,FALSE,"3";#N/A,#N/A,FALSE,"5";#N/A,#N/A,FALSE,"6";#N/A,#N/A,FALSE,"8";#N/A,#N/A,FALSE,"10";#N/A,#N/A,FALSE,"13";#N/A,#N/A,FALSE,"14";#N/A,#N/A,FALSE,"15";#N/A,#N/A,FALSE,"16"}</definedName>
    <definedName name="_new3" hidden="1">{#N/A,#N/A,FALSE,"3";#N/A,#N/A,FALSE,"5";#N/A,#N/A,FALSE,"6";#N/A,#N/A,FALSE,"8";#N/A,#N/A,FALSE,"10";#N/A,#N/A,FALSE,"13";#N/A,#N/A,FALSE,"14";#N/A,#N/A,FALSE,"15";#N/A,#N/A,FALSE,"16"}</definedName>
    <definedName name="_new4" hidden="1">{#N/A,#N/A,FALSE,"3";#N/A,#N/A,FALSE,"5";#N/A,#N/A,FALSE,"6";#N/A,#N/A,FALSE,"8";#N/A,#N/A,FALSE,"10";#N/A,#N/A,FALSE,"13";#N/A,#N/A,FALSE,"14";#N/A,#N/A,FALSE,"15";#N/A,#N/A,FALSE,"16"}</definedName>
    <definedName name="_new5" hidden="1">{#N/A,#N/A,FALSE,"3";#N/A,#N/A,FALSE,"5";#N/A,#N/A,FALSE,"6";#N/A,#N/A,FALSE,"8";#N/A,#N/A,FALSE,"10";#N/A,#N/A,FALSE,"13";#N/A,#N/A,FALSE,"14";#N/A,#N/A,FALSE,"15";#N/A,#N/A,FALSE,"16"}</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2" hidden="1">{#N/A,#N/A,FALSE,"00 P&amp;L vs 99"}</definedName>
    <definedName name="_oo1" hidden="1">{#N/A,#N/A,FALSE,"TAXC.INDEX";#N/A,#N/A,FALSE,"Schedule I";#N/A,#N/A,FALSE,"Schedule  II";#N/A,#N/A,FALSE,"Schedule III";#N/A,#N/A,FALSE,"Schedule IV";#N/A,#N/A,FALSE,"Schedule IV (Cont'd)";#N/A,#N/A,FALSE,"Schedule V";#N/A,#N/A,FALSE,"Schedule VI";#N/A,#N/A,FALSE,"Schedule VII"}</definedName>
    <definedName name="_Order1" hidden="1">255</definedName>
    <definedName name="_Order2" hidden="1">255</definedName>
    <definedName name="_Order39" hidden="1">255</definedName>
    <definedName name="_Parse_Out" hidden="1">#REF!</definedName>
    <definedName name="_pd123" hidden="1">{"Units A",#N/A,FALSE,"FY95SLS";"Units B",#N/A,FALSE,"FY95SLS"}</definedName>
    <definedName name="_PERIODE" hidden="1">FALSE()</definedName>
    <definedName name="_pp1" hidden="1">{#N/A,#N/A,FALSE,"Trends";#N/A,#N/A,FALSE,"As Reported";#N/A,#N/A,FALSE,"(un) Commited"}</definedName>
    <definedName name="_PSM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_PSM3" hidden="1">{"Pound Sterling",#N/A,TRUE,"PPD";"Pound Sterling",#N/A,TRUE,"Anaquest";"Pound Sterling",#N/A,TRUE,"Delta";"Pound Sterling",#N/A,TRUE,"INO"}</definedName>
    <definedName name="_puc101" hidden="1">{#N/A,"PURCHM",FALSE,"Business Analysis";#N/A,"SPADD",FALSE,"Business Analysis"}</definedName>
    <definedName name="_puc102" hidden="1">{#N/A,"PURCHM",FALSE,"Business Analysis";#N/A,"SPADD",FALSE,"Business Analysis"}</definedName>
    <definedName name="_q3" hidden="1">#REF!</definedName>
    <definedName name="_Q5" hidden="1">{#N/A,#N/A,FALSE,"CA";#N/A,#N/A,FALSE,"CN";#N/A,#N/A,FALSE,"Inv";#N/A,#N/A,FALSE,"Inv Acc";"Miguel_balance",#N/A,FALSE,"Bal";#N/A,#N/A,FALSE,"Plantilla";#N/A,#N/A,FALSE,"CA (2)";#N/A,#N/A,FALSE,"CN (2)"}</definedName>
    <definedName name="_qq1" hidden="1">{#N/A,#N/A,FALSE,"TB";#N/A,#N/A,FALSE,"DR";#N/A,#N/A,FALSE,"AR";#N/A,#N/A,FALSE,"PL";#N/A,#N/A,FALSE,"BS";#N/A,#N/A,FALSE,"NOTES";#N/A,#N/A,FALSE,"NOTES (2)";#N/A,#N/A,FALSE,"NOTES (3)";#N/A,#N/A,FALSE,"DPL";#N/A,#N/A,FALSE,"TAXC.INDEX";#N/A,#N/A,FALSE,"Schedule I";#N/A,#N/A,FALSE,"Adjustments"}</definedName>
    <definedName name="_r" hidden="1">{#N/A,#N/A,FALSE,"Pharm";#N/A,#N/A,FALSE,"WWCM"}</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gression_Int" hidden="1">1</definedName>
    <definedName name="_Regression_Out" hidden="1">#REF!</definedName>
    <definedName name="_Regression_X" hidden="1">#REF!</definedName>
    <definedName name="_Regression_Y" hidden="1">#REF!</definedName>
    <definedName name="_ROrder1" hidden="1">0</definedName>
    <definedName name="_s34" hidden="1">{"QTD_GENERALH2",#N/A,FALSE,"QTD"}</definedName>
    <definedName name="_sd34" hidden="1">{"QTD",#N/A,FALSE,"SUM"}</definedName>
    <definedName name="_sdf2" hidden="1">{#N/A,#N/A,FALSE,"Calc";#N/A,#N/A,FALSE,"Sensitivity";#N/A,#N/A,FALSE,"LT Earn.Dil.";#N/A,#N/A,FALSE,"Dil. AVP"}</definedName>
    <definedName name="_Sort" hidden="1">#REF!</definedName>
    <definedName name="_ss1" hidden="1">{"detail",#N/A,FALSE,"mfg";"summary",#N/A,FALSE,"mfg"}</definedName>
    <definedName name="_STARTMONTH">#REF!</definedName>
    <definedName name="_tabel1_outx"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ft2" hidden="1">{#N/A,#N/A,FALSE,"3";#N/A,#N/A,FALSE,"5";#N/A,#N/A,FALSE,"6";#N/A,#N/A,FALSE,"8";#N/A,#N/A,FALSE,"10";#N/A,#N/A,FALSE,"13";#N/A,#N/A,FALSE,"14";#N/A,#N/A,FALSE,"15";#N/A,#N/A,FALSE,"16"}</definedName>
    <definedName name="_tm1" hidden="1">{#N/A,#N/A,FALSE,"Pharm";#N/A,#N/A,FALSE,"WWCM"}</definedName>
    <definedName name="_TMAutoChart1Names" hidden="1">{"Courbes CA EBIT","Chart 7","Courbes CA EBIT Graphique 7"}</definedName>
    <definedName name="_TMAutoChart1Refs" hidden="1">{"","","'Courbes CA EBIT'!$R$78","'Courbes CA EBIT'!$R$79","","","","","'Courbes CA EBIT'!$R$82","'Courbes CA EBIT'!$R$83"}</definedName>
    <definedName name="_TMAutoChart2Names" hidden="1">{"Flash","Chart 6","Flash Graphique 6"}</definedName>
    <definedName name="_TMAutoChart2Refs" hidden="1">{"","","'Flash'!$R$78","'Flash'!$R$79","","","","","'Flash'!$R$82","'Flash'!$R$83"}</definedName>
    <definedName name="_TMAutoChart3Names" hidden="1">{"Focus","Chart 6","Focus Graphique 6"}</definedName>
    <definedName name="_TMAutoChart3Refs" hidden="1">{"","","'Focus'!$R$78","'Focus'!$R$79","","","","","'Focus'!$R$82","'Focus'!$R$83"}</definedName>
    <definedName name="_TMAutoChart5Names" hidden="1">{"CTD","Chart 5","CTD Graphique 5"}</definedName>
    <definedName name="_TMAutoChart5Refs" hidden="1">{"","","'CTD'!$R$78","'CTD'!$R$79","","","","","'CTD'!$R$82","'CTD'!$R$83"}</definedName>
    <definedName name="_TMAutoChartCount" hidden="1">7</definedName>
    <definedName name="_TT20" hidden="1">{0,0,0,0;0,0,0,0;0,0,0,0;0,0,0,0;0,0,0,0;0,0,0,0;0,0,0,0;0,0,0,0;0,0,0,0;0,0,0,0;0,0,0,0;0,0,0,0;0,#VALUE!,0,0;0,0,0,0;0,0,0,0;0,0,0,0;4.02506300418233E-305,0,0,0;0,0,0,0;3.33761291040418E-308,5.56268889233185E-308,8.90030392771069E-308,1.55755255047865E-307;2.6700903295667E-307,4.45015111635219E-307,0,0}</definedName>
    <definedName name="_UNDO_UPS_" hidden="1">#REF!</definedName>
    <definedName name="_UNDO_UPS_SEL_" hidden="1">#REF!</definedName>
    <definedName name="_UNDO31X31X_" hidden="1">#REF!</definedName>
    <definedName name="_vin1" hidden="1">#REF!</definedName>
    <definedName name="_w1" hidden="1">{#N/A,#N/A,FALSE,"DIR-REP";#N/A,#N/A,FALSE,"AUD-REPORT";#N/A,#N/A,FALSE,"P7L&amp;BS";#N/A,#N/A,FALSE,"NOTES";#N/A,#N/A,FALSE,"FA";#N/A,#N/A,FALSE,"NOTES (2)";#N/A,#N/A,FALSE,"Schedule  IV";#N/A,#N/A,FALSE,"Schedule V"}</definedName>
    <definedName name="_wrn071" hidden="1">{#N/A,"PURCHM",FALSE,"Business Analysis";#N/A,"SPADD",FALSE,"Business Analysis"}</definedName>
    <definedName name="_wrn2" hidden="1">{#N/A,#N/A,FALSE,"Calc";#N/A,#N/A,FALSE,"Sensitivity";#N/A,#N/A,FALSE,"LT Earn.Dil.";#N/A,#N/A,FALSE,"Dil. AVP"}</definedName>
    <definedName name="_wrn213" hidden="1">{"detail",#N/A,FALSE,"mfg";"summary",#N/A,FALSE,"mfg"}</definedName>
    <definedName name="_wrn3" hidden="1">{#N/A,#N/A,FALSE,"ASSUMPTIONS";#N/A,#N/A,FALSE,"Valuation Summary";"page1",#N/A,FALSE,"PRESENTATION";"page2",#N/A,FALSE,"PRESENTATION";#N/A,#N/A,FALSE,"ORIGINAL_ROLLBACK"}</definedName>
    <definedName name="_wrn4" hidden="1">{"general",#N/A,FALSE,"Assumptions"}</definedName>
    <definedName name="_WRN41" hidden="1">{"detail",#N/A,FALSE,"mfg";"summary",#N/A,FALSE,"mfg"}</definedName>
    <definedName name="_wrn413" hidden="1">{"detail",#N/A,FALSE,"mfg";"summary",#N/A,FALSE,"mfg"}</definedName>
    <definedName name="_wrn51" hidden="1">{#N/A,"PURCHM",FALSE,"Business Analysis";#N/A,"SPADD",FALSE,"Business Analysis"}</definedName>
    <definedName name="_wrn61" hidden="1">{"detail",#N/A,FALSE,"mfg";"summary",#N/A,FALSE,"mfg"}</definedName>
    <definedName name="_wrn651" hidden="1">{"detail",#N/A,FALSE,"mfg";"summary",#N/A,FALSE,"mfg"}</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x1" hidden="1">{"detail",#N/A,FALSE,"mfg";"summary",#N/A,FALSE,"mfg"}</definedName>
    <definedName name="_X2" hidden="1">{#N/A,#N/A,FALSE,"Other";#N/A,#N/A,FALSE,"Ace";#N/A,#N/A,FALSE,"Derm"}</definedName>
    <definedName name="_x3" hidden="1">{"detail",#N/A,FALSE,"mfg";"summary",#N/A,FALSE,"mfg"}</definedName>
    <definedName name="_x4" hidden="1">{#N/A,"PURCHM",FALSE,"Business Analysis";#N/A,"SPADD",FALSE,"Business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lcn.WorksheetConnection_171229KeplerVentasxartículoyproveedor201411m2017v2.xlsbRawDataB2U64511" hidden="1">#REF!</definedName>
    <definedName name="_xlcn.WorksheetConnection_180119KeplerVentasxartículoyproveedor201412m2017.xlsbRawDataB2U66141" hidden="1">#REF!</definedName>
    <definedName name="_xlcn.WorksheetConnection_DataBaseIntercosFY12B6L23481" hidden="1">#REF!</definedName>
    <definedName name="_xx10" hidden="1">{#N/A,"PURCHM",FALSE,"Business Analysis";#N/A,"SPADD",FALSE,"Business Analysis"}</definedName>
    <definedName name="_xx3" hidden="1">{"detail",#N/A,FALSE,"mfg";"summary",#N/A,FALSE,"mfg"}</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hidden="1">{"oct_res_comm",#N/A,FALSE,"VarToBud"}</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hidden="1">{"AS REP",#N/A,FALSE,"EEFSNAP2";"PROP",#N/A,FALSE,"EEFSNAP2";"RISKS",#N/A,FALSE,"EEFSNAP2";"VIEW ALL",#N/A,FALSE,"EEFSNAP2"}</definedName>
    <definedName name="_YE1">#REF!</definedName>
    <definedName name="_YE2">#REF!</definedName>
    <definedName name="_YE3">#REF!</definedName>
    <definedName name="_YE4">#REF!</definedName>
    <definedName name="_YE5">#REF!</definedName>
    <definedName name="_YE6">#REF!</definedName>
    <definedName name="_YE7">#REF!</definedName>
    <definedName name="_YE8">#REF!</definedName>
    <definedName name="_YE9">#REF!</definedName>
    <definedName name="_z12" hidden="1">{"pro_view",#N/A,FALSE,"EEFSNAP2";"rep_view",#N/A,FALSE,"EEFSNAP2"}</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hidden="1">{"detail",#N/A,FALSE,"mfg";"summary",#N/A,FALSE,"mfg"}</definedName>
    <definedName name="_zz08" hidden="1">#REF!</definedName>
    <definedName name="_zz09" hidden="1">#REF!</definedName>
    <definedName name="_zz1" hidden="1">{"pro_view",#N/A,FALSE,"EEFSNAP2";"rep_view",#N/A,FALSE,"EEFSNAP2"}</definedName>
    <definedName name="_zz10" hidden="1">#REF!</definedName>
    <definedName name="_zz2" hidden="1">{#N/A,"PURADD",FALSE,"Business Analysis";#N/A,"PURSPP",FALSE,"Business Analysis";#N/A,"CTGIND",FALSE,"Business Analysis";#N/A,"PURCHM",FALSE,"Business Analysis";#N/A,"SPADD",FALSE,"Business Analysis";#N/A,"EPOXY",FALSE,"Business Analysis";#N/A,"PURPER",FALSE,"Business Analysis"}</definedName>
    <definedName name="a" hidden="1">{#N/A,#N/A,FALSE,"Umsatz 99";#N/A,#N/A,FALSE,"ER 99 "}</definedName>
    <definedName name="A_1" hidden="1">{#N/A,#N/A,FALSE,"Bilan"}</definedName>
    <definedName name="a1a" hidden="1">{#N/A,"PURCHM",FALSE,"Business Analysis";#N/A,"SPADD",FALSE,"Business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a" hidden="1">{"detail",#N/A,FALSE,"mfg";"summary",#N/A,FALSE,"mfg"}</definedName>
    <definedName name="aa" hidden="1">{#N/A,"PURADD",FALSE,"Business Analysis";#N/A,"PURSPP",FALSE,"Business Analysis";#N/A,"CTGIND",FALSE,"Business Analysis";#N/A,"PURCHM",FALSE,"Business Analysis";#N/A,"SPADD",FALSE,"Business Analysis";#N/A,"EPOXY",FALSE,"Business Analysis";#N/A,"PURPER",FALSE,"Business Analysis"}</definedName>
    <definedName name="aaa" hidden="1">{#N/A,#N/A,FALSE,"Pharm";#N/A,#N/A,FALSE,"WWCM"}</definedName>
    <definedName name="äää" hidden="1">{#N/A,#N/A,FALSE,"Umsatz 99";#N/A,#N/A,FALSE,"ER 99 "}</definedName>
    <definedName name="AAA_DOCTOPS" hidden="1">"AAA_SET"</definedName>
    <definedName name="AAA_duser" hidden="1">"OFF"</definedName>
    <definedName name="aaaa" hidden="1">{#N/A,#N/A,FALSE,"REPORT"}</definedName>
    <definedName name="ääää" hidden="1">{"'Sample Status'!$A$1:$J$21"}</definedName>
    <definedName name="aaaa.a"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aaaaa" hidden="1">{#N/A,#N/A,FALSE,"REPORT"}</definedName>
    <definedName name="aaaaaa" hidden="1">{#N/A,#N/A,FALSE,"REPORT"}</definedName>
    <definedName name="aaaaaaa" hidden="1">{#N/A,#N/A,FALSE,"REPORT"}</definedName>
    <definedName name="aaaaaaaa" hidden="1">{#N/A,#N/A,FALSE,"Presentation by Unit";#N/A,#N/A,FALSE,"Presentation by BD";#N/A,#N/A,FALSE,"Presentation Split by Biggest U";#N/A,#N/A,FALSE,"Presentation Split by Area";#N/A,#N/A,FALSE,"Presentation Split by BD"}</definedName>
    <definedName name="aaaaaaaaa" hidden="1">{#N/A,"PURCHM",FALSE,"Business Analysis";#N/A,"SPADD",FALSE,"Business Analysis"}</definedName>
    <definedName name="aaaaaaaaaaa" hidden="1">{#N/A,#N/A,FALSE,"REPORT"}</definedName>
    <definedName name="aaaaaaaaaaaaaaa" hidden="1">{#N/A,#N/A,FALSE,"Pharm";#N/A,#N/A,FALSE,"WWCM"}</definedName>
    <definedName name="aaaaaaaaaaaaaaaaa" hidden="1">{#N/A,"PURCHM",FALSE,"Business Analysis";#N/A,"SPADD",FALSE,"Business Analysis"}</definedName>
    <definedName name="aaaaaaaaaaaaaaaaaaaaaaaaaa" hidden="1">{"detail",#N/A,FALSE,"mfg";"summary",#N/A,FALSE,"mfg"}</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ass" hidden="1">{"detail",#N/A,FALSE,"mfg";"summary",#N/A,FALSE,"mfg"}</definedName>
    <definedName name="aaww" hidden="1">{"Polymers Details",#N/A,FALSE,"Current Yr";"Polymer Details",#N/A,FALSE,"Budget";"Polymer Details",#N/A,FALSE,"Prior Year"}</definedName>
    <definedName name="aax" hidden="1">{"detail",#N/A,FALSE,"mfg";"summary",#N/A,FALSE,"mfg"}</definedName>
    <definedName name="ab" hidden="1">{#N/A,#N/A,FALSE,"TB";#N/A,#N/A,FALSE,"DR";#N/A,#N/A,FALSE,"AR";#N/A,#N/A,FALSE,"PL";#N/A,#N/A,FALSE,"BS";#N/A,#N/A,FALSE,"NOTES";#N/A,#N/A,FALSE,"NOTES (2)";#N/A,#N/A,FALSE,"NOTES (3)";#N/A,#N/A,FALSE,"DPL";#N/A,#N/A,FALSE,"TAXC.INDEX";#N/A,#N/A,FALSE,"Schedule I";#N/A,#N/A,FALSE,"Adjustments"}</definedName>
    <definedName name="aba" hidden="1">#REF!</definedName>
    <definedName name="abc" hidden="1">{#N/A,#N/A,FALSE,"REPORT"}</definedName>
    <definedName name="abc0mq" hidden="1">{#N/A,"PURCHM",FALSE,"Business Analysis";#N/A,"SPADD",FALSE,"Business Analysis"}</definedName>
    <definedName name="abc0nks" hidden="1">{"detail",#N/A,FALSE,"mfg";"summary",#N/A,FALSE,"mfg"}</definedName>
    <definedName name="abc101a" hidden="1">{#N/A,"PURCHM",FALSE,"Business Analysis";#N/A,"SPADD",FALSE,"Business Analysis"}</definedName>
    <definedName name="abc109a" hidden="1">{"detail",#N/A,FALSE,"mfg";"summary",#N/A,FALSE,"mfg"}</definedName>
    <definedName name="abc11a" hidden="1">{"detail",#N/A,FALSE,"mfg";"summary",#N/A,FALSE,"mfg"}</definedName>
    <definedName name="abc11ab" hidden="1">{#N/A,"PURCHM",FALSE,"Business Analysis";#N/A,"SPADD",FALSE,"Business Analysis"}</definedName>
    <definedName name="abc12a" hidden="1">{"detail",#N/A,FALSE,"mfg";"summary",#N/A,FALSE,"mfg"}</definedName>
    <definedName name="abc13a" hidden="1">{"detail",#N/A,FALSE,"mfg";"summary",#N/A,FALSE,"mfg"}</definedName>
    <definedName name="abc14a" hidden="1">{"detail",#N/A,FALSE,"mfg";"summary",#N/A,FALSE,"mfg"}</definedName>
    <definedName name="abc1b" hidden="1">{#N/A,"PURCHM",FALSE,"Business Analysis";#N/A,"SPADD",FALSE,"Business Analysis"}</definedName>
    <definedName name="abc200a" hidden="1">{"detail",#N/A,FALSE,"mfg";"summary",#N/A,FALSE,"mfg"}</definedName>
    <definedName name="abc202a" hidden="1">{"detail",#N/A,FALSE,"mfg";"summary",#N/A,FALSE,"mfg"}</definedName>
    <definedName name="abc202b" hidden="1">{#N/A,"PURCHM",FALSE,"Business Analysis";#N/A,"SPADD",FALSE,"Business Analysis"}</definedName>
    <definedName name="abc213a" hidden="1">{"detail",#N/A,FALSE,"mfg";"summary",#N/A,FALSE,"mfg"}</definedName>
    <definedName name="abc2a" hidden="1">{"detail",#N/A,FALSE,"mfg";"summary",#N/A,FALSE,"mfg"}</definedName>
    <definedName name="abc312b" hidden="1">{"detail",#N/A,FALSE,"mfg";"summary",#N/A,FALSE,"mfg"}</definedName>
    <definedName name="abc31a" hidden="1">{"detail",#N/A,FALSE,"mfg";"summary",#N/A,FALSE,"mfg"}</definedName>
    <definedName name="abc32b" hidden="1">{"detail",#N/A,FALSE,"mfg";"summary",#N/A,FALSE,"mfg"}</definedName>
    <definedName name="abc35b" hidden="1">{"detail",#N/A,FALSE,"mfg";"summary",#N/A,FALSE,"mfg"}</definedName>
    <definedName name="abc36b" hidden="1">{"detail",#N/A,FALSE,"mfg";"summary",#N/A,FALSE,"mfg"}</definedName>
    <definedName name="abc37b" hidden="1">{"detail",#N/A,FALSE,"mfg";"summary",#N/A,FALSE,"mfg"}</definedName>
    <definedName name="abc38b" hidden="1">{"detail",#N/A,FALSE,"mfg";"summary",#N/A,FALSE,"mfg"}</definedName>
    <definedName name="abc41b" hidden="1">{"detail",#N/A,FALSE,"mfg";"summary",#N/A,FALSE,"mfg"}</definedName>
    <definedName name="abc42b" hidden="1">{"detail",#N/A,FALSE,"mfg";"summary",#N/A,FALSE,"mfg"}</definedName>
    <definedName name="abc51b" hidden="1">{"detail",#N/A,FALSE,"mfg";"summary",#N/A,FALSE,"mfg"}</definedName>
    <definedName name="abc61b" hidden="1">{"detail",#N/A,FALSE,"mfg";"summary",#N/A,FALSE,"mfg"}</definedName>
    <definedName name="abc67v" hidden="1">{#N/A,"PURCHM",FALSE,"Business Analysis";#N/A,"SPADD",FALSE,"Business Analysis"}</definedName>
    <definedName name="abc71b" hidden="1">{"detail",#N/A,FALSE,"mfg";"summary",#N/A,FALSE,"mfg"}</definedName>
    <definedName name="abc9bn" hidden="1">{"detail",#N/A,FALSE,"mfg";"summary",#N/A,FALSE,"mfg"}</definedName>
    <definedName name="abc9er" hidden="1">{"detail",#N/A,FALSE,"mfg";"summary",#N/A,FALSE,"mfg"}</definedName>
    <definedName name="abc9kn" hidden="1">{"detail",#N/A,FALSE,"mfg";"summary",#N/A,FALSE,"mfg"}</definedName>
    <definedName name="abca312" hidden="1">{"detail",#N/A,FALSE,"mfg";"summary",#N/A,FALSE,"mfg"}</definedName>
    <definedName name="abca312b" hidden="1">{"detail",#N/A,FALSE,"mfg";"summary",#N/A,FALSE,"mfg"}</definedName>
    <definedName name="abcd" hidden="1">{#N/A,"PURCHM",FALSE,"Business Analysis";#N/A,"SPADD",FALSE,"Business Analysis"}</definedName>
    <definedName name="abcd1" hidden="1">{#N/A,"PURCHM",FALSE,"Business Analysis";#N/A,"SPADD",FALSE,"Business Analysis"}</definedName>
    <definedName name="abcd10" hidden="1">{#N/A,"PURCHM",FALSE,"Business Analysis";#N/A,"SPADD",FALSE,"Business Analysis"}</definedName>
    <definedName name="abcd101" hidden="1">{#N/A,"PURCHM",FALSE,"Business Analysis";#N/A,"SPADD",FALSE,"Business Analysis"}</definedName>
    <definedName name="abcd10a" hidden="1">{#N/A,"PURCHM",FALSE,"Business Analysis";#N/A,"SPADD",FALSE,"Business Analysis"}</definedName>
    <definedName name="abcd11" hidden="1">{#N/A,"PURCHM",FALSE,"Business Analysis";#N/A,"SPADD",FALSE,"Business Analysis"}</definedName>
    <definedName name="abcd12" hidden="1">{#N/A,"PURCHM",FALSE,"Business Analysis";#N/A,"SPADD",FALSE,"Business Analysis"}</definedName>
    <definedName name="abcd12b" hidden="1">{#N/A,"PURCHM",FALSE,"Business Analysis";#N/A,"SPADD",FALSE,"Business Analysis"}</definedName>
    <definedName name="abcd2" hidden="1">{#N/A,"PURCHM",FALSE,"Business Analysis";#N/A,"SPADD",FALSE,"Business Analysis"}</definedName>
    <definedName name="abcd200" hidden="1">{#N/A,"PURCHM",FALSE,"Business Analysis";#N/A,"SPADD",FALSE,"Business Analysis"}</definedName>
    <definedName name="abcd200b" hidden="1">{#N/A,"PURCHM",FALSE,"Business Analysis";#N/A,"SPADD",FALSE,"Business Analysis"}</definedName>
    <definedName name="abcd202" hidden="1">{#N/A,"PURCHM",FALSE,"Business Analysis";#N/A,"SPADD",FALSE,"Business Analysis"}</definedName>
    <definedName name="abcd21" hidden="1">{#N/A,"PURCHM",FALSE,"Business Analysis";#N/A,"SPADD",FALSE,"Business Analysis"}</definedName>
    <definedName name="abcd212" hidden="1">{#N/A,"PURCHM",FALSE,"Business Analysis";#N/A,"SPADD",FALSE,"Business Analysis"}</definedName>
    <definedName name="abcd21225b" hidden="1">{#N/A,"PURCHM",FALSE,"Business Analysis";#N/A,"SPADD",FALSE,"Business Analysis"}</definedName>
    <definedName name="abcd212b" hidden="1">{#N/A,"PURCHM",FALSE,"Business Analysis";#N/A,"SPADD",FALSE,"Business Analysis"}</definedName>
    <definedName name="abcd213" hidden="1">{#N/A,"PURCHM",FALSE,"Business Analysis";#N/A,"SPADD",FALSE,"Business Analysis"}</definedName>
    <definedName name="abcd213b" hidden="1">{#N/A,"PURCHM",FALSE,"Business Analysis";#N/A,"SPADD",FALSE,"Business Analysis"}</definedName>
    <definedName name="abcd21kb" hidden="1">{#N/A,"PURCHM",FALSE,"Business Analysis";#N/A,"SPADD",FALSE,"Business Analysis"}</definedName>
    <definedName name="abcd254" hidden="1">{#N/A,"PURCHM",FALSE,"Business Analysis";#N/A,"SPADD",FALSE,"Business Analysis"}</definedName>
    <definedName name="abcd2ab" hidden="1">{#N/A,"PURCHM",FALSE,"Business Analysis";#N/A,"SPADD",FALSE,"Business Analysis"}</definedName>
    <definedName name="abcd312" hidden="1">{#N/A,"PURCHM",FALSE,"Business Analysis";#N/A,"SPADD",FALSE,"Business Analysis"}</definedName>
    <definedName name="abcd312bd" hidden="1">{#N/A,"PURCHM",FALSE,"Business Analysis";#N/A,"SPADD",FALSE,"Business Analysis"}</definedName>
    <definedName name="abcd32" hidden="1">{#N/A,"PURCHM",FALSE,"Business Analysis";#N/A,"SPADD",FALSE,"Business Analysis"}</definedName>
    <definedName name="abcd32b" hidden="1">{#N/A,"PURCHM",FALSE,"Business Analysis";#N/A,"SPADD",FALSE,"Business Analysis"}</definedName>
    <definedName name="abcd33" hidden="1">{"detail",#N/A,FALSE,"mfg";"summary",#N/A,FALSE,"mfg"}</definedName>
    <definedName name="abcd33b" hidden="1">{"detail",#N/A,FALSE,"mfg";"summary",#N/A,FALSE,"mfg"}</definedName>
    <definedName name="abcd34" hidden="1">{#N/A,"PURCHM",FALSE,"Business Analysis";#N/A,"SPADD",FALSE,"Business Analysis"}</definedName>
    <definedName name="abcd34b" hidden="1">{#N/A,"PURCHM",FALSE,"Business Analysis";#N/A,"SPADD",FALSE,"Business Analysis"}</definedName>
    <definedName name="abcd35" hidden="1">{#N/A,"PURCHM",FALSE,"Business Analysis";#N/A,"SPADD",FALSE,"Business Analysis"}</definedName>
    <definedName name="abcd35b" hidden="1">{#N/A,"PURCHM",FALSE,"Business Analysis";#N/A,"SPADD",FALSE,"Business Analysis"}</definedName>
    <definedName name="abcd36" hidden="1">{"detail",#N/A,FALSE,"mfg";"summary",#N/A,FALSE,"mfg"}</definedName>
    <definedName name="abcd36b" hidden="1">{"detail",#N/A,FALSE,"mfg";"summary",#N/A,FALSE,"mfg"}</definedName>
    <definedName name="abcd39" hidden="1">{#N/A,"PURCHM",FALSE,"Business Analysis";#N/A,"SPADD",FALSE,"Business Analysis"}</definedName>
    <definedName name="abcd39bd" hidden="1">{#N/A,"PURCHM",FALSE,"Business Analysis";#N/A,"SPADD",FALSE,"Business Analysis"}</definedName>
    <definedName name="ABCD41" hidden="1">{#N/A,"PURCHM",FALSE,"Business Analysis";#N/A,"SPADD",FALSE,"Business Analysis"}</definedName>
    <definedName name="abcd412" hidden="1">{#N/A,"PURCHM",FALSE,"Business Analysis";#N/A,"SPADD",FALSE,"Business Analysis"}</definedName>
    <definedName name="abcd412bd" hidden="1">{#N/A,"PURCHM",FALSE,"Business Analysis";#N/A,"SPADD",FALSE,"Business Analysis"}</definedName>
    <definedName name="abcd41bd" hidden="1">{#N/A,"PURCHM",FALSE,"Business Analysis";#N/A,"SPADD",FALSE,"Business Analysis"}</definedName>
    <definedName name="abcd42" hidden="1">{#N/A,"PURCHM",FALSE,"Business Analysis";#N/A,"SPADD",FALSE,"Business Analysis"}</definedName>
    <definedName name="abcd42bd" hidden="1">{#N/A,"PURCHM",FALSE,"Business Analysis";#N/A,"SPADD",FALSE,"Business Analysis"}</definedName>
    <definedName name="abcd45" hidden="1">{#N/A,"PURCHM",FALSE,"Business Analysis";#N/A,"SPADD",FALSE,"Business Analysis"}</definedName>
    <definedName name="abcd45bd" hidden="1">{#N/A,"PURCHM",FALSE,"Business Analysis";#N/A,"SPADD",FALSE,"Business Analysis"}</definedName>
    <definedName name="abcd50" hidden="1">{#N/A,"PURCHM",FALSE,"Business Analysis";#N/A,"SPADD",FALSE,"Business Analysis"}</definedName>
    <definedName name="abcd51" hidden="1">{#N/A,"PURCHM",FALSE,"Business Analysis";#N/A,"SPADD",FALSE,"Business Analysis"}</definedName>
    <definedName name="abcd51bd" hidden="1">{#N/A,"PURCHM",FALSE,"Business Analysis";#N/A,"SPADD",FALSE,"Business Analysis"}</definedName>
    <definedName name="abcd61" hidden="1">{#N/A,"PURCHM",FALSE,"Business Analysis";#N/A,"SPADD",FALSE,"Business Analysis"}</definedName>
    <definedName name="abcd61bd" hidden="1">{#N/A,"PURCHM",FALSE,"Business Analysis";#N/A,"SPADD",FALSE,"Business Analysis"}</definedName>
    <definedName name="abcd71" hidden="1">{#N/A,"PURCHM",FALSE,"Business Analysis";#N/A,"SPADD",FALSE,"Business Analysis"}</definedName>
    <definedName name="abcd71bd" hidden="1">{#N/A,"PURCHM",FALSE,"Business Analysis";#N/A,"SPADD",FALSE,"Business Analysis"}</definedName>
    <definedName name="abcd90" hidden="1">{#N/A,"PURCHM",FALSE,"Business Analysis";#N/A,"SPADD",FALSE,"Business Analysis"}</definedName>
    <definedName name="abcd98b" hidden="1">{#N/A,"PURCHM",FALSE,"Business Analysis";#N/A,"SPADD",FALSE,"Business Analysis"}</definedName>
    <definedName name="abcda" hidden="1">{#N/A,"PURCHM",FALSE,"Business Analysis";#N/A,"SPADD",FALSE,"Business Analysis"}</definedName>
    <definedName name="abcda101" hidden="1">{#N/A,"PURCHM",FALSE,"Business Analysis";#N/A,"SPADD",FALSE,"Business Analysis"}</definedName>
    <definedName name="abcde" hidden="1">{#N/A,#N/A,FALSE,"Title Page";#N/A,#N/A,FALSE,"Conclusions";#N/A,#N/A,FALSE,"Assum.";#N/A,#N/A,FALSE,"Sun  DCF-WC-Dep";#N/A,#N/A,FALSE,"MarketValue";#N/A,#N/A,FALSE,"BalSheet";#N/A,#N/A,FALSE,"WACC";#N/A,#N/A,FALSE,"PC+ Info.";#N/A,#N/A,FALSE,"PC+Info_2"}</definedName>
    <definedName name="abcdmibh" hidden="1">{#N/A,"PURCHM",FALSE,"Business Analysis";#N/A,"SPADD",FALSE,"Business Analysis"}</definedName>
    <definedName name="abcdv102" hidden="1">{#N/A,"PURCHM",FALSE,"Business Analysis";#N/A,"SPADD",FALSE,"Business Analysis"}</definedName>
    <definedName name="abcdv102d" hidden="1">{#N/A,"PURCHM",FALSE,"Business Analysis";#N/A,"SPADD",FALSE,"Business Analysis"}</definedName>
    <definedName name="abci9" hidden="1">{#N/A,"PURCHM",FALSE,"Business Analysis";#N/A,"SPADD",FALSE,"Business Analysis"}</definedName>
    <definedName name="abci92" hidden="1">{#N/A,"PURCHM",FALSE,"Business Analysis";#N/A,"SPADD",FALSE,"Business Analysis"}</definedName>
    <definedName name="abcj9i" hidden="1">{"detail",#N/A,FALSE,"mfg";"summary",#N/A,FALSE,"mfg"}</definedName>
    <definedName name="abckg" hidden="1">{#N/A,"PURCHM",FALSE,"Business Analysis";#N/A,"SPADD",FALSE,"Business Analysis"}</definedName>
    <definedName name="abcklg" hidden="1">{"detail",#N/A,FALSE,"mfg";"summary",#N/A,FALSE,"mfg"}</definedName>
    <definedName name="abcl96\" hidden="1">{#N/A,"PURCHM",FALSE,"Business Analysis";#N/A,"SPADD",FALSE,"Business Analysis"}</definedName>
    <definedName name="abclkj" hidden="1">{"detail",#N/A,FALSE,"mfg";"summary",#N/A,FALSE,"mfg"}</definedName>
    <definedName name="abclxs" hidden="1">{"detail",#N/A,FALSE,"mfg";"summary",#N/A,FALSE,"mfg"}</definedName>
    <definedName name="abcoi" hidden="1">{"detail",#N/A,FALSE,"mfg";"summary",#N/A,FALSE,"mfg"}</definedName>
    <definedName name="abcois" hidden="1">{"detail",#N/A,FALSE,"mfg";"summary",#N/A,FALSE,"mfg"}</definedName>
    <definedName name="abji" hidden="1">{#N/A,"PURCHM",FALSE,"Business Analysis";#N/A,"SPADD",FALSE,"Business Analysis"}</definedName>
    <definedName name="abki9" hidden="1">{#N/A,"PURCHM",FALSE,"Business Analysis";#N/A,"SPADD",FALSE,"Business Analysis"}</definedName>
    <definedName name="ablo5" hidden="1">{#N/A,"PURCHM",FALSE,"Business Analysis";#N/A,"SPADD",FALSE,"Business Analysis"}</definedName>
    <definedName name="abrff" hidden="1">{"werbung",#N/A,FALSE,"GuV9900-0399";"betrieb",#N/A,FALSE,"GuV9900-0399";"personal",#N/A,FALSE,"GuV9900-0399";"tvg",#N/A,FALSE,"GuV9900-0399";"verwaltung",#N/A,FALSE,"GuV9900-0399"}</definedName>
    <definedName name="absorp" hidden="1">{#N/A,#N/A,FALSE,"AHF"}</definedName>
    <definedName name="ac" hidden="1">{#N/A,"PURCHM",FALSE,"Business Analysis";#N/A,"SPADD",FALSE,"Business Analysis"}</definedName>
    <definedName name="acac" hidden="1">{0,0,0,0;0,0,0,0;0,0,0,0;0,0,0,0;0,0,0,0}</definedName>
    <definedName name="ACBU" hidden="1">{#N/A,#N/A,FALSE,"00 P&amp;L vs 99"}</definedName>
    <definedName name="acc" hidden="1">{"'comite'!$A$9:$G$44","'comite'!$A$1:$G$6"}</definedName>
    <definedName name="Access_Button" hidden="1">"REPIMSF_HTA_Market_List"</definedName>
    <definedName name="Access_Button1" hidden="1">"Headcount_Workbook_Schedules_List"</definedName>
    <definedName name="AccessDatabase" hidden="1">"C:\FAME\famework\elyval.mdb"</definedName>
    <definedName name="accs" hidden="1">{"detail",#N/A,FALSE,"mfg";"summary",#N/A,FALSE,"mfg"}</definedName>
    <definedName name="acctNoCol" hidden="1">#REF!</definedName>
    <definedName name="acctSegCol" hidden="1">#REF!</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wvu.ce_storici." hidden="1">#REF!</definedName>
    <definedName name="ACwvu.dd." hidden="1">#REF!</definedName>
    <definedName name="ad" hidden="1">{#N/A,#N/A,FALSE,"TB";#N/A,#N/A,FALSE,"AR";#N/A,#N/A,FALSE,"BS";#N/A,#N/A,FALSE,"PL";#N/A,#N/A,FALSE,"NOTES";#N/A,#N/A,FALSE,"NOTES (2)";#N/A,#N/A,FALSE,"NOTES (3)";#N/A,#N/A,FALSE,"TAXC.INDEX";#N/A,#N/A,FALSE,"Schedule I";#N/A,#N/A,FALSE,"DPL";#N/A,#N/A,FALSE,"Schedule IV";#N/A,#N/A,FALSE,"Adjustments"}</definedName>
    <definedName name="ada" hidden="1">{#N/A,#N/A,FALSE,"3";#N/A,#N/A,FALSE,"5";#N/A,#N/A,FALSE,"6";#N/A,#N/A,FALSE,"8";#N/A,#N/A,FALSE,"10";#N/A,#N/A,FALSE,"13";#N/A,#N/A,FALSE,"14";#N/A,#N/A,FALSE,"15";#N/A,#N/A,FALSE,"16"}</definedName>
    <definedName name="adaf"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asd" hidden="1">{#N/A,#N/A,FALSE,"KA CH  (2)"}</definedName>
    <definedName name="adc" hidden="1">{#N/A,"PURCHM",FALSE,"Business Analysis";#N/A,"SPADD",FALSE,"Business Analysis"}</definedName>
    <definedName name="adcd" hidden="1">{#N/A,#N/A,FALSE,"Sheet8";#N/A,#N/A,FALSE,"Sheet7"}</definedName>
    <definedName name="addb" hidden="1">{#N/A,#N/A,FALSE,"CBE";#N/A,#N/A,FALSE,"SWK"}</definedName>
    <definedName name="addg" hidden="1">{#N/A,#N/A,FALSE,"CBE";#N/A,#N/A,FALSE,"SWK"}</definedName>
    <definedName name="ade" hidden="1">{#N/A,#N/A,FALSE,"Historical";#N/A,#N/A,FALSE,"EPS-Purchase";#N/A,#N/A,FALSE,"EPS-Pool";#N/A,#N/A,FALSE,"DCF";"Market Share",#N/A,FALSE,"Revenue";"Revenue",#N/A,FALSE,"Revenue"}</definedName>
    <definedName name="ADETRUIRE" hidden="1">{#N/A,#N/A,TRUE,"Forecast &amp; Analysis";#N/A,#N/A,TRUE,"Market Values";#N/A,#N/A,TRUE,"Ratios";#N/A,#N/A,TRUE,"Regressions";#N/A,#N/A,TRUE,"Market Values";#N/A,#N/A,TRUE,"Parameters &amp; Results"}</definedName>
    <definedName name="adf" hidden="1">{#N/A,#N/A,FALSE,"CHANGES";#N/A,#N/A,FALSE,"PROD SUMMARY";#N/A,#N/A,FALSE,"1995 PO SUM";#N/A,#N/A,FALSE,"1995 GEOG SUM";#N/A,#N/A,FALSE,"1996 PO SUM";#N/A,#N/A,FALSE,"1996 GEOG SUM"}</definedName>
    <definedName name="adfaf" hidden="1">{"Merger Output",#N/A,FALSE,"Summary_Output";"Flowback Assesment dollars",#N/A,FALSE,"FLow";"Flowback assesment percent",#N/A,FALSE,"FLow";"Impact to Rubik Price",#N/A,FALSE,"FLow"}</definedName>
    <definedName name="adfd" hidden="1">{"sales growth",#N/A,FALSE,"summary";"oper income",#N/A,FALSE,"summary";"oros rank",#N/A,FALSE,"summary";"net assets",#N/A,FALSE,"summary";"asset turnover",#N/A,FALSE,"summary";"orona",#N/A,FALSE,"summary"}</definedName>
    <definedName name="adff" hidden="1">{"werbung",#N/A,FALSE,"GuV9900-0399";"betrieb",#N/A,FALSE,"GuV9900-0399";"personal",#N/A,FALSE,"GuV9900-0399";"tvg",#N/A,FALSE,"GuV9900-0399";"verwaltung",#N/A,FALSE,"GuV9900-0399"}</definedName>
    <definedName name="adfg" hidden="1">{"Units A",#N/A,FALSE,"FY95SLS";"Units B",#N/A,FALSE,"FY95SLS"}</definedName>
    <definedName name="adfgadag" hidden="1">{#N/A,#N/A,FALSE,"Calc";#N/A,#N/A,FALSE,"Sensitivity";#N/A,#N/A,FALSE,"LT Earn.Dil.";#N/A,#N/A,FALSE,"Dil. AVP"}</definedName>
    <definedName name="adfgadfb" hidden="1">{"Units A",#N/A,FALSE,"FY95SLS";"Units B",#N/A,FALSE,"FY95SLS"}</definedName>
    <definedName name="adfgadg" hidden="1">{"comps",#N/A,FALSE,"HANDPACK";"footnotes",#N/A,FALSE,"HANDPACK"}</definedName>
    <definedName name="adfgadga" hidden="1">{#N/A,#N/A,FALSE,"Calc";#N/A,#N/A,FALSE,"Sensitivity";#N/A,#N/A,FALSE,"LT Earn.Dil.";#N/A,#N/A,FALSE,"Dil. AVP"}</definedName>
    <definedName name="adfgadgadg" hidden="1">{"assumption 50 50",#N/A,TRUE,"Merger";"has gets cash",#N/A,TRUE,"Merger";"accretion dilution",#N/A,TRUE,"Merger";"comparison credit stats",#N/A,TRUE,"Merger";"pf credit stats",#N/A,TRUE,"Merger";"pf sheets",#N/A,TRUE,"Merger"}</definedName>
    <definedName name="adfgaer" hidden="1">{"Units A",#N/A,FALSE,"FY95SLS";"Units B",#N/A,FALSE,"FY95SLS"}</definedName>
    <definedName name="adfgasdysty" hidden="1">{#N/A,#N/A,FALSE,"REPORT"}</definedName>
    <definedName name="adfgdag" hidden="1">{#N/A,#N/A,TRUE,"Pro Forma";#N/A,#N/A,TRUE,"PF_Bal";#N/A,#N/A,TRUE,"PF_INC";#N/A,#N/A,TRUE,"CBE";#N/A,#N/A,TRUE,"SWK"}</definedName>
    <definedName name="adfgdgdag" hidden="1">{"equity comps",#N/A,FALSE,"CS Comps";"equity comps",#N/A,FALSE,"PS Comps";"equity comps",#N/A,FALSE,"GIC_Comps";"equity comps",#N/A,FALSE,"GIC2_Comps";"debt comps",#N/A,FALSE,"CS Comps";"debt comps",#N/A,FALSE,"PS Comps";"debt comps",#N/A,FALSE,"GIC_Comps";"debt comps",#N/A,FALSE,"GIC2_Comps"}</definedName>
    <definedName name="adfgfg" hidden="1">{#N/A,#N/A,FALSE,"Calc";#N/A,#N/A,FALSE,"Sensitivity";#N/A,#N/A,FALSE,"LT Earn.Dil.";#N/A,#N/A,FALSE,"Dil. AVP"}</definedName>
    <definedName name="adfnhdfa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adfsdf" hidden="1">{"Units A",#N/A,FALSE,"FY95SLS";"Units B",#N/A,FALSE,"FY95SLS"}</definedName>
    <definedName name="adfsfjfjky" hidden="1">{#N/A,#N/A,FALSE,"REPORT"}</definedName>
    <definedName name="adg" hidden="1">{"'Sheet1'!$A$1:$O$40"}</definedName>
    <definedName name="adgfgd" hidden="1">{"detail",#N/A,FALSE,"mfg";"summary",#N/A,FALSE,"mfg"}</definedName>
    <definedName name="adjusted" hidden="1">#N/A</definedName>
    <definedName name="adnfadfnhf" hidden="1">{"Units A",#N/A,FALSE,"FY95SLS";"Units B",#N/A,FALSE,"FY95SLS"}</definedName>
    <definedName name="ads" hidden="1">{"detail",#N/A,FALSE,"mfg";"summary",#N/A,FALSE,"mfg"}</definedName>
    <definedName name="adsa" hidden="1">{"Units A",#N/A,FALSE,"FY95SLS";"Units B",#N/A,FALSE,"FY95SLS"}</definedName>
    <definedName name="adsadas" hidden="1">{"Pound Sterling",#N/A,TRUE,"PPD";"Pound Sterling",#N/A,TRUE,"Anaquest";"Pound Sterling",#N/A,TRUE,"Delta";"Pound Sterling",#N/A,TRUE,"INO"}</definedName>
    <definedName name="adsf" hidden="1">{"QTD",#N/A,FALSE,"SUM"}</definedName>
    <definedName name="adsf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dsf" hidden="1">{"fis.dbo.r1_datasum"}</definedName>
    <definedName name="adsfgds" hidden="1">{#N/A,#N/A,FALSE,"Umsatz CH";#N/A,#N/A,FALSE,"ER CH";#N/A,#N/A,FALSE,"EA CH (2) ";#N/A,#N/A,FALSE,"EA CH";#N/A,#N/A,FALSE,"EA CH (3) ";#N/A,#N/A,FALSE,"EA CH (4)";#N/A,#N/A,FALSE,"KA CH";#N/A,#N/A,FALSE,"KA CH  (2)";#N/A,#N/A,FALSE,"KA CH  (3)";#N/A,#N/A,FALSE,"KA CH (4)"}</definedName>
    <definedName name="ae" hidden="1">{"'Inventory &amp; Anal-Cur Wkbk'!$A$7:$AP$71"}</definedName>
    <definedName name="aefaef" hidden="1">{"werbung",#N/A,FALSE,"GuV9900-0399";"betrieb",#N/A,FALSE,"GuV9900-0399";"personal",#N/A,FALSE,"GuV9900-0399";"tvg",#N/A,FALSE,"GuV9900-0399";"verwaltung",#N/A,FALSE,"GuV9900-0399"}</definedName>
    <definedName name="aefe" hidden="1">{"Pound Sterling",#N/A,TRUE,"PPD";"Pound Sterling",#N/A,TRUE,"Anaquest";"Pound Sterling",#N/A,TRUE,"Delta";"Pound Sterling",#N/A,TRUE,"INO"}</definedName>
    <definedName name="aegse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aem" hidden="1">{#N/A,#N/A,TRUE,"AHFSTEP"}</definedName>
    <definedName name="aeot" hidden="1">{#N/A,#N/A,FALSE,"TB";#N/A,#N/A,FALSE,"AR";#N/A,#N/A,FALSE,"BS";#N/A,#N/A,FALSE,"PL";#N/A,#N/A,FALSE,"NOTES";#N/A,#N/A,FALSE,"NOTES (2)";#N/A,#N/A,FALSE,"NOTES (3)";#N/A,#N/A,FALSE,"TAXC.INDEX";#N/A,#N/A,FALSE,"Schedule I";#N/A,#N/A,FALSE,"DPL";#N/A,#N/A,FALSE,"Schedule IV";#N/A,#N/A,FALSE,"Adjustments"}</definedName>
    <definedName name="aer" hidden="1">{"werbung",#N/A,FALSE,"GuV9900-0399";"betrieb",#N/A,FALSE,"GuV9900-0399";"personal",#N/A,FALSE,"GuV9900-0399";"tvg",#N/A,FALSE,"GuV9900-0399";"verwaltung",#N/A,FALSE,"GuV9900-0399"}</definedName>
    <definedName name="aergea" hidden="1">{"assumption 50 50",#N/A,TRUE,"Merger";"has gets cash",#N/A,TRUE,"Merger";"accretion dilution",#N/A,TRUE,"Merger";"comparison credit stats",#N/A,TRUE,"Merger";"pf credit stats",#N/A,TRUE,"Merger";"pf sheets",#N/A,TRUE,"Merger"}</definedName>
    <definedName name="aerhh" hidden="1">{"Units A",#N/A,FALSE,"FY95SLS";"Units B",#N/A,FALSE,"FY95SLS"}</definedName>
    <definedName name="aerqeyqer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aertareygq" hidden="1">{"Pound Sterling",#N/A,TRUE,"PPD";"Pound Sterling",#N/A,TRUE,"Anaquest";"Pound Sterling",#N/A,TRUE,"Delta";"Pound Sterling",#N/A,TRUE,"INO"}</definedName>
    <definedName name="aesdf" hidden="1">main.sapf4help()</definedName>
    <definedName name="aew" hidden="1">{#N/A,"PURCHM",FALSE,"Business Analysis";#N/A,"SPADD",FALSE,"Business Analysis"}</definedName>
    <definedName name="aezeazez" hidden="1">{#VALUE!,#N/A,FALSE,0;#N/A,#N/A,FALSE,0;#N/A,#N/A,FALSE,0;#N/A,#N/A,FALSE,0;#N/A,#N/A,FALSE,0;#N/A,#N/A,FALSE,0;#N/A,#N/A,FALSE,0;#N/A,#N/A,FALSE,0;#N/A,#N/A,FALSE,0}</definedName>
    <definedName name="af" hidden="1">{#N/A,#N/A,FALSE,"TAXC.INDEX";#N/A,#N/A,FALSE,"Schedule I";#N/A,#N/A,FALSE,"Schedule  II";#N/A,#N/A,FALSE,"Schedule III"}</definedName>
    <definedName name="afa" hidden="1">{"Units A",#N/A,FALSE,"FY95SLS";"Units B",#N/A,FALSE,"FY95SLS"}</definedName>
    <definedName name="AFAFASF" hidden="1">{#N/A,#N/A,FALSE,"00 P&amp;L vs 99"}</definedName>
    <definedName name="afag" hidden="1">{"werbung",#N/A,FALSE,"GuV9900-0399";"betrieb",#N/A,FALSE,"GuV9900-0399";"personal",#N/A,FALSE,"GuV9900-0399";"tvg",#N/A,FALSE,"GuV9900-0399";"verwaltung",#N/A,FALSE,"GuV9900-0399"}</definedName>
    <definedName name="afasf" hidden="1">{#N/A,#N/A,FALSE,"3";#N/A,#N/A,FALSE,"5";#N/A,#N/A,FALSE,"6";#N/A,#N/A,FALSE,"8";#N/A,#N/A,FALSE,"10";#N/A,#N/A,FALSE,"13";#N/A,#N/A,FALSE,"14";#N/A,#N/A,FALSE,"15";#N/A,#N/A,FALSE,"16"}</definedName>
    <definedName name="afc" hidden="1">{"detail",#N/A,FALSE,"mfg";"summary",#N/A,FALSE,"mfg"}</definedName>
    <definedName name="afda" hidden="1">{"Merger Output",#N/A,FALSE,"Summary_Output";"Flowback Assesment dollars",#N/A,FALSE,"FLow";"Flowback assesment percent",#N/A,FALSE,"FLow";"Impact to Rubik Price",#N/A,FALSE,"FLow"}</definedName>
    <definedName name="afdadg" hidden="1">{"comp1",#N/A,FALSE,"COMPS";"footnotes",#N/A,FALSE,"COMPS"}</definedName>
    <definedName name="AFDADSFDAS" hidden="1">{#N/A,#N/A,FALSE,"REPORT"}</definedName>
    <definedName name="afdf" hidden="1">{"Standard",#N/A,FALSE,"Lab H Inc Stmt";"Standard",#N/A,FALSE,"Lab H Bal Sht";"Standard",#N/A,FALSE,"Lab H CFs";"Standard",#N/A,FALSE,"Lab P Inc Stmt";"Standard",#N/A,FALSE,"Lab P CFs Base";"Standard",#N/A,FALSE,"Lab DCF Base";"Standard",#N/A,FALSE,"DCF Sum"}</definedName>
    <definedName name="afdgafdga" hidden="1">{"away stand alones",#N/A,FALSE,"Target"}</definedName>
    <definedName name="afdgafg" hidden="1">{#N/A,#N/A,FALSE,"output";#N/A,#N/A,FALSE,"contrib";#N/A,#N/A,FALSE,"profile";#N/A,#N/A,FALSE,"comps"}</definedName>
    <definedName name="afds" hidden="1">{"YTD",#N/A,FALSE,"SUM"}</definedName>
    <definedName name="afer" hidden="1">{"standalone1",#N/A,FALSE,"DCFBase";"standalone2",#N/A,FALSE,"DCFBase"}</definedName>
    <definedName name="afga" hidden="1">{#N/A,#N/A,FALSE,"Calc";#N/A,#N/A,FALSE,"Sensitivity";#N/A,#N/A,FALSE,"LT Earn.Dil.";#N/A,#N/A,FALSE,"Dil. AVP"}</definedName>
    <definedName name="afgadfg" hidden="1">{#N/A,#N/A,FALSE,"Calc";#N/A,#N/A,FALSE,"Sensitivity";#N/A,#N/A,FALSE,"LT Earn.Dil.";#N/A,#N/A,FALSE,"Dil. AVP"}</definedName>
    <definedName name="afgafgadfgf" hidden="1">{#N/A,#N/A,FALSE,"Calc";#N/A,#N/A,FALSE,"Sensitivity";#N/A,#N/A,FALSE,"LT Earn.Dil.";#N/A,#N/A,FALSE,"Dil. AVP"}</definedName>
    <definedName name="afgeag" hidden="1">{#N/A,#N/A,FALSE,"Calc";#N/A,#N/A,FALSE,"Sensitivity";#N/A,#N/A,FALSE,"LT Earn.Dil.";#N/A,#N/A,FALSE,"Dil. AVP"}</definedName>
    <definedName name="afggf" hidden="1">{#N/A,#N/A,FALSE,"CBE";#N/A,#N/A,FALSE,"SWK"}</definedName>
    <definedName name="AFGH" hidden="1">{#N/A,#N/A,FALSE,"SUMMARY"}</definedName>
    <definedName name="afñh" hidden="1">{"CAP VOL",#N/A,FALSE,"CAPITAL";"CAP VAR",#N/A,FALSE,"CAPITAL";"CAP FIJ",#N/A,FALSE,"CAPITAL";"CAP CONS",#N/A,FALSE,"CAPITAL";"CAP DATA",#N/A,FALSE,"CAPITAL"}</definedName>
    <definedName name="africa" hidden="1">{#N/A,#N/A,FALSE,"CNS";#N/A,#N/A,FALSE,"Serz";#N/A,#N/A,FALSE,"Ace"}</definedName>
    <definedName name="afskr_soft">#REF!</definedName>
    <definedName name="ag" hidden="1">{"detail",#N/A,FALSE,"mfg";"summary",#N/A,FALSE,"mfg"}</definedName>
    <definedName name="ag4h" hidden="1">{"werbung",#N/A,FALSE,"GuV9900-0399";"betrieb",#N/A,FALSE,"GuV9900-0399";"personal",#N/A,FALSE,"GuV9900-0399";"tvg",#N/A,FALSE,"GuV9900-0399";"verwaltung",#N/A,FALSE,"GuV9900-0399"}</definedName>
    <definedName name="aga" hidden="1">{#N/A,#N/A,FALSE,"Calc";#N/A,#N/A,FALSE,"Sensitivity";#N/A,#N/A,FALSE,"LT Earn.Dil.";#N/A,#N/A,FALSE,"Dil. AVP"}</definedName>
    <definedName name="agaerger" hidden="1">{"Pound Sterling",#N/A,TRUE,"PPD";"Pound Sterling",#N/A,TRUE,"Anaquest";"Pound Sterling",#N/A,TRUE,"Delta";"Pound Sterling",#N/A,TRUE,"INO"}</definedName>
    <definedName name="agafdhsdh" hidden="1">{#N/A,#N/A,FALSE,"REPORT"}</definedName>
    <definedName name="agasdfr" hidden="1">{#N/A,#N/A,FALSE,"DIR-REP";#N/A,#N/A,FALSE,"AUD-REPORT";#N/A,#N/A,FALSE,"P7L&amp;BS";#N/A,#N/A,FALSE,"NOTES";#N/A,#N/A,FALSE,"FA";#N/A,#N/A,FALSE,"NOTES (2)";#N/A,#N/A,FALSE,"Schedule  IV";#N/A,#N/A,FALSE,"Schedule V"}</definedName>
    <definedName name="agcd22" hidden="1">{#N/A,"PURCHM",FALSE,"Business Analysis";#N/A,"SPADD",FALSE,"Business Analysis"}</definedName>
    <definedName name="agcd22bd" hidden="1">{#N/A,"PURCHM",FALSE,"Business Analysis";#N/A,"SPADD",FALSE,"Business Analysis"}</definedName>
    <definedName name="agdg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Agenda" hidden="1">{"Sum WW A",#N/A,FALSE,"FY95SLS";"Sum WW B",#N/A,FALSE,"FY95SLS";"Sum US A",#N/A,FALSE,"FY95SLS";"Sum US B",#N/A,FALSE,"FY95SLS";"Sum US Bocg",#N/A,FALSE,"FY95SLS";"Sum Can A",#N/A,FALSE,"FY95SLS";"Sum Can B",#N/A,FALSE,"FY95SLS";"Sum Europe",#N/A,FALSE,"FY95SLS";"Sum Row",#N/A,FALSE,"FY95SLS"}</definedName>
    <definedName name="agfdg" hidden="1">{#N/A,#N/A,FALSE,"PMW Gruppe 99_98";#N/A,#N/A,FALSE,"PMW KG 98_99";#N/A,#N/A,FALSE,"PMW Inc. 99_98";#N/A,#N/A,FALSE,"PMW VTECH 99_98";#N/A,#N/A,FALSE,"PMW Thail. 99_98";#N/A,#N/A,FALSE,"PMW Canada 99_98";#N/A,#N/A,FALSE,"Währungsabw. 99_98"}</definedName>
    <definedName name="agfsd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agseg" hidden="1">{"Units A",#N/A,FALSE,"FY95SLS";"Units B",#N/A,FALSE,"FY95SLS"}</definedName>
    <definedName name="agsgaghgfj" hidden="1">{#N/A,#N/A,FALSE,"Pharm";#N/A,#N/A,FALSE,"WWCM"}</definedName>
    <definedName name="ah" hidden="1">{"detail",#N/A,FALSE,"mfg";"summary",#N/A,FALSE,"mfg"}</definedName>
    <definedName name="ahfhasdg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ahre" hidden="1">{"Pound Sterling",#N/A,TRUE,"PPD";"Pound Sterling",#N/A,TRUE,"Anaquest";"Pound Sterling",#N/A,TRUE,"Delta";"Pound Sterling",#N/A,TRUE,"INO"}</definedName>
    <definedName name="ahrh" hidden="1">{"Sum WW A",#N/A,FALSE,"FY95SLS";"Sum WW B",#N/A,FALSE,"FY95SLS";"Sum US A",#N/A,FALSE,"FY95SLS";"Sum US B",#N/A,FALSE,"FY95SLS";"Sum US Bocg",#N/A,FALSE,"FY95SLS";"Sum Can A",#N/A,FALSE,"FY95SLS";"Sum Can B",#N/A,FALSE,"FY95SLS";"Sum Europe",#N/A,FALSE,"FY95SLS";"Sum Row",#N/A,FALSE,"FY95SLS"}</definedName>
    <definedName name="AIP" hidden="1">{#N/A,#N/A,FALSE,"Presentation by Unit";#N/A,#N/A,FALSE,"Presentation by BD";#N/A,#N/A,FALSE,"Presentation Split by Biggest U";#N/A,#N/A,FALSE,"Presentation Split by Area";#N/A,#N/A,FALSE,"Presentation Split by BD"}</definedName>
    <definedName name="aj" hidden="1">{"detail",#N/A,FALSE,"mfg";"summary",#N/A,FALSE,"mfg"}</definedName>
    <definedName name="Ajax" hidden="1">{#N/A,#N/A,TRUE,"Pro Forma";#N/A,#N/A,TRUE,"PF_Bal";#N/A,#N/A,TRUE,"PF_INC";#N/A,#N/A,TRUE,"CBE";#N/A,#N/A,TRUE,"SWK"}</definedName>
    <definedName name="ajbo" hidden="1">{#N/A,#N/A,FALSE,"TB";#N/A,#N/A,FALSE,"AR";#N/A,#N/A,FALSE,"BS";#N/A,#N/A,FALSE,"PL";#N/A,#N/A,FALSE,"NOTES";#N/A,#N/A,FALSE,"NOTES (2)";#N/A,#N/A,FALSE,"NOTES (3)";#N/A,#N/A,FALSE,"TAXC.INDEX";#N/A,#N/A,FALSE,"Schedule I";#N/A,#N/A,FALSE,"DPL";#N/A,#N/A,FALSE,"Schedule IV";#N/A,#N/A,FALSE,"Adjustments"}</definedName>
    <definedName name="ajdja" hidden="1">"c269"</definedName>
    <definedName name="ajs" hidden="1">{#N/A,#N/A,FALSE,"DIR-REP";#N/A,#N/A,FALSE,"AUD-REPORT";#N/A,#N/A,FALSE,"P7L&amp;BS";#N/A,#N/A,FALSE,"NOTES";#N/A,#N/A,FALSE,"FA";#N/A,#N/A,FALSE,"NOTES (2)";#N/A,#N/A,FALSE,"Schedule  IV";#N/A,#N/A,FALSE,"Schedule V"}</definedName>
    <definedName name="ajseo" hidden="1">{#N/A,#N/A,FALSE,"CONTENTS";#N/A,#N/A,FALSE,"DR";#N/A,#N/A,FALSE,"PL";#N/A,#N/A,FALSE,"BS";#N/A,#N/A,FALSE,"Cash Flow";#N/A,#N/A,FALSE,"NOTES";#N/A,#N/A,FALSE,"NOTES (FA)";#N/A,#N/A,FALSE,"Notes(3)";#N/A,#N/A,FALSE,"NOTES (4)";#N/A,#N/A,FALSE,"DP&amp;L";#N/A,#N/A,FALSE,"EXPENSES";#N/A,#N/A,FALSE,"EXPENSES-1"}</definedName>
    <definedName name="ale"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alex" hidden="1">{#N/A,#N/A,FALSE,"REPORT"}</definedName>
    <definedName name="alexan" hidden="1">{#N/A,#N/A,FALSE,"REPORT"}</definedName>
    <definedName name="alexssss" hidden="1">#REF!</definedName>
    <definedName name="älll" hidden="1">{#N/A,#N/A,FALSE,"Produkte Erw.";#N/A,#N/A,FALSE,"Produkte Plan";#N/A,#N/A,FALSE,"Leistungen Erw.";#N/A,#N/A,FALSE,"Leistungen Plan";#N/A,#N/A,FALSE,"KA Allg.Kosten (2)";#N/A,#N/A,FALSE,"KA All.Kosten"}</definedName>
    <definedName name="alpha" hidden="1">{#N/A,#N/A,FALSE,"CHANGES";#N/A,#N/A,FALSE,"PROD SUMMARY";#N/A,#N/A,FALSE,"1995 PO SUM";#N/A,#N/A,FALSE,"1995 GEOG SUM";#N/A,#N/A,FALSE,"1996 PO SUM";#N/A,#N/A,FALSE,"1996 GEOG SUM"}</definedName>
    <definedName name="añ" hidden="1">{"Performance Details",#N/A,FALSE,"Current Yr";"Performance Details",#N/A,FALSE,"Budget";"Performance Details",#N/A,FALSE,"Prior Year"}</definedName>
    <definedName name="ana" hidden="1">#REF!</definedName>
    <definedName name="anabel" hidden="1">{#N/A,#N/A,FALSE,"Eastern";#N/A,#N/A,FALSE,"Western"}</definedName>
    <definedName name="anacarre0" hidden="1">#REF!</definedName>
    <definedName name="anacarreta" hidden="1">#REF!</definedName>
    <definedName name="analysis" hidden="1">{"OEE OAP",#N/A,FALSE,"oap";"OEE APAP",#N/A,FALSE,"apap";"OEE nitros",#N/A,FALSE,"nitros"}</definedName>
    <definedName name="ancusto" hidden="1">{#N/A,#N/A,TRUE,"Resumo";#N/A,#N/A,TRUE,"iNDICES";#N/A,#N/A,TRUE,"TOT_MI";#N/A,#N/A,TRUE,"COT";#N/A,#N/A,TRUE,"LIM";#N/A,#N/A,TRUE,"SIF";#N/A,#N/A,TRUE,"RIO";#N/A,#N/A,TRUE,"MESA";#N/A,#N/A,TRUE,"POA_EST_MTN_SLP";#N/A,#N/A,TRUE,"PEL";#N/A,#N/A,TRUE,"PSF";#N/A,#N/A,TRUE,"CXS";#N/A,#N/A,TRUE,"CAA";#N/A,#N/A,TRUE,"REC";#N/A,#N/A,TRUE,"BRA";#N/A,#N/A,TRUE,"ANA";#N/A,#N/A,TRUE,"TOT ME";#N/A,#N/A,TRUE,"TOT"}</definedName>
    <definedName name="ando" hidden="1">{"'下期集計（10.27迄・速報値）'!$Q$16"}</definedName>
    <definedName name="andy" hidden="1">{#N/A,#N/A,FALSE,"REPORT"}</definedName>
    <definedName name="anise" hidden="1">{"charmin",#N/A,FALSE,"FMAM II"}</definedName>
    <definedName name="anise2" hidden="1">{"charmin",#N/A,FALSE,"FMAM II"}</definedName>
    <definedName name="anisev" hidden="1">{"charmin",#N/A,FALSE,"FMAM II"}</definedName>
    <definedName name="anisey" hidden="1">{"charmin",#N/A,FALSE,"FMAM II"}</definedName>
    <definedName name="ANM" hidden="1">{"'comite'!$A$9:$G$44","'comite'!$A$1:$G$6"}</definedName>
    <definedName name="anna" hidden="1">{"Area1",#N/A,TRUE,"Obiettivo";"Area2",#N/A,TRUE,"Dati per Direzione"}</definedName>
    <definedName name="Annexe7" hidden="1">{#N/A,#N/A,TRUE,"Sommaire";#N/A,#N/A,TRUE,"Alcatel Alsthom";#N/A,#N/A,TRUE,"CFA_CIM_SOFICIM";#N/A,#N/A,TRUE,"GO_SIKL_Cemilec";#N/A,#N/A,TRUE,"CIVELEC_OR";#N/A,#N/A,TRUE,"Tréso nette";#N/A,#N/A,TRUE,"Passage";#N/A,#N/A,TRUE,"Résultat financier";#N/A,#N/A,TRUE,"Résultat financier (suite)";#N/A,#N/A,TRUE,"Résultat cumulé";#N/A,#N/A,TRUE,"Annexe 1";#N/A,#N/A,TRUE,"Annexe 2";#N/A,#N/A,TRUE,"Annexe 3";#N/A,#N/A,TRUE,"Annexe 4";#N/A,#N/A,TRUE,"Annexe 5"}</definedName>
    <definedName name="ansa" hidden="1">#REF!</definedName>
    <definedName name="anscount" hidden="1">1</definedName>
    <definedName name="äöäö" hidden="1">{#N/A,#N/A,FALSE,"Umsatz CH";#N/A,#N/A,FALSE,"ER CH";#N/A,#N/A,FALSE,"EA CH (2) ";#N/A,#N/A,FALSE,"EA CH";#N/A,#N/A,FALSE,"EA CH (3) ";#N/A,#N/A,FALSE,"EA CH (4)";#N/A,#N/A,FALSE,"KA CH";#N/A,#N/A,FALSE,"KA CH  (2)";#N/A,#N/A,FALSE,"KA CH  (3)";#N/A,#N/A,FALSE,"KA CH (4)"}</definedName>
    <definedName name="aosl" hidden="1">{#N/A,#N/A,FALSE,"TB";#N/A,#N/A,FALSE,"AR";#N/A,#N/A,FALSE,"BS";#N/A,#N/A,FALSE,"PL";#N/A,#N/A,FALSE,"NOTES";#N/A,#N/A,FALSE,"NOTES (2)";#N/A,#N/A,FALSE,"NOTES (3)";#N/A,#N/A,FALSE,"TAXC.INDEX";#N/A,#N/A,FALSE,"Schedule I";#N/A,#N/A,FALSE,"DPL";#N/A,#N/A,FALSE,"Schedule IV";#N/A,#N/A,FALSE,"Adjustments"}</definedName>
    <definedName name="aowa" hidden="1">{#N/A,#N/A,FALSE,"TAXC.INDEX";#N/A,#N/A,FALSE,"Schedule I";#N/A,#N/A,FALSE,"Schedule  II";#N/A,#N/A,FALSE,"Schedule III";#N/A,#N/A,FALSE,"Schedule IV";#N/A,#N/A,FALSE,"Schedule IV (Cont'd)";#N/A,#N/A,FALSE,"Schedule V";#N/A,#N/A,FALSE,"Schedule VI";#N/A,#N/A,FALSE,"Schedule VII"}</definedName>
    <definedName name="aowverusnaoter" hidden="1">#REF!</definedName>
    <definedName name="appendix4" hidden="1">{#N/A,#N/A,TRUE,"Cover sheet";#N/A,#N/A,TRUE,"Summary";#N/A,#N/A,TRUE,"Key Assumptions";#N/A,#N/A,TRUE,"Profit &amp; Loss";#N/A,#N/A,TRUE,"Balance Sheet";#N/A,#N/A,TRUE,"Cashflow";#N/A,#N/A,TRUE,"IRR";#N/A,#N/A,TRUE,"Ratios";#N/A,#N/A,TRUE,"Debt analysis"}</definedName>
    <definedName name="apple" hidden="1">{#N/A,#N/A,FALSE,"TB";#N/A,#N/A,FALSE,"AR";#N/A,#N/A,FALSE,"BS";#N/A,#N/A,FALSE,"PL";#N/A,#N/A,FALSE,"NOTES";#N/A,#N/A,FALSE,"NOTES (2)";#N/A,#N/A,FALSE,"NOTES (3)";#N/A,#N/A,FALSE,"TAXC.INDEX";#N/A,#N/A,FALSE,"Schedule I";#N/A,#N/A,FALSE,"DPL";#N/A,#N/A,FALSE,"Schedule IV";#N/A,#N/A,FALSE,"Adjustments"}</definedName>
    <definedName name="apple1" hidden="1">{#N/A,#N/A,FALSE,"TB";#N/A,#N/A,FALSE,"AR";#N/A,#N/A,FALSE,"BS";#N/A,#N/A,FALSE,"PL";#N/A,#N/A,FALSE,"NOTES";#N/A,#N/A,FALSE,"NOTES (2)";#N/A,#N/A,FALSE,"NOTES (3)";#N/A,#N/A,FALSE,"TAXC.INDEX";#N/A,#N/A,FALSE,"Schedule I";#N/A,#N/A,FALSE,"DPL";#N/A,#N/A,FALSE,"Schedule IV";#N/A,#N/A,FALSE,"Adjustments"}</definedName>
    <definedName name="APWREFVEND_DATE" hidden="1">"'=C6"</definedName>
    <definedName name="APWREFVFREQUENCY" hidden="1">"'=C7"</definedName>
    <definedName name="APWREFVMAIN_TICKER" hidden="1">"'=C9"</definedName>
    <definedName name="APWREFVMRK" hidden="1">"'='Cover'!$C$8"</definedName>
    <definedName name="APWREFVPEER1" hidden="1">"'=C14"</definedName>
    <definedName name="APWREFVPEER2" hidden="1">"'=C15"</definedName>
    <definedName name="APWREFVPEER3" hidden="1">"'=C16"</definedName>
    <definedName name="APWREFVPEER4" hidden="1">"'=C17"</definedName>
    <definedName name="APWREFVPEER5" hidden="1">"'=C18"</definedName>
    <definedName name="APWREFVSTART_DATE" hidden="1">"'=C5"</definedName>
    <definedName name="aqw" hidden="1">{#N/A,"PURCHM",FALSE,"Business Analysis";#N/A,"SPADD",FALSE,"Business Analysis"}</definedName>
    <definedName name="aqz" hidden="1">{#N/A,#N/A,FALSE,"Eastern";#N/A,#N/A,FALSE,"Western"}</definedName>
    <definedName name="argag" hidden="1">{"comps",#N/A,FALSE,"comps";"notes",#N/A,FALSE,"comps"}</definedName>
    <definedName name="argdfae" hidden="1">{"werbung",#N/A,FALSE,"GuV9900-0399";"betrieb",#N/A,FALSE,"GuV9900-0399";"personal",#N/A,FALSE,"GuV9900-0399";"tvg",#N/A,FALSE,"GuV9900-0399";"verwaltung",#N/A,FALSE,"GuV9900-0399"}</definedName>
    <definedName name="ArmaPPA" hidden="1">{#N/A,#N/A,FALSE,"Sheet8";#N/A,#N/A,FALSE,"Sheet7"}</definedName>
    <definedName name="art" hidden="1">{"First Page",#N/A,FALSE,"Surfactants LBO";"Second Page",#N/A,FALSE,"Surfactants LBO"}</definedName>
    <definedName name="Artems" hidden="1">{"First Page",#N/A,FALSE,"Surfactants LBO";"Second Page",#N/A,FALSE,"Surfactants LBO"}</definedName>
    <definedName name="Artic" hidden="1">{"First Page",#N/A,FALSE,"Surfactants LBO";"Second Page",#N/A,FALSE,"Surfactants LBO"}</definedName>
    <definedName name="AS" hidden="1">{#N/A,#N/A,FALSE,"Pharm";#N/A,#N/A,FALSE,"WWCM"}</definedName>
    <definedName name="AS2DocOpenMode" hidden="1">"AS2DocumentEdit"</definedName>
    <definedName name="AS2DocOpenMode_1"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hidden="1">{#N/A,#N/A,FALSE,"Pharm";#N/A,#N/A,FALSE,"WWCM"}</definedName>
    <definedName name="asazs" hidden="1">{#N/A,#N/A,FALSE,"Valuation Assumptions";#N/A,#N/A,FALSE,"Summary";#N/A,#N/A,FALSE,"DCF";#N/A,#N/A,FALSE,"Valuation";#N/A,#N/A,FALSE,"WACC";#N/A,#N/A,FALSE,"UBVH";#N/A,#N/A,FALSE,"Free Cash Flow"}</definedName>
    <definedName name="ASC" hidden="1">{#N/A,#N/A,FALSE,"3";#N/A,#N/A,FALSE,"5";#N/A,#N/A,FALSE,"6";#N/A,#N/A,FALSE,"8";#N/A,#N/A,FALSE,"10";#N/A,#N/A,FALSE,"13";#N/A,#N/A,FALSE,"14";#N/A,#N/A,FALSE,"15";#N/A,#N/A,FALSE,"16"}</definedName>
    <definedName name="asd" hidden="1">{#N/A,#N/A,FALSE,"Pharm";#N/A,#N/A,FALSE,"WWCM"}</definedName>
    <definedName name="asdasd" hidden="1">{"Units A",#N/A,FALSE,"FY95SLS";"Units B",#N/A,FALSE,"FY95SLS"}</definedName>
    <definedName name="asdasdas" hidden="1">{"Pound Sterling",#N/A,TRUE,"PPD";"Pound Sterling",#N/A,TRUE,"Anaquest";"Pound Sterling",#N/A,TRUE,"Delta";"Pound Sterling",#N/A,TRUE,"INO"}</definedName>
    <definedName name="asdasdgdf" hidden="1">{"Pound Sterling",#N/A,TRUE,"PPD";"Pound Sterling",#N/A,TRUE,"Anaquest";"Pound Sterling",#N/A,TRUE,"Delta";"Pound Sterling",#N/A,TRUE,"INO"}</definedName>
    <definedName name="asdd" hidden="1">{#N/A,#N/A,FALSE,"Sheet1";#N/A,#N/A,FALSE,"Sheet2";#N/A,#N/A,FALSE,"Sheet3";#N/A,#N/A,FALSE,"Sheet4";#N/A,#N/A,FALSE,"Sheet5";#N/A,#N/A,FALSE,"Sheet6"}</definedName>
    <definedName name="asddsads" hidden="1">{"Units A",#N/A,FALSE,"FY95SLS";"Units B",#N/A,FALSE,"FY95SLS"}</definedName>
    <definedName name="asdf">#REF!</definedName>
    <definedName name="asdfa" hidden="1">{#N/A,#N/A,FALSE,"Presentation by Unit";#N/A,#N/A,FALSE,"Presentation by BD";#N/A,#N/A,FALSE,"Presentation Split by Biggest U";#N/A,#N/A,FALSE,"Presentation Split by Area";#N/A,#N/A,FALSE,"Presentation Split by BD"}</definedName>
    <definedName name="asdfasdf" hidden="1">{#N/A,#N/A,FALSE,"CBE";#N/A,#N/A,FALSE,"SWK"}</definedName>
    <definedName name="asdfasdfasdf" hidden="1">{"SUMMARY",#N/A,TRUE,"SUMMARY";"compare",#N/A,TRUE,"Vs. Bus Plan";"ratios",#N/A,TRUE,"Ratios";"REVENUE",#N/A,TRUE,"Revenue";"expenses",#N/A,TRUE,"1996 budget";"payroll",#N/A,TRUE,"Payroll"}</definedName>
    <definedName name="asdfasdfdddd" hidden="1">{"DCF","UPSIDE CASE",FALSE,"Sheet1";"DCF","BASE CASE",FALSE,"Sheet1";"DCF","DOWNSIDE CASE",FALSE,"Sheet1"}</definedName>
    <definedName name="asdfasdfsad" hidden="1">{#N/A,#N/A,FALSE,"output";#N/A,#N/A,FALSE,"contrib";#N/A,#N/A,FALSE,"profile";#N/A,#N/A,FALSE,"comps"}</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ef" hidden="1">{"werbung",#N/A,FALSE,"GuV9900-0399";"betrieb",#N/A,FALSE,"GuV9900-0399";"personal",#N/A,FALSE,"GuV9900-0399";"tvg",#N/A,FALSE,"GuV9900-0399";"verwaltung",#N/A,FALSE,"GuV9900-0399"}</definedName>
    <definedName name="asdff" hidden="1">{#N/A,#N/A,FALSE,"CHANGES";#N/A,#N/A,FALSE,"PROD SUMMARY";#N/A,#N/A,FALSE,"1995 PO SUM";#N/A,#N/A,FALSE,"1995 GEOG SUM";#N/A,#N/A,FALSE,"1996 PO SUM";#N/A,#N/A,FALSE,"1996 GEOG SUM"}</definedName>
    <definedName name="asdfg" hidden="1">{#N/A,#N/A,FALSE,"Pharm";#N/A,#N/A,FALSE,"WWCM"}</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 hidden="1">{#N/A,#N/A,FALSE,"Umsatz CH";#N/A,#N/A,FALSE,"ER CH";#N/A,#N/A,FALSE,"EA CH (2) ";#N/A,#N/A,FALSE,"EA CH";#N/A,#N/A,FALSE,"EA CH (3) ";#N/A,#N/A,FALSE,"EA CH (4)";#N/A,#N/A,FALSE,"KA CH";#N/A,#N/A,FALSE,"KA CH  (2)";#N/A,#N/A,FALSE,"KA CH  (3)";#N/A,#N/A,FALSE,"KA CH (4)"}</definedName>
    <definedName name="ase" hidden="1">{#VALUE!,#N/A,FALSE,0;#N/A,#N/A,FALSE,0;#N/A,#N/A,FALSE,0;#N/A,#N/A,FALSE,0;#N/A,#N/A,FALSE,0;#N/A,#N/A,FALSE,0;#N/A,#N/A,FALSE,0;#N/A,#N/A,FALSE,0;#N/A,#N/A,FALSE,0}</definedName>
    <definedName name="asedfdf" hidden="1">{"apci",#N/A,FALSE,"Chem_CY";"eastman",#N/A,FALSE,"Eastman";"betz",#N/A,FALSE,"Betz";"great lakes",#N/A,FALSE,"Great_Lakes";"hercules",#N/A,FALSE,"Hercules Chem Seg Data";"rohm",#N/A,FALSE,"Rohm";"union carbide",#N/A,FALSE,"Union";"witco",#N/A,FALSE,"Witco"}</definedName>
    <definedName name="asf" hidden="1">{"QTD",#N/A,FALSE,"SUM"}</definedName>
    <definedName name="asffghujyki" hidden="1">{#N/A,#N/A,FALSE,"Pharm";#N/A,#N/A,FALSE,"WWCM"}</definedName>
    <definedName name="ASFSDFA" hidden="1">{#N/A,#N/A,FALSE,"00 P&amp;L vs 99"}</definedName>
    <definedName name="asfsf" hidden="1">{#N/A,#N/A,FALSE,"3";#N/A,#N/A,FALSE,"5";#N/A,#N/A,FALSE,"6";#N/A,#N/A,FALSE,"8";#N/A,#N/A,FALSE,"10";#N/A,#N/A,FALSE,"13";#N/A,#N/A,FALSE,"14";#N/A,#N/A,FALSE,"15";#N/A,#N/A,FALSE,"16"}</definedName>
    <definedName name="asgasdg" hidden="1">{"Units A",#N/A,FALSE,"FY95SLS";"Units B",#N/A,FALSE,"FY95SLS"}</definedName>
    <definedName name="ash" hidden="1">{"Pound Sterling",#N/A,TRUE,"PPD";"Pound Sterling",#N/A,TRUE,"Anaquest";"Pound Sterling",#N/A,TRUE,"Delta";"Pound Sterling",#N/A,TRUE,"INO"}</definedName>
    <definedName name="askh" hidden="1">{#N/A,#N/A,FALSE,"Annexe 1 EURO";#N/A,#N/A,FALSE,"Annexe 2 EURO";#N/A,#N/A,FALSE,"Annexe 3 EURO";#N/A,#N/A,FALSE,"Annexe 4 EURO";#N/A,#N/A,FALSE,"Annexe 5 EURO"}</definedName>
    <definedName name="asqq" hidden="1">{"Performance Details",#N/A,FALSE,"Current Yr";"Performance Details",#N/A,FALSE,"Budget";"Performance Details",#N/A,FALSE,"Prior Year"}</definedName>
    <definedName name="ass" hidden="1">{#N/A,#N/A,TRUE,"COVER";#N/A,#N/A,TRUE,"DIR";#N/A,#N/A,TRUE,"AUDIT"}</definedName>
    <definedName name="ASSA" hidden="1">{#N/A,#N/A,FALSE,"1";#N/A,#N/A,FALSE,"2";#N/A,#N/A,FALSE,"16 - 17";#N/A,#N/A,FALSE,"18 - 19";#N/A,#N/A,FALSE,"26";#N/A,#N/A,FALSE,"27";#N/A,#N/A,FALSE,"28"}</definedName>
    <definedName name="ASSCCC" hidden="1">{#N/A,#N/A,FALSE,"3";#N/A,#N/A,FALSE,"5";#N/A,#N/A,FALSE,"6";#N/A,#N/A,FALSE,"8";#N/A,#N/A,FALSE,"10";#N/A,#N/A,FALSE,"13";#N/A,#N/A,FALSE,"14";#N/A,#N/A,FALSE,"15";#N/A,#N/A,FALSE,"16"}</definedName>
    <definedName name="assl" hidden="1">{#N/A,#N/A,FALSE,"CONTENTS";#N/A,#N/A,FALSE,"DR";#N/A,#N/A,FALSE,"PL";#N/A,#N/A,FALSE,"BS";#N/A,#N/A,FALSE,"Cash Flow";#N/A,#N/A,FALSE,"NOTES";#N/A,#N/A,FALSE,"NOTES (FA)";#N/A,#N/A,FALSE,"Notes(3)";#N/A,#N/A,FALSE,"NOTES (4)";#N/A,#N/A,FALSE,"DP&amp;L";#N/A,#N/A,FALSE,"EXPENSES";#N/A,#N/A,FALSE,"EXPENSES-1"}</definedName>
    <definedName name="aswe" hidden="1">{"TXO2N2_GP",#N/A,FALSE,"MTHLYGP";"TXH2_GP",#N/A,FALSE,"MTHLYGP";"LOUIS_GP",#N/A,FALSE,"MTHLYGP";"H2_GP",#N/A,FALSE,"MTHLYGP";"O2N2_GP",#N/A,FALSE,"MTHLYGP";"PACKAGE_GP",#N/A,FALSE,"MTHLYGP";"OTHER_GP",#N/A,FALSE,"MTHLYGP"}</definedName>
    <definedName name="aszaz" hidden="1">{#N/A,#N/A,FALSE,"ACQ_GRAPHS";#N/A,#N/A,FALSE,"T_1 GRAPHS";#N/A,#N/A,FALSE,"T_2 GRAPHS";#N/A,#N/A,FALSE,"COMB_GRAPHS"}</definedName>
    <definedName name="aszazs"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tr" hidden="1">increment_piece</definedName>
    <definedName name="ATSeXToEUR" hidden="1">1/eurextoats</definedName>
    <definedName name="ATSEXToEURO" hidden="1">#N/A</definedName>
    <definedName name="att" hidden="1">{#N/A,#N/A,FALSE,"DIR-REP";#N/A,#N/A,FALSE,"AUD-REPORT";#N/A,#N/A,FALSE,"P7L&amp;BS";#N/A,#N/A,FALSE,"NOTES";#N/A,#N/A,FALSE,"FA";#N/A,#N/A,FALSE,"NOTES (2)";#N/A,#N/A,FALSE,"Schedule  IV";#N/A,#N/A,FALSE,"Schedule V"}</definedName>
    <definedName name="AUNA" hidden="1">{"Informes",#N/A,FALSE,"CA";"Informes",#N/A,FALSE,"CN";"Informes",#N/A,FALSE,"INVERSIONES";"Informes",#N/A,FALSE,"CN Oficial";"Informes",#N/A,FALSE,"CA Oficial";"Informes",#N/A,FALSE,"Res Datos Areas"}</definedName>
    <definedName name="avdd" hidden="1">{#N/A,#N/A,FALSE,"Calc";#N/A,#N/A,FALSE,"Sensitivity";#N/A,#N/A,FALSE,"LT Earn.Dil.";#N/A,#N/A,FALSE,"Dil. AVP"}</definedName>
    <definedName name="awq" hidden="1">{"YTD",#N/A,FALSE,"SUM"}</definedName>
    <definedName name="awqe" hidden="1">{"net assets",#N/A,FALSE,"summary";"asset turnover",#N/A,FALSE,"summary";"orona",#N/A,FALSE,"summary"}</definedName>
    <definedName name="awqx" hidden="1">{"Comp_of_Price_Effect",#N/A,FALSE,"QTRDPVAR"}</definedName>
    <definedName name="AX" hidden="1">{#N/A,#N/A,FALSE,"Pharm";#N/A,#N/A,FALSE,"WWCM"}</definedName>
    <definedName name="axs" hidden="1">{"QTD",#N/A,FALSE,"SUM"}</definedName>
    <definedName name="axz" hidden="1">{#N/A,"PURCHM",FALSE,"Business Analysis";#N/A,"SPADD",FALSE,"Business Analysis"}</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 hidden="1">IF(COUNTA(#REF!)=0,0,INDEX(#REF!,MATCH(ROW(#REF!),#REF!,TRUE())))+1</definedName>
    <definedName name="azeazr" hidden="1">{#N/A,#N/A,FALSE,"Sales Graph";#N/A,#N/A,FALSE,"BUC Graph";#N/A,#N/A,FALSE,"P&amp;L - YTD"}</definedName>
    <definedName name="AZEEDFG" hidden="1">#REF!</definedName>
    <definedName name="AZER" hidden="1">#REF!</definedName>
    <definedName name="azerety" hidden="1">{#N/A,#N/A,FALSE,"Pharm";#N/A,#N/A,FALSE,"WWCM"}</definedName>
    <definedName name="azerty" hidden="1">{#N/A,#N/A,FALSE,"INPUTS";#N/A,#N/A,FALSE,"PROFORMA BSHEET";#N/A,#N/A,FALSE,"COMBINED";#N/A,#N/A,FALSE,"HIGH YIELD";#N/A,#N/A,FALSE,"COMB_GRAPHS"}</definedName>
    <definedName name="azsa"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zsaz" hidden="1">{#N/A,#N/A,FALSE,"INPUTS";#N/A,#N/A,FALSE,"PROFORMA BSHEET";#N/A,#N/A,FALSE,"COMBINED";#N/A,#N/A,FALSE,"ACQUIROR";#N/A,#N/A,FALSE,"TARGET 1";#N/A,#N/A,FALSE,"TARGET 2";#N/A,#N/A,FALSE,"HIGH YIELD";#N/A,#N/A,FALSE,"OVERFUND"}</definedName>
    <definedName name="azsazs" hidden="1">{#N/A,#N/A,FALSE,"INPUTS";#N/A,#N/A,FALSE,"PROFORMA BSHEET";#N/A,#N/A,FALSE,"COMBINED";#N/A,#N/A,FALSE,"HIGH YIELD";#N/A,#N/A,FALSE,"COMB_GRAPHS"}</definedName>
    <definedName name="azzre" hidden="1">#REF!</definedName>
    <definedName name="b" hidden="1">{"histincome",#N/A,FALSE,"hyfins";"closing balance",#N/A,FALSE,"hyfins"}</definedName>
    <definedName name="bacd1101bd" hidden="1">{#N/A,"PURCHM",FALSE,"Business Analysis";#N/A,"SPADD",FALSE,"Business Analysis"}</definedName>
    <definedName name="bacd31" hidden="1">{#N/A,"PURCHM",FALSE,"Business Analysis";#N/A,"SPADD",FALSE,"Business Analysis"}</definedName>
    <definedName name="bacd31bd" hidden="1">{#N/A,"PURCHM",FALSE,"Business Analysis";#N/A,"SPADD",FALSE,"Business Analysis"}</definedName>
    <definedName name="bad" hidden="1">{#N/A,#N/A,FALSE,"Proj Cost";#N/A,#N/A,FALSE,"Fair Scenario";#N/A,#N/A,FALSE,"Wonderful Scenario";#N/A,#N/A,FALSE,"Awful Scenario"}</definedName>
    <definedName name="badfga"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BALANCE" hidden="1">"997..6595"</definedName>
    <definedName name="bb" hidden="1">{"vol data",#N/A,FALSE,"Datasheet";"vol graph",#N/A,FALSE,"Volume";"price data",#N/A,FALSE,"Datasheet";"price graph",#N/A,FALSE,"Price";"dp data",#N/A,FALSE,"Datasheet";"dp graph",#N/A,FALSE,"DirectProfit"}</definedName>
    <definedName name="bb.gb._98" hidden="1">{#N/A,#N/A,FALSE,"Umsatz 99";#N/A,#N/A,FALSE,"ER 99 "}</definedName>
    <definedName name="bb.gb._99" hidden="1">{#N/A,#N/A,FALSE,"Umsatz 99";#N/A,#N/A,FALSE,"ER 99 "}</definedName>
    <definedName name="bb_Qzg5OTUyODMzNDY4NEVCMU" hidden="1">146.33110182756</definedName>
    <definedName name="bbb" hidden="1">{#N/A,#N/A,FALSE,"Pharm";#N/A,#N/A,FALSE,"WWCM"}</definedName>
    <definedName name="bbbb" hidden="1">{#N/A,#N/A,FALSE,"REPORT"}</definedName>
    <definedName name="bbbbb" hidden="1">{#N/A,#N/A,FALSE,"Pharm";#N/A,#N/A,FALSE,"WWCM"}</definedName>
    <definedName name="BBBBBB" hidden="1">{#N/A,#N/A,FALSE,"REPORT"}</definedName>
    <definedName name="bbbbbbb" hidden="1">{"detail",#N/A,FALSE,"mfg";"summary",#N/A,FALSE,"mfg"}</definedName>
    <definedName name="bbbbbbbb" hidden="1">{"Pound Sterling",#N/A,TRUE,"PPD";"Pound Sterling",#N/A,TRUE,"Anaquest";"Pound Sterling",#N/A,TRUE,"Delta";"Pound Sterling",#N/A,TRUE,"INO"}</definedName>
    <definedName name="BBBBBBBBB" hidden="1">{#N/A,#N/A,FALSE,"REPORT"}</definedName>
    <definedName name="bbbbbbbbbb" hidden="1">{"detail",#N/A,FALSE,"mfg";"summary",#N/A,FALSE,"mfg"}</definedName>
    <definedName name="bbbbbbbbbbbbb" hidden="1">{#N/A,#N/A,FALSE,"Pharm";#N/A,#N/A,FALSE,"WWCM"}</definedName>
    <definedName name="bbbbbbbbbbbbbbbbbbbb" hidden="1">{"detail",#N/A,FALSE,"mfg";"summary",#N/A,FALSE,"mfg"}</definedName>
    <definedName name="bbvcx" hidden="1">{#N/A,#N/A,FALSE,"Umsatz HM";#N/A,#N/A,FALSE,"ER HM";#N/A,#N/A,FALSE,"EA HM  (2)";#N/A,#N/A,FALSE,"EA HM ";#N/A,#N/A,FALSE,"EA HM  (4)";#N/A,#N/A,FALSE,"EA HM  (3)";#N/A,#N/A,FALSE,"KA HM  (2)";#N/A,#N/A,FALSE,"KA HM";#N/A,#N/A,FALSE,"KA HM  (3)";#N/A,#N/A,FALSE,"KA HM (4)"}</definedName>
    <definedName name="bc" hidden="1">{#N/A,#N/A,FALSE,"Presentation by Unit";#N/A,#N/A,FALSE,"Presentation by BD";#N/A,#N/A,FALSE,"Presentation Split by Biggest U";#N/A,#N/A,FALSE,"Presentation Split by Area";#N/A,#N/A,FALSE,"Presentation Split by BD"}</definedName>
    <definedName name="bcb" hidden="1">{#N/A,#N/A,FALSE,"3";#N/A,#N/A,FALSE,"5";#N/A,#N/A,FALSE,"6";#N/A,#N/A,FALSE,"8";#N/A,#N/A,FALSE,"10";#N/A,#N/A,FALSE,"13";#N/A,#N/A,FALSE,"14";#N/A,#N/A,FALSE,"15";#N/A,#N/A,FALSE,"16"}</definedName>
    <definedName name="bcd" hidden="1">{"detail",#N/A,FALSE,"mfg";"summary",#N/A,FALSE,"mfg"}</definedName>
    <definedName name="bcvb" hidden="1">{#N/A,#N/A,FALSE,"3";#N/A,#N/A,FALSE,"5";#N/A,#N/A,FALSE,"6";#N/A,#N/A,FALSE,"8";#N/A,#N/A,FALSE,"10";#N/A,#N/A,FALSE,"13";#N/A,#N/A,FALSE,"14";#N/A,#N/A,FALSE,"15";#N/A,#N/A,FALSE,"16"}</definedName>
    <definedName name="bdfga" hidden="1">{"Pound Sterling",#N/A,TRUE,"PPD";"Pound Sterling",#N/A,TRUE,"Anaquest";"Pound Sterling",#N/A,TRUE,"Delta";"Pound Sterling",#N/A,TRUE,"INO"}</definedName>
    <definedName name="BEFeXToEUR" hidden="1">1/eurextobef</definedName>
    <definedName name="belnew" hidden="1">{"IS",#N/A,FALSE,"IS";"RPTIS",#N/A,FALSE,"RPTIS";"STATS",#N/A,FALSE,"STATS";"CELL",#N/A,FALSE,"CELL";"BS",#N/A,FALSE,"BS"}</definedName>
    <definedName name="bernd" hidden="1">{#N/A,#N/A,FALSE,"Presentation by Unit";#N/A,#N/A,FALSE,"Presentation by BD";#N/A,#N/A,FALSE,"Presentation Split by Biggest U";#N/A,#N/A,FALSE,"Presentation Split by Area";#N/A,#N/A,FALSE,"Presentation Split by BD"}</definedName>
    <definedName name="bestia" hidden="1">{"Bilancio non rettificato",#N/A,FALSE,"A";"Bilancio Rettifiche",#N/A,FALSE,"B";"Bilancio Rettifiche",#N/A,FALSE,"C";"movimenti",#N/A,FALSE,"D";"amm",#N/A,FALSE,"D";"cpl",#N/A,FALSE,"D";"cola",#N/A,FALSE,"D";"imposte",#N/A,FALSE,"D"}</definedName>
    <definedName name="BETA" hidden="1">{#N/A,#N/A,FALSE,"CHANGES";#N/A,#N/A,FALSE,"PROD SUMMARY";#N/A,#N/A,FALSE,"1995 PO SUM";#N/A,#N/A,FALSE,"1995 GEOG SUM";#N/A,#N/A,FALSE,"1996 PO SUM";#N/A,#N/A,FALSE,"1996 GEOG SUM"}</definedName>
    <definedName name="bfags" hidden="1">{"Pound Sterling",#N/A,TRUE,"PPD";"Pound Sterling",#N/A,TRUE,"Anaquest";"Pound Sterling",#N/A,TRUE,"Delta";"Pound Sterling",#N/A,TRUE,"INO"}</definedName>
    <definedName name="bfgh" hidden="1">{"Units A",#N/A,FALSE,"FY95SLS";"Units B",#N/A,FALSE,"FY95SLS"}</definedName>
    <definedName name="BFL_Dropdown" hidden="1">#REF!</definedName>
    <definedName name="bg" hidden="1">{"net assets",#N/A,FALSE,"summary";"asset turnover",#N/A,FALSE,"summary";"orona",#N/A,FALSE,"summary"}</definedName>
    <definedName name="BG_Del" hidden="1">15</definedName>
    <definedName name="BG_Ins" hidden="1">4</definedName>
    <definedName name="BG_Mod" hidden="1">6</definedName>
    <definedName name="bgf" hidden="1">{"Sum WW A",#N/A,FALSE,"FY95SLS";"Sum WW B",#N/A,FALSE,"FY95SLS";"Sum US A",#N/A,FALSE,"FY95SLS";"Sum US B",#N/A,FALSE,"FY95SLS";"Sum US Bocg",#N/A,FALSE,"FY95SLS";"Sum Can A",#N/A,FALSE,"FY95SLS";"Sum Can B",#N/A,FALSE,"FY95SLS";"Sum Europe",#N/A,FALSE,"FY95SLS";"Sum Row",#N/A,FALSE,"FY95SLS"}</definedName>
    <definedName name="bgf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bgfhwrt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bh" hidden="1">{#N/A,#N/A,FALSE,"Title Page";#N/A,#N/A,FALSE,"Conclusions";#N/A,#N/A,FALSE,"Assum.";#N/A,#N/A,FALSE,"Sun  DCF-WC-Dep";#N/A,#N/A,FALSE,"MarketValue";#N/A,#N/A,FALSE,"BalSheet";#N/A,#N/A,FALSE,"WACC";#N/A,#N/A,FALSE,"PC+ Info.";#N/A,#N/A,FALSE,"PC+Info_2"}</definedName>
    <definedName name="BHGJ" hidden="1">{"stepel",#N/A,FALSE,"AHFSTEP"}</definedName>
    <definedName name="bhljkbv" hidden="1">{#N/A,#N/A,FALSE,"TB";#N/A,#N/A,FALSE,"DR";#N/A,#N/A,FALSE,"AR";#N/A,#N/A,FALSE,"BS";#N/A,#N/A,FALSE,"PL";#N/A,#N/A,FALSE,"NOTES";#N/A,#N/A,FALSE,"NOTES (2)";#N/A,#N/A,FALSE,"NOTES (3)";#N/A,#N/A,FALSE,"DPL";#N/A,#N/A,FALSE,"DPL"}</definedName>
    <definedName name="bikb" hidden="1">{#N/A,#N/A,FALSE,"TB";#N/A,#N/A,FALSE,"AR";#N/A,#N/A,FALSE,"BS";#N/A,#N/A,FALSE,"PL";#N/A,#N/A,FALSE,"NOTES";#N/A,#N/A,FALSE,"NOTES (2)";#N/A,#N/A,FALSE,"NOTES (3)";#N/A,#N/A,FALSE,"TAXC.INDEX";#N/A,#N/A,FALSE,"Schedule I";#N/A,#N/A,FALSE,"DPL";#N/A,#N/A,FALSE,"Schedule IV";#N/A,#N/A,FALSE,"Adjustments"}</definedName>
    <definedName name="Bilan2004V2" hidden="1">{#N/A,#N/A,FALSE,"INPUTS";#N/A,#N/A,FALSE,"PROFORMA BSHEET";#N/A,#N/A,FALSE,"COMBINED";#N/A,#N/A,FALSE,"ACQUIROR";#N/A,#N/A,FALSE,"TARGET 1";#N/A,#N/A,FALSE,"TARGET 2";#N/A,#N/A,FALSE,"HIGH YIELD";#N/A,#N/A,FALSE,"OVERFUND"}</definedName>
    <definedName name="Billie"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irth_Rate" hidden="1">#REF!</definedName>
    <definedName name="bjafo" hidden="1">{#N/A,#N/A,FALSE,"DIR-REP";#N/A,#N/A,FALSE,"AUD-REPORT";#N/A,#N/A,FALSE,"P7L&amp;BS";#N/A,#N/A,FALSE,"NOTES";#N/A,#N/A,FALSE,"FA";#N/A,#N/A,FALSE,"NOTES (2)";#N/A,#N/A,FALSE,"Schedule  IV";#N/A,#N/A,FALSE,"Schedule V"}</definedName>
    <definedName name="bjo" hidden="1">{#N/A,#N/A,FALSE,"TB";#N/A,#N/A,FALSE,"AR";#N/A,#N/A,FALSE,"BS";#N/A,#N/A,FALSE,"PL";#N/A,#N/A,FALSE,"NOTES";#N/A,#N/A,FALSE,"NOTES (2)";#N/A,#N/A,FALSE,"NOTES (3)";#N/A,#N/A,FALSE,"TAXC.INDEX";#N/A,#N/A,FALSE,"Schedule I";#N/A,#N/A,FALSE,"DPL";#N/A,#N/A,FALSE,"Schedule IV";#N/A,#N/A,FALSE,"Adjustments"}</definedName>
    <definedName name="bjoafjawe" hidden="1">{#N/A,#N/A,FALSE,"TB";#N/A,#N/A,FALSE,"DR";#N/A,#N/A,FALSE,"AR";#N/A,#N/A,FALSE,"PL";#N/A,#N/A,FALSE,"BS";#N/A,#N/A,FALSE,"NOTES";#N/A,#N/A,FALSE,"NOTES (2)";#N/A,#N/A,FALSE,"NOTES (3)";#N/A,#N/A,FALSE,"DPL";#N/A,#N/A,FALSE,"TAXC.INDEX";#N/A,#N/A,FALSE,"Schedule I";#N/A,#N/A,FALSE,"Adjustments"}</definedName>
    <definedName name="bjos" hidden="1">{#N/A,#N/A,FALSE,"DIR-REP";#N/A,#N/A,FALSE,"AUD-REPORT";#N/A,#N/A,FALSE,"P7L&amp;BS";#N/A,#N/A,FALSE,"NOTES";#N/A,#N/A,FALSE,"FA";#N/A,#N/A,FALSE,"NOTES (2)";#N/A,#N/A,FALSE,"Schedule  IV";#N/A,#N/A,FALSE,"Schedule V"}</definedName>
    <definedName name="bjosds" hidden="1">{#N/A,#N/A,FALSE,"TAXC.INDEX";#N/A,#N/A,FALSE,"Schedule I";#N/A,#N/A,FALSE,"Schedule  II";#N/A,#N/A,FALSE,"Schedule III";#N/A,#N/A,FALSE,"Schedule IV";#N/A,#N/A,FALSE,"Schedule IV (Cont'd)";#N/A,#N/A,FALSE,"Schedule V";#N/A,#N/A,FALSE,"Schedule VI";#N/A,#N/A,FALSE,"Schedule VII"}</definedName>
    <definedName name="bjosl" hidden="1">{#N/A,#N/A,FALSE,"TB";#N/A,#N/A,FALSE,"AR";#N/A,#N/A,FALSE,"BS";#N/A,#N/A,FALSE,"PL";#N/A,#N/A,FALSE,"NOTES";#N/A,#N/A,FALSE,"NOTES (2)";#N/A,#N/A,FALSE,"NOTES (3)";#N/A,#N/A,FALSE,"TAXC.INDEX";#N/A,#N/A,FALSE,"Schedule I";#N/A,#N/A,FALSE,"DPL";#N/A,#N/A,FALSE,"Schedule IV";#N/A,#N/A,FALSE,"Adjustments"}</definedName>
    <definedName name="bjosle" hidden="1">{#N/A,#N/A,FALSE,"TB";#N/A,#N/A,FALSE,"DR";#N/A,#N/A,FALSE,"AR";#N/A,#N/A,FALSE,"BS";#N/A,#N/A,FALSE,"PL";#N/A,#N/A,FALSE,"NOTES";#N/A,#N/A,FALSE,"NOTES (2)";#N/A,#N/A,FALSE,"NOTES (3)";#N/A,#N/A,FALSE,"DPL";#N/A,#N/A,FALSE,"DPL"}</definedName>
    <definedName name="bjoss" hidden="1">{#N/A,#N/A,FALSE,"TAXC.INDEX";#N/A,#N/A,FALSE,"Schedule I";#N/A,#N/A,FALSE,"Schedule  II";#N/A,#N/A,FALSE,"Schedule III";#N/A,#N/A,FALSE,"Schedule IV";#N/A,#N/A,FALSE,"Schedule IV (Cont'd)";#N/A,#N/A,FALSE,"Schedule V";#N/A,#N/A,FALSE,"Schedule VI";#N/A,#N/A,FALSE,"Schedule VII"}</definedName>
    <definedName name="bjs" hidden="1">{#N/A,#N/A,TRUE,"COVER";#N/A,#N/A,TRUE,"DIR";#N/A,#N/A,TRUE,"AUDIT"}</definedName>
    <definedName name="bkb" hidden="1">{#N/A,#N/A,TRUE,"COVER";#N/A,#N/A,TRUE,"DIR";#N/A,#N/A,TRUE,"AUDIT"}</definedName>
    <definedName name="bkiuygv" hidden="1">{#N/A,#N/A,FALSE,"DIR-REP";#N/A,#N/A,FALSE,"AUD-REPORT";#N/A,#N/A,FALSE,"P7L&amp;BS";#N/A,#N/A,FALSE,"NOTES";#N/A,#N/A,FALSE,"FA";#N/A,#N/A,FALSE,"NOTES (2)";#N/A,#N/A,FALSE,"Schedule  IV";#N/A,#N/A,FALSE,"Schedule V"}</definedName>
    <definedName name="bkls" hidden="1">{#N/A,"PURCHM",FALSE,"Business Analysis";#N/A,"SPADD",FALSE,"Business Analysis"}</definedName>
    <definedName name="Blah" hidden="1">#REF!</definedName>
    <definedName name="blahblah" hidden="1">#REF!</definedName>
    <definedName name="blahblah2" hidden="1">#REF!</definedName>
    <definedName name="blahblah3" hidden="1">#REF!</definedName>
    <definedName name="blahblah4" hidden="1">#REF!</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B1" hidden="1">#REF!</definedName>
    <definedName name="BLPH1" hidden="1">#REF!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bnmn" hidden="1">{#N/A,#N/A,FALSE,"KA CH  (2)"}</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hidden="1">{"oct_res_comm",#N/A,FALSE,"VarToBud"}</definedName>
    <definedName name="BNH" hidden="1">{"COMP CF",#N/A,FALSE,"Comp CF"}</definedName>
    <definedName name="bnkj" hidden="1">{#N/A,#N/A,FALSE,"output";#N/A,#N/A,FALSE,"contrib";#N/A,#N/A,FALSE,"profile";#N/A,#N/A,FALSE,"comps"}</definedName>
    <definedName name="bnm" hidden="1">{#N/A,#N/A,FALSE,"REPORT"}</definedName>
    <definedName name="bnmbm" hidden="1">{#N/A,#N/A,TRUE,"Main Issues";#N/A,#N/A,TRUE,"Income statement ($)"}</definedName>
    <definedName name="bnmk" hidden="1">{#N/A,#N/A,FALSE,"Produkte Erw.";#N/A,#N/A,FALSE,"Produkte Plan";#N/A,#N/A,FALSE,"Leistungen Erw.";#N/A,#N/A,FALSE,"Leistungen Plan";#N/A,#N/A,FALSE,"KA Allg.Kosten (2)";#N/A,#N/A,FALSE,"KA All.Kosten"}</definedName>
    <definedName name="bnmm" hidden="1">{"detail",#N/A,FALSE,"mfg";"summary",#N/A,FALSE,"mfg"}</definedName>
    <definedName name="bnnn" hidden="1">{"consolidated",#N/A,FALSE,"Sheet1";"cms",#N/A,FALSE,"Sheet1";"fse",#N/A,FALSE,"Sheet1"}</definedName>
    <definedName name="bo" hidden="1">{#N/A,#N/A,FALSE,"TAXC.INDEX";#N/A,#N/A,FALSE,"Schedule I";#N/A,#N/A,FALSE,"Schedule  II";#N/A,#N/A,FALSE,"Schedule III"}</definedName>
    <definedName name="boel" hidden="1">{#N/A,#N/A,FALSE,"TB";#N/A,#N/A,FALSE,"DR";#N/A,#N/A,FALSE,"AR";#N/A,#N/A,FALSE,"PL";#N/A,#N/A,FALSE,"BS";#N/A,#N/A,FALSE,"NOTES";#N/A,#N/A,FALSE,"NOTES (2)";#N/A,#N/A,FALSE,"NOTES (3)";#N/A,#N/A,FALSE,"DPL";#N/A,#N/A,FALSE,"TAXC.INDEX";#N/A,#N/A,FALSE,"Schedule I";#N/A,#N/A,FALSE,"Adjustments"}</definedName>
    <definedName name="bogf_soft">#REF!</definedName>
    <definedName name="bos" hidden="1">{#N/A,#N/A,FALSE,"TB";#N/A,#N/A,FALSE,"AR";#N/A,#N/A,FALSE,"BS";#N/A,#N/A,FALSE,"PL";#N/A,#N/A,FALSE,"NOTES";#N/A,#N/A,FALSE,"NOTES (2)";#N/A,#N/A,FALSE,"NOTES (3)";#N/A,#N/A,FALSE,"TAXC.INDEX";#N/A,#N/A,FALSE,"Schedule I";#N/A,#N/A,FALSE,"DPL";#N/A,#N/A,FALSE,"Schedule IV";#N/A,#N/A,FALSE,"Adjustments"}</definedName>
    <definedName name="both203" hidden="1">{"detail",#N/A,FALSE,"mfg";"summary",#N/A,FALSE,"mfg"}</definedName>
    <definedName name="both204" hidden="1">{"detail",#N/A,FALSE,"mfg";"summary",#N/A,FALSE,"mfg"}</definedName>
    <definedName name="both89n" hidden="1">{"detail",#N/A,FALSE,"mfg";"summary",#N/A,FALSE,"mfg"}</definedName>
    <definedName name="both8mj" hidden="1">{"detail",#N/A,FALSE,"mfg";"summary",#N/A,FALSE,"mfg"}</definedName>
    <definedName name="bowl" hidden="1">{#N/A,#N/A,FALSE,"DIR-REP";#N/A,#N/A,FALSE,"AUD-REPORT";#N/A,#N/A,FALSE,"P7L&amp;BS";#N/A,#N/A,FALSE,"NOTES";#N/A,#N/A,FALSE,"FA";#N/A,#N/A,FALSE,"NOTES (2)";#N/A,#N/A,FALSE,"Schedule  IV";#N/A,#N/A,FALSE,"Schedule V"}</definedName>
    <definedName name="BP" hidden="1">{"vue1",#N/A,FALSE,"synthese";"vue2",#N/A,FALSE,"synthese"}</definedName>
    <definedName name="br" hidden="1">{"oct_res_comm",#N/A,FALSE,"VarToBud"}</definedName>
    <definedName name="BRDDEP" hidden="1">#REF!</definedName>
    <definedName name="Bridge" hidden="1">{"'Highlights'!$A$1:$M$123"}</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yan" hidden="1">{#N/A,"PURADD",FALSE,"Business Analysis";#N/A,"PURSPP",FALSE,"Business Analysis";#N/A,"CTGIND",FALSE,"Business Analysis";#N/A,"PURCHM",FALSE,"Business Analysis";#N/A,"SPADD",FALSE,"Business Analysis";#N/A,"EPOXY",FALSE,"Business Analysis";#N/A,"PURPER",FALSE,"Business Analysis"}</definedName>
    <definedName name="BSDEC0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ExrateRow" hidden="1">#REF!</definedName>
    <definedName name="bsfdg" hidden="1">{"Pound Sterling",#N/A,TRUE,"PPD";"Pound Sterling",#N/A,TRUE,"Anaquest";"Pound Sterling",#N/A,TRUE,"Delta";"Pound Sterling",#N/A,TRUE,"INO"}</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tfeIndexSheetTable">#REF!</definedName>
    <definedName name="BUDGET" hidden="1">2000</definedName>
    <definedName name="budgetIdRow" hidden="1">#REF!</definedName>
    <definedName name="BUDGETNAME" hidden="1">2003</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ll" hidden="1">{"detail",#N/A,FALSE,"mfg";"summary",#N/A,FALSE,"mfg"}</definedName>
    <definedName name="bull2" hidden="1">{#N/A,"PURCHM",FALSE,"Business Analysis";#N/A,"SPADD",FALSE,"Business Analysis"}</definedName>
    <definedName name="bull3" hidden="1">{"detail",#N/A,FALSE,"mfg";"summary",#N/A,FALSE,"mfg"}</definedName>
    <definedName name="bull4" hidden="1">{#N/A,"PURCHM",FALSE,"Business Analysis";#N/A,"SPADD",FALSE,"Business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od" hidden="1">{#N/A,#N/A,FALSE,"TB";#N/A,#N/A,FALSE,"AR";#N/A,#N/A,FALSE,"BS";#N/A,#N/A,FALSE,"PL";#N/A,#N/A,FALSE,"NOTES";#N/A,#N/A,FALSE,"NOTES (2)";#N/A,#N/A,FALSE,"NOTES (3)";#N/A,#N/A,FALSE,"TAXC.INDEX";#N/A,#N/A,FALSE,"Schedule I";#N/A,#N/A,FALSE,"DPL";#N/A,#N/A,FALSE,"Schedule IV";#N/A,#N/A,FALSE,"Adjustments"}</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ECONCERN" hidden="1">FALSE()</definedName>
    <definedName name="busiz" hidden="1">{#N/A,#N/A,FALSE,"Eastern";#N/A,#N/A,FALSE,"Western"}</definedName>
    <definedName name="bv" hidden="1">{"net assets",#N/A,FALSE,"summary";"asset turnover",#N/A,FALSE,"summary";"orona",#N/A,FALSE,"summary"}</definedName>
    <definedName name="bvcx" hidden="1">{"apci",#N/A,FALSE,"Chem_CY";"eastman",#N/A,FALSE,"Eastman";"betz",#N/A,FALSE,"Betz";"great lakes",#N/A,FALSE,"Great_Lakes";"hercules",#N/A,FALSE,"Hercules Chem Seg Data";"rohm",#N/A,FALSE,"Rohm";"union carbide",#N/A,FALSE,"Union";"witco",#N/A,FALSE,"Witco"}</definedName>
    <definedName name="bvn" hidden="1">{"Units A",#N/A,FALSE,"FY95SLS";"Units B",#N/A,FALSE,"FY95SLS"}</definedName>
    <definedName name="bvnbn" hidden="1">{#N/A,#N/A,FALSE,"Historical";#N/A,#N/A,FALSE,"EPS-Purchase";#N/A,#N/A,FALSE,"EPS-Pool";#N/A,#N/A,FALSE,"DCF";"Market Share",#N/A,FALSE,"Revenue";"Revenue",#N/A,FALSE,"Revenue"}</definedName>
    <definedName name="bz" hidden="1">{"sales growth",#N/A,FALSE,"summary";"oper income",#N/A,FALSE,"summary";"oros rank",#N/A,FALSE,"summary";"net assets",#N/A,FALSE,"summary";"asset turnover",#N/A,FALSE,"summary";"orona",#N/A,FALSE,"summary"}</definedName>
    <definedName name="bzxcfg" hidden="1">{"Units A",#N/A,FALSE,"FY95SLS";"Units B",#N/A,FALSE,"FY95SLS"}</definedName>
    <definedName name="C_ScenNum">#REF!</definedName>
    <definedName name="ca" hidden="1">#REF!</definedName>
    <definedName name="caarapo" hidden="1">{#N/A,#N/A,TRUE,"Resumo";#N/A,#N/A,TRUE,"iNDICES";#N/A,#N/A,TRUE,"TOT_MI";#N/A,#N/A,TRUE,"COT";#N/A,#N/A,TRUE,"LIM";#N/A,#N/A,TRUE,"SIF";#N/A,#N/A,TRUE,"RIO";#N/A,#N/A,TRUE,"MESA";#N/A,#N/A,TRUE,"POA_EST_MTN_SLP";#N/A,#N/A,TRUE,"PEL";#N/A,#N/A,TRUE,"PSF";#N/A,#N/A,TRUE,"CXS";#N/A,#N/A,TRUE,"CAA";#N/A,#N/A,TRUE,"REC";#N/A,#N/A,TRUE,"BRA";#N/A,#N/A,TRUE,"ANA";#N/A,#N/A,TRUE,"TOT ME";#N/A,#N/A,TRUE,"TOT"}</definedName>
    <definedName name="Cable" hidden="1">{#N/A,#N/A,FALSE,"Operations";#N/A,#N/A,FALSE,"Financials"}</definedName>
    <definedName name="Cable2" hidden="1">{#N/A,#N/A,FALSE,"Operations";#N/A,#N/A,FALSE,"Financials"}</definedName>
    <definedName name="cacctid" hidden="1">#REF!</definedName>
    <definedName name="Calcs"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CAPEXXXX" hidden="1">{#N/A,#N/A,FALSE,"3";#N/A,#N/A,FALSE,"5";#N/A,#N/A,FALSE,"6";#N/A,#N/A,FALSE,"8";#N/A,#N/A,FALSE,"10";#N/A,#N/A,FALSE,"13";#N/A,#N/A,FALSE,"14";#N/A,#N/A,FALSE,"15";#N/A,#N/A,FALSE,"16"}</definedName>
    <definedName name="capitalized" hidden="1">{#N/A,#N/A,FALSE,"Title Page";#N/A,#N/A,FALSE,"Conclusions";#N/A,#N/A,FALSE,"Assum.";#N/A,#N/A,FALSE,"Sun  DCF-WC-Dep";#N/A,#N/A,FALSE,"MarketValue";#N/A,#N/A,FALSE,"BalSheet";#N/A,#N/A,FALSE,"WACC";#N/A,#N/A,FALSE,"PC+ Info.";#N/A,#N/A,FALSE,"PC+Info_2"}</definedName>
    <definedName name="CapSpendingExcludesSanFu" hidden="1">{"detail",#N/A,FALSE,"mfg";"summary",#N/A,FALSE,"mfg"}</definedName>
    <definedName name="Cark" hidden="1">{#N/A,#N/A,TRUE,"Summary";#N/A,#N/A,TRUE,"Input";#N/A,#N/A,TRUE,"Other Assump";#N/A,#N/A,TRUE,"Construction Period";#N/A,#N/A,TRUE,"Escalation";#N/A,#N/A,TRUE,"Debt";#N/A,#N/A,TRUE,"Revs&amp;Costs";#N/A,#N/A,TRUE,"Depreciation";#N/A,#N/A,TRUE,"TAX";#N/A,#N/A,TRUE,"Cash-flow";#N/A,#N/A,TRUE,"VAT";#N/A,#N/A,TRUE,"P&amp;L-BS";#N/A,#N/A,TRUE,"IRR"}</definedName>
    <definedName name="carritus" hidden="1">#REF!</definedName>
    <definedName name="cat" hidden="1">{"EBITDA",#N/A,TRUE,"P&amp;L Net of Disc Ops";"output net of disc ops",#N/A,TRUE,"Revenue";"input",#N/A,TRUE,"Revenue";"output",#N/A,TRUE,"DC";"Input",#N/A,TRUE,"DC";"MTN and MCN",#N/A,TRUE,"Margin";"output detail line items",#N/A,TRUE,"SGA";"personnel by year",#N/A,TRUE,"Payroll";#N/A,#N/A,TRUE,"CapEx"}</definedName>
    <definedName name="Category_1">#REF!</definedName>
    <definedName name="Category_2">#REF!</definedName>
    <definedName name="cay" hidden="1">{#N/A,#N/A,FALSE,"TB";#N/A,#N/A,FALSE,"AR";#N/A,#N/A,FALSE,"BS";#N/A,#N/A,FALSE,"PL";#N/A,#N/A,FALSE,"NOTES";#N/A,#N/A,FALSE,"NOTES (2)";#N/A,#N/A,FALSE,"NOTES (3)";#N/A,#N/A,FALSE,"TAXC.INDEX";#N/A,#N/A,FALSE,"Schedule I";#N/A,#N/A,FALSE,"DPL";#N/A,#N/A,FALSE,"Schedule IV";#N/A,#N/A,FALSE,"Adjustments"}</definedName>
    <definedName name="cb_Chart_1_opts" hidden="1">"1, 5, 1, False, 2, True, False, , 0, False, False, 1, 1"</definedName>
    <definedName name="cb_Chart_2_opts" hidden="1">"1, 1, 1, False, 2, False, False, , 0, False, False, 1, 1"</definedName>
    <definedName name="cb_Chart_3_opts" hidden="1">"1, 1, 1, False, 2, False, False, , 0, False, False, 1,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489E789_opts" hidden="1">"2, 1, 2, True, 2, False, False, , 0, False, True, 2, 2"</definedName>
    <definedName name="cb_sChart1489EC54_opts" hidden="1">"2, 1, 2, True, 2, False, False, , 0, False, True, 2, 2"</definedName>
    <definedName name="cb_sChart16EBA7BA_opts" hidden="1">"1, 1, 1, False, 2, True, False, , 0, False, True, 1, 2"</definedName>
    <definedName name="cb_sChart1747F65E_opts" hidden="1">"2, 1, 2, True, 2, False, False, , 0, False, True, 1, 1"</definedName>
    <definedName name="cb_sChart1749F803_opts" hidden="1">"1, 1, 1, False, 2, True, False, , 0, False, False, 1, 1"</definedName>
    <definedName name="cb_sChart174A0AB0_opts" hidden="1">"1, 1, 1, False, 2, False, False, , 0, False, False, 2, 1"</definedName>
    <definedName name="cb_sChart174C8BEB_opts" hidden="1">"1, 9, 1, False, 2, False, False, , 0, False, True, 1, 1"</definedName>
    <definedName name="cb_sChart174C8EAD_opts" hidden="1">"1, 9, 1, False, 2, False, False, , 0, False, False, 1, 1"</definedName>
    <definedName name="cb_sChart174C909E_opts" hidden="1">"1, 9, 1, False, 2, False, False, , 0, False, True, 1, 1"</definedName>
    <definedName name="cb_sChart174E2C44_opts" hidden="1">"2, 1, 2, True, 2, False, False, , 0, False, True, 1, 1"</definedName>
    <definedName name="cb_sChart1754A686_opts" hidden="1">"1, 10, 1, False, 2, False, False, , 0, False, False, 2, 2"</definedName>
    <definedName name="cb_sChart1755F643_opts" hidden="1">"1, 1, 1, False, 2, False, False, , 0, False, False, 2, 1"</definedName>
    <definedName name="cb_sChart1755FC0D_opts" hidden="1">"1, 1, 1, False, 2, True, False, , 0, False, False, 2, 1"</definedName>
    <definedName name="cb_sChart175849A6_opts" hidden="1">"1, 1, 1, False, 2, False, False, , 0, False, False, 2, 1"</definedName>
    <definedName name="cb_sChart175885B1_opts" hidden="1">"1, 1, 1, False, 2, False, False, , 0, False, False, 1, 1"</definedName>
    <definedName name="cb_sChart175890FE_opts" hidden="1">"1, 1, 1, False, 2, True, False, , 0, False, False, 1, 1"</definedName>
    <definedName name="cb_sChart1765309A_opts" hidden="1">"2, 1, 2, True, 2, False, False, , 0, False, True, 1, 1"</definedName>
    <definedName name="cb_sChart1769A36D_opts" hidden="1">"2, 1, 2, True, 2, False, False, , 0, False, True, 1, 1"</definedName>
    <definedName name="cb_sChart1769CA15_opts" hidden="1">"1, 9, 1, False, 2, False, False, , 0, False, True, 1, 1"</definedName>
    <definedName name="cb_sChart182C6410_opts" hidden="1">"1, 1, 1, False, 2, True, False, , 0, False, False, 2, 2"</definedName>
    <definedName name="cb_sChart182C682D_opts" hidden="1">"2, 1, 1, False, 2, False, False, , 0, False, False, 2, 2"</definedName>
    <definedName name="cb_sChart182C6A08_opts" hidden="1">"2, 1, 1, True, 2, False, False, , 0, False, True, 2, 2"</definedName>
    <definedName name="cb_sChart182C8139_opts" hidden="1">"1, 10, 1, False, 2, False, False, , 0, False, False, 1, 1"</definedName>
    <definedName name="cb_sChart182CA784_opts" hidden="1">"2, 1, 1, True, 2, False, False, , 0, False, True, 2, 2"</definedName>
    <definedName name="cb_sChart182CB588_opts" hidden="1">"1, 1, 1, False, 2, True, False, , 0, False, False, 2, 2"</definedName>
    <definedName name="cb_sChart182CB687_opts" hidden="1">"1, 1, 1, False, 2, True, False, , 0, False, False, 2, 2"</definedName>
    <definedName name="cb_sChart182CB729_opts" hidden="1">"1, 1, 1, False, 2, True, False, , 0, False, False, 2, 2"</definedName>
    <definedName name="cb_sChart182CB879_opts" hidden="1">"1, 1, 1, False, 2, True, False, , 0, False, False, 2, 2"</definedName>
    <definedName name="cb_sChart182CCD73_opts" hidden="1">"2, 1, 2, True, 2, False, False, , 0, False, True, 1, 1"</definedName>
    <definedName name="cb_sChart182D26A7_opts" hidden="1">"1, 9, 1, False, 2, False, False, , 0, False, True, 1, 1"</definedName>
    <definedName name="cb_sChart182EE412_opts" hidden="1">"1, 3, 1, False, 2, False, False, , 0, False, False, 2, 2"</definedName>
    <definedName name="cb_sChart182EE7EA_opts" hidden="1">"1, 3, 1, False, 2, True, False, , 0, False, True, 2, 2"</definedName>
    <definedName name="cb_sChart182EEAFD_opts" hidden="1">"1, 3, 1, False, 2, False, False, , 0, False, True, 1, 1"</definedName>
    <definedName name="cb_sChart182EEB7C_opts" hidden="1">"1, 3, 1, False, 2, False, False, , 0, False, True, 2, 2"</definedName>
    <definedName name="cb_sChart182EFA23_opts" hidden="1">"1, 3, 1, False, 2, False, False, , 0, False, True, 2, 2"</definedName>
    <definedName name="cb_sChart182F2AF6_opts" hidden="1">"1, 10, 1, False, 2, False, False, , 0, False, False, 1, 1"</definedName>
    <definedName name="cb_sChart182F2C80_opts" hidden="1">"1, 10, 1, False, 2, False, False, , 0, False, False, 1, 1"</definedName>
    <definedName name="cb_sChart182F3616_opts" hidden="1">"1, 10, 1, False, 2, False, False, , 0, False, False, 1, 1"</definedName>
    <definedName name="cb_sChart182F379F_opts" hidden="1">"1, 10, 1, False, 2, False, False, , 0, False, False, 1, 1"</definedName>
    <definedName name="cb_sChart182F6E6B_opts" hidden="1">"1, 1, 1, False, 2, True, False, , 0, False, False, 1, 2"</definedName>
    <definedName name="cb_sChart182F8534_opts" hidden="1">"1, 1, 1, False, 2, True, False, , 0, False, False, 2, 2"</definedName>
    <definedName name="cb_sChart182F90BC_opts" hidden="1">"1, 1, 1, False, 2, True, False, , 0, False, False, 2, 2"</definedName>
    <definedName name="cb_sChart18446126_opts" hidden="1">"2, 1, 2, True, 2, False, False, , 0, False, True, 1, 1"</definedName>
    <definedName name="cb_sChart1844654F_opts" hidden="1">"1, 9, 1, False, 2, False, False, , 0, False, True, 1, 1"</definedName>
    <definedName name="cb_sChart189C3065_opts" hidden="1">"2, 1, 2, True, 2, False, False, , 0, False, True, 1, 1"</definedName>
    <definedName name="cb_sChart18D72224_opts" hidden="1">"2, 1, 2, True, 2, False, False, , 0, False, True, 1,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2A786B_opts" hidden="1">"1, 9, 1, False, 2, False, False, , 0, False, True, 1, 1"</definedName>
    <definedName name="cb_sChart1B36F9D3_opts" hidden="1">"2, 1, 1, False, 2, False, False, , 0, False, False, 1, 1"</definedName>
    <definedName name="cb_sChart1B36FA69_opts" hidden="1">"2, 1, 1, True, 2, False, False, , 0, False, True, 1, 1"</definedName>
    <definedName name="cb_sChart1B36FB17_opts" hidden="1">"2, 1, 2, True, 2, False, False, , 0, False, True, 1, 1"</definedName>
    <definedName name="cb_sChart1B3899A2_opts" hidden="1">"1, 9, 1, False, 2, False, False, , 0, False, True, 1, 1"</definedName>
    <definedName name="cb_sChart1B597E8A_opts" hidden="1">"1, 3, 1, False, 2, False, False, , 0, False, False, 1, 1"</definedName>
    <definedName name="cb_sChart1B598BC9_opts" hidden="1">"1, 3, 1, False, 2, False, False, , 0, False, True, 1, 1"</definedName>
    <definedName name="cb_sChart1B598CA5_opts" hidden="1">"1, 3, 1, False, 2, True, False, , 0, False, False, 1, 1"</definedName>
    <definedName name="cb_sChart1B598D98_opts" hidden="1">"1, 5, 1, False, 2, False, False, , 0, False, False, 1, 1"</definedName>
    <definedName name="cb_sChart1B598E69_opts" hidden="1">"1, 3, 1, False, 2, False, False, , 0, False, True, 1, 1"</definedName>
    <definedName name="cb_sChart1B59DA46_opts" hidden="1">"1, 3, 1, False, 2, True, False, , 0, False, True, 1, 2"</definedName>
    <definedName name="cb_sChart1B59F03F_opts" hidden="1">"1, 3, 1, False, 2, True, False, , 0, False, True, 1, 2"</definedName>
    <definedName name="cb_sChart1B76B73C_opts" hidden="1">"2, 1, 2, True, 2, False, False, , 0, False, True, 1, 1"</definedName>
    <definedName name="cb_sChart1B76EB51_opts" hidden="1">"1, 9, 1, False, 2, False, False, , 0, False, True,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C3BD6A6_opts" hidden="1">"1, 10, 1, False, 2, False, False, , 0, False, False, 1, 1"</definedName>
    <definedName name="cb_sChart1C57CB5C_opts" hidden="1">"1, 10, 1, False, 2, False, False, , 0, False, False, 1, 1"</definedName>
    <definedName name="cb_sChart1C5896AD_opts" hidden="1">"1, 10, 1, False, 2, False, False, , 0, False, False, 1, 1"</definedName>
    <definedName name="cb_sChart1C589842_opts" hidden="1">"1, 10, 1, False, 2, False, False, , 0, False, False, 1, 1"</definedName>
    <definedName name="cb_sChart1C5FD194_opts" hidden="1">"2, 1, 2, True, 2, False, False, , 0, False, True, 1, 1"</definedName>
    <definedName name="cb_sChart1C5FEB93_opts" hidden="1">"2, 1, 2, True, 2, False, False, , 0, False, True, 1, 1"</definedName>
    <definedName name="cb_sChart1C6D61E4_opts" hidden="1">"2, 1, 3, False, 2, False, False, , 0, False, False, 1, 1"</definedName>
    <definedName name="cb_sChart1D5372A5_opts" hidden="1">"1, 5, 1, False, 2, False, False, , 0, False, False, 1, 1"</definedName>
    <definedName name="cb_sChart41E9A35_opts" hidden="1">"1, 9, 1, False, 2, False, False, , 0, False, True, 1, 1"</definedName>
    <definedName name="cb_sChart68E08A4_opts" hidden="1">"1, 1, 1, False, 2, True, False, , 0, False, False, 2, 2"</definedName>
    <definedName name="cb_sChart6F544DD_opts" hidden="1">"1, 3, 1, False, 2, False, False, , 0, False, False, 2, 1"</definedName>
    <definedName name="cb_sChart74FE4B0_opts" hidden="1">"1, 4, 1, False, 2, True, False, , 0, False, False, 1, 1"</definedName>
    <definedName name="cb_sChart74FE8FC_opts" hidden="1">"1, 4, 1, False, 2, True, False, , 0, False, False, 1, 1"</definedName>
    <definedName name="cb_sChartE2218BA_opts" hidden="1">"1, 4, 1, False, 2, False, False, , 0, False, True, 1, 1"</definedName>
    <definedName name="cb_sChartE221ADA_opts" hidden="1">"1, 5,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46D89_opts" hidden="1">"1, 1, 1, False, 2, True, False, , 1, False, False, 1, 1"</definedName>
    <definedName name="cb_sChartF048B26_opts" hidden="1">"1, 5, 1, False, 2, False, False, , 1, False, False, 1, 2"</definedName>
    <definedName name="cb_sChartF2B7B01_opts" hidden="1">"1, 1, 1, False, 2, True, False, , 1, False, False,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-331169869</definedName>
    <definedName name="cc" hidden="1">{#N/A,"PURADD",FALSE,"Business Analysis";#N/A,"PURSPP",FALSE,"Business Analysis";#N/A,"CTGIND",FALSE,"Business Analysis";#N/A,"PURCHM",FALSE,"Business Analysis";#N/A,"SPADD",FALSE,"Business Analysis";#N/A,"EPOXY",FALSE,"Business Analysis";#N/A,"PURPER",FALSE,"Business Analysis"}</definedName>
    <definedName name="ccb" hidden="1">{#N/A,#N/A,FALSE,"TAXC.INDEX";#N/A,#N/A,FALSE,"Schedule I";#N/A,#N/A,FALSE,"Schedule  II";#N/A,#N/A,FALSE,"Schedule III"}</definedName>
    <definedName name="ccc" hidden="1">{"detail",#N/A,FALSE,"mfg";"summary",#N/A,FALSE,"mfg"}</definedName>
    <definedName name="cccc" hidden="1">{#N/A,#N/A,FALSE,"Operations";#N/A,#N/A,FALSE,"Financials"}</definedName>
    <definedName name="ccccc" hidden="1">{"10yp key data",#N/A,FALSE,"Market Data"}</definedName>
    <definedName name="cccccccccc" hidden="1">{#N/A,#N/A,FALSE,"CBE";#N/A,#N/A,FALSE,"SWK"}</definedName>
    <definedName name="ccf" hidden="1">{"YD PRS",#N/A,FALSE,"YTD"}</definedName>
    <definedName name="CCY">#REF!</definedName>
    <definedName name="cdds" hidden="1">{"detail",#N/A,FALSE,"mfg";"summary",#N/A,FALSE,"mfg"}</definedName>
    <definedName name="cdf" hidden="1">{"sales growth",#N/A,FALSE,"summary";"oper income",#N/A,FALSE,"summary";"oros rank",#N/A,FALSE,"summary";"net assets",#N/A,FALSE,"summary";"asset turnover",#N/A,FALSE,"summary";"orona",#N/A,FALSE,"summary"}</definedName>
    <definedName name="cds" hidden="1">{"detail",#N/A,FALSE,"mfg";"summary",#N/A,FALSE,"mfg"}</definedName>
    <definedName name="ce" hidden="1">{#N/A,#N/A,FALSE,"TB";#N/A,#N/A,FALSE,"AR";#N/A,#N/A,FALSE,"BS";#N/A,#N/A,FALSE,"PL";#N/A,#N/A,FALSE,"NOTES";#N/A,#N/A,FALSE,"NOTES (2)";#N/A,#N/A,FALSE,"NOTES (3)";#N/A,#N/A,FALSE,"TAXC.INDEX";#N/A,#N/A,FALSE,"Schedule I";#N/A,#N/A,FALSE,"DPL";#N/A,#N/A,FALSE,"Schedule IV";#N/A,#N/A,FALSE,"Adjustments"}</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wr" hidden="1">{"werbung",#N/A,FALSE,"GuV9900-0399";"betrieb",#N/A,FALSE,"GuV9900-0399";"personal",#N/A,FALSE,"GuV9900-0399";"tvg",#N/A,FALSE,"GuV9900-0399";"verwaltung",#N/A,FALSE,"GuV9900-0399"}</definedName>
    <definedName name="cedt" hidden="1">{#N/A,#N/A,FALSE,"DIR-REP";#N/A,#N/A,FALSE,"AUD-REPORT";#N/A,#N/A,FALSE,"P7L&amp;BS";#N/A,#N/A,FALSE,"NOTES";#N/A,#N/A,FALSE,"FA";#N/A,#N/A,FALSE,"NOTES (2)";#N/A,#N/A,FALSE,"Schedule  IV";#N/A,#N/A,FALSE,"Schedule V"}</definedName>
    <definedName name="cert" hidden="1">{"fis.dbo.r1_datasum"}</definedName>
    <definedName name="cert1" hidden="1">{"fis.dbo.r1_datasum"}</definedName>
    <definedName name="cew" hidden="1">{"ICD Details",#N/A,FALSE,"Current Yr";"ICD Details",#N/A,FALSE,"Budget";"ICD Details",#N/A,FALSE,"Prior Year"}</definedName>
    <definedName name="cf" hidden="1">{"detail",#N/A,FALSE,"mfg";"summary",#N/A,FALSE,"mfg"}</definedName>
    <definedName name="cfg" hidden="1">{"Act_vs_Budget",#N/A,FALSE,"QTRDPVAR";"Act_vs_Prior_Year",#N/A,FALSE,"QTRDPVAR"}</definedName>
    <definedName name="cfs" hidden="1">{"YD LOUISIANA",#N/A,FALSE,"YTD"}</definedName>
    <definedName name="CFW" hidden="1">#REF!</definedName>
    <definedName name="cg" hidden="1">{#N/A,#N/A,FALSE,"TB";#N/A,#N/A,FALSE,"AR";#N/A,#N/A,FALSE,"BS";#N/A,#N/A,FALSE,"PL";#N/A,#N/A,FALSE,"NOTES";#N/A,#N/A,FALSE,"NOTES (2)";#N/A,#N/A,FALSE,"NOTES (3)";#N/A,#N/A,FALSE,"TAXC.INDEX";#N/A,#N/A,FALSE,"Schedule I";#N/A,#N/A,FALSE,"DPL";#N/A,#N/A,FALSE,"Schedule IV";#N/A,#N/A,FALSE,"Adjustments"}</definedName>
    <definedName name="cgtat" hidden="1">{#N/A,#N/A,FALSE,"TB";#N/A,#N/A,FALSE,"DR";#N/A,#N/A,FALSE,"AR";#N/A,#N/A,FALSE,"BS";#N/A,#N/A,FALSE,"PL";#N/A,#N/A,FALSE,"NOTES";#N/A,#N/A,FALSE,"NOTES (2)";#N/A,#N/A,FALSE,"NOTES (3)";#N/A,#N/A,FALSE,"DPL";#N/A,#N/A,FALSE,"DPL"}</definedName>
    <definedName name="cgtg" hidden="1">{#N/A,#N/A,FALSE,"TB";#N/A,#N/A,FALSE,"DR";#N/A,#N/A,FALSE,"AR";#N/A,#N/A,FALSE,"PL";#N/A,#N/A,FALSE,"BS";#N/A,#N/A,FALSE,"NOTES";#N/A,#N/A,FALSE,"NOTES (2)";#N/A,#N/A,FALSE,"NOTES (3)";#N/A,#N/A,FALSE,"DPL";#N/A,#N/A,FALSE,"TAXC.INDEX";#N/A,#N/A,FALSE,"Schedule I";#N/A,#N/A,FALSE,"Adjustments"}</definedName>
    <definedName name="cgtjot" hidden="1">{#N/A,#N/A,FALSE,"TAXC.INDEX";#N/A,#N/A,FALSE,"Schedule I";#N/A,#N/A,FALSE,"Schedule  II";#N/A,#N/A,FALSE,"Schedule III"}</definedName>
    <definedName name="Change" hidden="1">#N/A</definedName>
    <definedName name="Change2" hidden="1">#N/A</definedName>
    <definedName name="Change3" hidden="1">#N/A</definedName>
    <definedName name="Change4" hidden="1">#N/A</definedName>
    <definedName name="ChangeRange" hidden="1">#N/A</definedName>
    <definedName name="ChangeRange2" hidden="1">#N/A</definedName>
    <definedName name="Chart" hidden="1">{#N/A,#N/A,FALSE,"Pharm";#N/A,#N/A,FALSE,"WWCM"}</definedName>
    <definedName name="Check">#REF!</definedName>
    <definedName name="check2" hidden="1">{#N/A,#N/A,FALSE,"Res.2"}</definedName>
    <definedName name="CheckLimit">#REF!</definedName>
    <definedName name="CHERCHE1" hidden="1">{#N/A,#N/A,FALSE,"Presentation by Unit";#N/A,#N/A,FALSE,"Presentation by BD";#N/A,#N/A,FALSE,"Presentation Split by Biggest U";#N/A,#N/A,FALSE,"Presentation Split by Area";#N/A,#N/A,FALSE,"Presentation Split by BD"}</definedName>
    <definedName name="CHERCHE2" hidden="1">{#N/A,#N/A,FALSE,"Presentation by Unit";#N/A,#N/A,FALSE,"Presentation by BD";#N/A,#N/A,FALSE,"Presentation Split by Biggest U";#N/A,#N/A,FALSE,"Presentation Split by Area";#N/A,#N/A,FALSE,"Presentation Split by BD"}</definedName>
    <definedName name="CHERCHE4" hidden="1">{#N/A,#N/A,FALSE,"Presentation by Unit";#N/A,#N/A,FALSE,"Presentation by BD";#N/A,#N/A,FALSE,"Presentation Split by Biggest U";#N/A,#N/A,FALSE,"Presentation Split by Area";#N/A,#N/A,FALSE,"Presentation Split by BD"}</definedName>
    <definedName name="CHERCHE5" hidden="1">{#N/A,#N/A,FALSE,"Presentation by Unit";#N/A,#N/A,FALSE,"Presentation by BD";#N/A,#N/A,FALSE,"Presentation Split by Biggest U";#N/A,#N/A,FALSE,"Presentation Split by Area";#N/A,#N/A,FALSE,"Presentation Split by BD"}</definedName>
    <definedName name="chiho" hidden="1">{"'下期集計（10.27迄・速報値）'!$Q$16"}</definedName>
    <definedName name="chosie" hidden="1">{#N/A,#N/A,FALSE,"Pharm";#N/A,#N/A,FALSE,"WWCM"}</definedName>
    <definedName name="christine" hidden="1">{#N/A,#N/A,FALSE,"3";#N/A,#N/A,FALSE,"5";#N/A,#N/A,FALSE,"6";#N/A,#N/A,FALSE,"8";#N/A,#N/A,FALSE,"10";#N/A,#N/A,FALSE,"13";#N/A,#N/A,FALSE,"14";#N/A,#N/A,FALSE,"15";#N/A,#N/A,FALSE,"16"}</definedName>
    <definedName name="Christinea" hidden="1">{#N/A,#N/A,FALSE,"3";#N/A,#N/A,FALSE,"5";#N/A,#N/A,FALSE,"6";#N/A,#N/A,FALSE,"8";#N/A,#N/A,FALSE,"10";#N/A,#N/A,FALSE,"13";#N/A,#N/A,FALSE,"14";#N/A,#N/A,FALSE,"15";#N/A,#N/A,FALSE,"16"}</definedName>
    <definedName name="CIQANR_0a24032824d14cec8b66e1cde760c44e" hidden="1">#REF!</definedName>
    <definedName name="CIQANR_201e972a0e02462ea4e9e6f6fd5235ca" hidden="1">#REF!</definedName>
    <definedName name="CIQWBGuid" hidden="1">"ffc3fc28-a095-48ae-b78a-269f6d41994d"</definedName>
    <definedName name="CIQWBGuid_1" hidden="1">"Project Spa Analysis v14.xlsx"</definedName>
    <definedName name="CIQWBInfo" hidden="1">"{ ""CIQVersion"":""9.53.6531.4508"" }"</definedName>
    <definedName name="circ">#REF!</definedName>
    <definedName name="cjbao" hidden="1">{#N/A,#N/A,FALSE,"TAXC.INDEX";#N/A,#N/A,FALSE,"Schedule I";#N/A,#N/A,FALSE,"Schedule  II";#N/A,#N/A,FALSE,"Schedule III"}</definedName>
    <definedName name="cjbg" hidden="1">{#N/A,#N/A,FALSE,"TB";#N/A,#N/A,FALSE,"DR";#N/A,#N/A,FALSE,"AR";#N/A,#N/A,FALSE,"BS";#N/A,#N/A,FALSE,"PL";#N/A,#N/A,FALSE,"NOTES";#N/A,#N/A,FALSE,"NOTES (2)";#N/A,#N/A,FALSE,"NOTES (3)";#N/A,#N/A,FALSE,"DPL";#N/A,#N/A,FALSE,"DPL"}</definedName>
    <definedName name="cjboag" hidden="1">{#N/A,#N/A,FALSE,"TB";#N/A,#N/A,FALSE,"AR";#N/A,#N/A,FALSE,"BS";#N/A,#N/A,FALSE,"PL";#N/A,#N/A,FALSE,"NOTES";#N/A,#N/A,FALSE,"NOTES (2)";#N/A,#N/A,FALSE,"NOTES (3)";#N/A,#N/A,FALSE,"TAXC.INDEX";#N/A,#N/A,FALSE,"Schedule I";#N/A,#N/A,FALSE,"DPL";#N/A,#N/A,FALSE,"Schedule IV";#N/A,#N/A,FALSE,"Adjustments"}</definedName>
    <definedName name="cjgboat" hidden="1">{#N/A,#N/A,FALSE,"TAXC.INDEX";#N/A,#N/A,FALSE,"Schedule I";#N/A,#N/A,FALSE,"Schedule  II";#N/A,#N/A,FALSE,"Schedule III"}</definedName>
    <definedName name="cjghjhj" hidden="1">{#N/A,#N/A,FALSE,"Umsatz CH";#N/A,#N/A,FALSE,"ER CH";#N/A,#N/A,FALSE,"EA CH (2) ";#N/A,#N/A,FALSE,"EA CH";#N/A,#N/A,FALSE,"EA CH (3) ";#N/A,#N/A,FALSE,"EA CH (4)";#N/A,#N/A,FALSE,"KA CH";#N/A,#N/A,FALSE,"KA CH  (2)";#N/A,#N/A,FALSE,"KA CH  (3)";#N/A,#N/A,FALSE,"KA CH (4)"}</definedName>
    <definedName name="cjjg" hidden="1">{#N/A,#N/A,FALSE,"DIR-REP";#N/A,#N/A,FALSE,"AUD-REPORT";#N/A,#N/A,FALSE,"P7L&amp;BS";#N/A,#N/A,FALSE,"NOTES";#N/A,#N/A,FALSE,"FA";#N/A,#N/A,FALSE,"NOTES (2)";#N/A,#N/A,FALSE,"Schedule  IV";#N/A,#N/A,FALSE,"Schedule V"}</definedName>
    <definedName name="cjlds" hidden="1">{#N/A,#N/A,FALSE,"CONTENTS";#N/A,#N/A,FALSE,"DR";#N/A,#N/A,FALSE,"PL";#N/A,#N/A,FALSE,"BS";#N/A,#N/A,FALSE,"Cash Flow";#N/A,#N/A,FALSE,"NOTES";#N/A,#N/A,FALSE,"NOTES (FA)";#N/A,#N/A,FALSE,"Notes(3)";#N/A,#N/A,FALSE,"NOTES (4)";#N/A,#N/A,FALSE,"DP&amp;L";#N/A,#N/A,FALSE,"EXPENSES";#N/A,#N/A,FALSE,"EXPENSES-1"}</definedName>
    <definedName name="cjlg" hidden="1">{#N/A,#N/A,FALSE,"DIR-REP";#N/A,#N/A,FALSE,"AUD-REPORT";#N/A,#N/A,FALSE,"P7L&amp;BS";#N/A,#N/A,FALSE,"NOTES";#N/A,#N/A,FALSE,"FA";#N/A,#N/A,FALSE,"NOTES (2)";#N/A,#N/A,FALSE,"Schedule  IV";#N/A,#N/A,FALSE,"Schedule V"}</definedName>
    <definedName name="cjoga" hidden="1">{#N/A,#N/A,FALSE,"TAXC.INDEX";#N/A,#N/A,FALSE,"Schedule I";#N/A,#N/A,FALSE,"Schedule  II";#N/A,#N/A,FALSE,"Schedule III";#N/A,#N/A,FALSE,"Schedule IV";#N/A,#N/A,FALSE,"Schedule IV (Cont'd)";#N/A,#N/A,FALSE,"Schedule V";#N/A,#N/A,FALSE,"Schedule VI";#N/A,#N/A,FALSE,"Schedule VII"}</definedName>
    <definedName name="cjtoat" hidden="1">{#N/A,#N/A,FALSE,"TB";#N/A,#N/A,FALSE,"AR";#N/A,#N/A,FALSE,"BS";#N/A,#N/A,FALSE,"PL";#N/A,#N/A,FALSE,"NOTES";#N/A,#N/A,FALSE,"NOTES (2)";#N/A,#N/A,FALSE,"NOTES (3)";#N/A,#N/A,FALSE,"TAXC.INDEX";#N/A,#N/A,FALSE,"Schedule I";#N/A,#N/A,FALSE,"DPL";#N/A,#N/A,FALSE,"Schedule IV";#N/A,#N/A,FALSE,"Adjustments"}</definedName>
    <definedName name="ckde" hidden="1">{#N/A,#N/A,FALSE,"TB";#N/A,#N/A,FALSE,"DR";#N/A,#N/A,FALSE,"AR";#N/A,#N/A,FALSE,"PL";#N/A,#N/A,FALSE,"BS";#N/A,#N/A,FALSE,"NOTES";#N/A,#N/A,FALSE,"NOTES (2)";#N/A,#N/A,FALSE,"NOTES (3)";#N/A,#N/A,FALSE,"DPL";#N/A,#N/A,FALSE,"TAXC.INDEX";#N/A,#N/A,FALSE,"Schedule I";#N/A,#N/A,FALSE,"Adjustments"}</definedName>
    <definedName name="CKFGKG" hidden="1">{#N/A,#N/A,FALSE,"00 P&amp;L vs 99"}</definedName>
    <definedName name="CL" hidden="1">1</definedName>
    <definedName name="ÇLK" hidden="1">{"'comite'!$A$9:$G$44","'comite'!$A$1:$G$6"}</definedName>
    <definedName name="cls." hidden="1">{#N/A,#N/A,TRUE,"COVER";#N/A,#N/A,TRUE,"DIR";#N/A,#N/A,TRUE,"AUDIT"}</definedName>
    <definedName name="CLsysID" hidden="1">"BWP"</definedName>
    <definedName name="COCO" hidden="1">{#N/A,"Mechanic Tools Czech",FALSE,"P&amp;L"}</definedName>
    <definedName name="cococo" hidden="1">{#N/A,#N/A,FALSE,"TAXC.INDEX";#N/A,#N/A,FALSE,"Schedule I";#N/A,#N/A,FALSE,"Schedule  II";#N/A,#N/A,FALSE,"Schedule III"}</definedName>
    <definedName name="cogl" hidden="1">{#N/A,#N/A,FALSE,"TB";#N/A,#N/A,FALSE,"DR";#N/A,#N/A,FALSE,"AR";#N/A,#N/A,FALSE,"BS";#N/A,#N/A,FALSE,"PL";#N/A,#N/A,FALSE,"NOTES";#N/A,#N/A,FALSE,"NOTES (2)";#N/A,#N/A,FALSE,"NOTES (3)";#N/A,#N/A,FALSE,"DPL";#N/A,#N/A,FALSE,"DPL"}</definedName>
    <definedName name="COGS_Keyword">#REF!</definedName>
    <definedName name="COGstandard" hidden="1">{#N/A,#N/A,FALSE,"Pharm";#N/A,#N/A,FALSE,"WWCM"}</definedName>
    <definedName name="colTypeRow" hidden="1">#REF!</definedName>
    <definedName name="column1Row" hidden="1">#REF!</definedName>
    <definedName name="column2Row" hidden="1">#REF!</definedName>
    <definedName name="columnIndexRow" hidden="1">#REF!</definedName>
    <definedName name="COMBO" hidden="1">"Afdelinger"</definedName>
    <definedName name="comite" hidden="1">{"'comite'!$A$9:$G$44","'comite'!$A$1:$G$6"}</definedName>
    <definedName name="Comp" hidden="1">{"First Page",#N/A,FALSE,"Surfactants LBO";"Second Page",#N/A,FALSE,"Surfactants LBO"}</definedName>
    <definedName name="comp200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NY" hidden="1">"DAT"</definedName>
    <definedName name="CompanyName" hidden="1">#REF!</definedName>
    <definedName name="companyRow" hidden="1">#REF!</definedName>
    <definedName name="Comparable" hidden="1">{"First Page",#N/A,FALSE,"Surfactants LBO";"Second Page",#N/A,FALSE,"Surfactants LBO"}</definedName>
    <definedName name="Conso_Sd" hidden="1">#REF!</definedName>
    <definedName name="Conso_Stan" hidden="1">#REF!</definedName>
    <definedName name="Consolidation" hidden="1">{"'Internat.oper.netti'!$B$1:$J$25"}</definedName>
    <definedName name="Convert_t">#REF!</definedName>
    <definedName name="coocl" hidden="1">{#N/A,#N/A,FALSE,"DIR-REP";#N/A,#N/A,FALSE,"AUD-REPORT";#N/A,#N/A,FALSE,"P7L&amp;BS";#N/A,#N/A,FALSE,"NOTES";#N/A,#N/A,FALSE,"FA";#N/A,#N/A,FALSE,"NOTES (2)";#N/A,#N/A,FALSE,"Schedule  IV";#N/A,#N/A,FALSE,"Schedule V"}</definedName>
    <definedName name="cooo" hidden="1">{#N/A,#N/A,FALSE,"CONTENTS";#N/A,#N/A,FALSE,"DR";#N/A,#N/A,FALSE,"PL";#N/A,#N/A,FALSE,"BS";#N/A,#N/A,FALSE,"Cash Flow";#N/A,#N/A,FALSE,"NOTES";#N/A,#N/A,FALSE,"NOTES (FA)";#N/A,#N/A,FALSE,"Notes(3)";#N/A,#N/A,FALSE,"NOTES (4)";#N/A,#N/A,FALSE,"DP&amp;L";#N/A,#N/A,FALSE,"EXPENSES";#N/A,#N/A,FALSE,"EXPENSES-1"}</definedName>
    <definedName name="cooper2" hidden="1">{#N/A,#N/A,TRUE,"Pro Forma";#N/A,#N/A,TRUE,"PF_Bal";#N/A,#N/A,TRUE,"PF_INC";#N/A,#N/A,TRUE,"CBE";#N/A,#N/A,TRUE,"SWK"}</definedName>
    <definedName name="cop" hidden="1">{"First Page",#N/A,FALSE,"Surfactants LBO";"Second Page",#N/A,FALSE,"Surfactants LBO"}</definedName>
    <definedName name="COPY" hidden="1">{#N/A,#N/A,FALSE,"Pharm";#N/A,#N/A,FALSE,"WWCM"}</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pyWord" hidden="1">#REF!</definedName>
    <definedName name="cosls" hidden="1">{#N/A,#N/A,FALSE,"TAXC.INDEX";#N/A,#N/A,FALSE,"Schedule I";#N/A,#N/A,FALSE,"Schedule  II";#N/A,#N/A,FALSE,"Schedule III";#N/A,#N/A,FALSE,"Schedule IV";#N/A,#N/A,FALSE,"Schedule IV (Cont'd)";#N/A,#N/A,FALSE,"Schedule V";#N/A,#N/A,FALSE,"Schedule VI";#N/A,#N/A,FALSE,"Schedule VII"}</definedName>
    <definedName name="coslt" hidden="1">{#N/A,#N/A,FALSE,"TB";#N/A,#N/A,FALSE,"DR";#N/A,#N/A,FALSE,"AR";#N/A,#N/A,FALSE,"PL";#N/A,#N/A,FALSE,"BS";#N/A,#N/A,FALSE,"NOTES";#N/A,#N/A,FALSE,"NOTES (2)";#N/A,#N/A,FALSE,"NOTES (3)";#N/A,#N/A,FALSE,"DPL";#N/A,#N/A,FALSE,"TAXC.INDEX";#N/A,#N/A,FALSE,"Schedule I";#N/A,#N/A,FALSE,"Adjustments"}</definedName>
    <definedName name="costa" hidden="1">{#N/A,#N/A,FALSE,"TAXC.INDEX";#N/A,#N/A,FALSE,"Schedule I";#N/A,#N/A,FALSE,"Schedule  II";#N/A,#N/A,FALSE,"Schedule III";#N/A,#N/A,FALSE,"Schedule IV";#N/A,#N/A,FALSE,"Schedule IV (Cont'd)";#N/A,#N/A,FALSE,"Schedule V";#N/A,#N/A,FALSE,"Schedule VI";#N/A,#N/A,FALSE,"Schedule VII"}</definedName>
    <definedName name="cotalta" hidden="1">{#N/A,#N/A,FALSE,"DIR-REP";#N/A,#N/A,FALSE,"AUD-REPORT";#N/A,#N/A,FALSE,"P7L&amp;BS";#N/A,#N/A,FALSE,"NOTES";#N/A,#N/A,FALSE,"FA";#N/A,#N/A,FALSE,"NOTES (2)";#N/A,#N/A,FALSE,"Schedule  IV";#N/A,#N/A,FALSE,"Schedule V"}</definedName>
    <definedName name="cotalta." hidden="1">{#N/A,#N/A,FALSE,"TB";#N/A,#N/A,FALSE,"DR";#N/A,#N/A,FALSE,"AR";#N/A,#N/A,FALSE,"PL";#N/A,#N/A,FALSE,"BS";#N/A,#N/A,FALSE,"NOTES";#N/A,#N/A,FALSE,"NOTES (2)";#N/A,#N/A,FALSE,"NOTES (3)";#N/A,#N/A,FALSE,"DPL";#N/A,#N/A,FALSE,"TAXC.INDEX";#N/A,#N/A,FALSE,"Schedule I";#N/A,#N/A,FALSE,"Adjustments"}</definedName>
    <definedName name="cotl" hidden="1">{#N/A,#N/A,FALSE,"TAXC.INDEX";#N/A,#N/A,FALSE,"Schedule I";#N/A,#N/A,FALSE,"Schedule  II";#N/A,#N/A,FALSE,"Schedule III";#N/A,#N/A,FALSE,"Schedule IV";#N/A,#N/A,FALSE,"Schedule IV (Cont'd)";#N/A,#N/A,FALSE,"Schedule V";#N/A,#N/A,FALSE,"Schedule VI";#N/A,#N/A,FALSE,"Schedule VII"}</definedName>
    <definedName name="cotlam" hidden="1">{#N/A,#N/A,FALSE,"DIR-REP";#N/A,#N/A,FALSE,"AUD-REPORT";#N/A,#N/A,FALSE,"P7L&amp;BS";#N/A,#N/A,FALSE,"NOTES";#N/A,#N/A,FALSE,"FA";#N/A,#N/A,FALSE,"NOTES (2)";#N/A,#N/A,FALSE,"Schedule  IV";#N/A,#N/A,FALSE,"Schedule V"}</definedName>
    <definedName name="cotlat" hidden="1">{#N/A,#N/A,FALSE,"DIR-REP";#N/A,#N/A,FALSE,"AUD-REPORT";#N/A,#N/A,FALSE,"P7L&amp;BS";#N/A,#N/A,FALSE,"NOTES";#N/A,#N/A,FALSE,"FA";#N/A,#N/A,FALSE,"NOTES (2)";#N/A,#N/A,FALSE,"Schedule  IV";#N/A,#N/A,FALSE,"Schedule V"}</definedName>
    <definedName name="cotls" hidden="1">{#N/A,#N/A,TRUE,"COVER";#N/A,#N/A,TRUE,"DIR";#N/A,#N/A,TRUE,"AUDIT"}</definedName>
    <definedName name="cotlsot" hidden="1">{#N/A,#N/A,FALSE,"CONTENTS";#N/A,#N/A,FALSE,"DR";#N/A,#N/A,FALSE,"PL";#N/A,#N/A,FALSE,"BS";#N/A,#N/A,FALSE,"Cash Flow";#N/A,#N/A,FALSE,"NOTES";#N/A,#N/A,FALSE,"NOTES (FA)";#N/A,#N/A,FALSE,"Notes(3)";#N/A,#N/A,FALSE,"NOTES (4)";#N/A,#N/A,FALSE,"DP&amp;L";#N/A,#N/A,FALSE,"EXPENSES";#N/A,#N/A,FALSE,"EXPENSES-1"}</definedName>
    <definedName name="cotlt" hidden="1">{#N/A,#N/A,FALSE,"TB";#N/A,#N/A,FALSE,"AR";#N/A,#N/A,FALSE,"BS";#N/A,#N/A,FALSE,"PL";#N/A,#N/A,FALSE,"NOTES";#N/A,#N/A,FALSE,"NOTES (2)";#N/A,#N/A,FALSE,"NOTES (3)";#N/A,#N/A,FALSE,"TAXC.INDEX";#N/A,#N/A,FALSE,"Schedule I";#N/A,#N/A,FALSE,"DPL";#N/A,#N/A,FALSE,"Schedule IV";#N/A,#N/A,FALSE,"Adjustments"}</definedName>
    <definedName name="cots" hidden="1">{#N/A,#N/A,FALSE,"TB";#N/A,#N/A,FALSE,"DR";#N/A,#N/A,FALSE,"AR";#N/A,#N/A,FALSE,"BS";#N/A,#N/A,FALSE,"PL";#N/A,#N/A,FALSE,"NOTES";#N/A,#N/A,FALSE,"NOTES (2)";#N/A,#N/A,FALSE,"NOTES (3)";#N/A,#N/A,FALSE,"DPL";#N/A,#N/A,FALSE,"DPL"}</definedName>
    <definedName name="cotsl" hidden="1">{#N/A,#N/A,FALSE,"TB";#N/A,#N/A,FALSE,"AR";#N/A,#N/A,FALSE,"BS";#N/A,#N/A,FALSE,"PL";#N/A,#N/A,FALSE,"NOTES";#N/A,#N/A,FALSE,"NOTES (2)";#N/A,#N/A,FALSE,"NOTES (3)";#N/A,#N/A,FALSE,"TAXC.INDEX";#N/A,#N/A,FALSE,"Schedule I";#N/A,#N/A,FALSE,"DPL";#N/A,#N/A,FALSE,"Schedule IV";#N/A,#N/A,FALSE,"Adjustments"}</definedName>
    <definedName name="coucou" hidden="1">{#N/A,#N/A,TRUE,"Cover sheet";#N/A,#N/A,TRUE,"INPUTS";#N/A,#N/A,TRUE,"OUTPUTS";#N/A,#N/A,TRUE,"VALUATION"}</definedName>
    <definedName name="Country_list">#REF!</definedName>
    <definedName name="Criteria_2">#REF!</definedName>
    <definedName name="cs" hidden="1">{"AS REP",#N/A,FALSE,"EEFSNAP2";"PROP",#N/A,FALSE,"EEFSNAP2";"RISKS",#N/A,FALSE,"EEFSNAP2";"VIEW ALL",#N/A,FALSE,"EEFSNAP2"}</definedName>
    <definedName name="csa" hidden="1">{"TXO2N2_GP",#N/A,FALSE,"MTHLYGP";"TXH2_GP",#N/A,FALSE,"MTHLYGP";"LOUIS_GP",#N/A,FALSE,"MTHLYGP";"H2_GP",#N/A,FALSE,"MTHLYGP";"O2N2_GP",#N/A,FALSE,"MTHLYGP";"PACKAGE_GP",#N/A,FALSE,"MTHLYGP";"OTHER_GP",#N/A,FALSE,"MTHLYGP"}</definedName>
    <definedName name="ct" hidden="1">{"Units A",#N/A,FALSE,"FY95SLS";"Units B",#N/A,FALSE,"FY95SLS"}</definedName>
    <definedName name="ctatatat" hidden="1">{#N/A,#N/A,FALSE,"DIR-REP";#N/A,#N/A,FALSE,"AUD-REPORT";#N/A,#N/A,FALSE,"P7L&amp;BS";#N/A,#N/A,FALSE,"NOTES";#N/A,#N/A,FALSE,"FA";#N/A,#N/A,FALSE,"NOTES (2)";#N/A,#N/A,FALSE,"Schedule  IV";#N/A,#N/A,FALSE,"Schedule V"}</definedName>
    <definedName name="ctf" hidden="1">{#N/A,#N/A,FALSE,"TB";#N/A,#N/A,FALSE,"DR";#N/A,#N/A,FALSE,"AR";#N/A,#N/A,FALSE,"PL";#N/A,#N/A,FALSE,"BS";#N/A,#N/A,FALSE,"NOTES";#N/A,#N/A,FALSE,"NOTES (2)";#N/A,#N/A,FALSE,"NOTES (3)";#N/A,#N/A,FALSE,"DPL";#N/A,#N/A,FALSE,"TAXC.INDEX";#N/A,#N/A,FALSE,"Schedule I";#N/A,#N/A,FALSE,"Adjustments"}</definedName>
    <definedName name="ctgtt" hidden="1">{#N/A,#N/A,TRUE,"COVER";#N/A,#N/A,TRUE,"DIR";#N/A,#N/A,TRUE,"AUDIT"}</definedName>
    <definedName name="ctlllo" hidden="1">{#N/A,#N/A,FALSE,"TB";#N/A,#N/A,FALSE,"DR";#N/A,#N/A,FALSE,"AR";#N/A,#N/A,FALSE,"PL";#N/A,#N/A,FALSE,"BS";#N/A,#N/A,FALSE,"NOTES";#N/A,#N/A,FALSE,"NOTES (2)";#N/A,#N/A,FALSE,"NOTES (3)";#N/A,#N/A,FALSE,"DPL";#N/A,#N/A,FALSE,"TAXC.INDEX";#N/A,#N/A,FALSE,"Schedule I";#N/A,#N/A,FALSE,"Adjustments"}</definedName>
    <definedName name="cu102.ShareScalingFactor" hidden="1">1000000</definedName>
    <definedName name="cu103.EmployeeScalingFactor" hidden="1">1000</definedName>
    <definedName name="cu107.DPSSymbol" hidden="1">"US$"</definedName>
    <definedName name="cu107.EPSSymbol" hidden="1">"US$"</definedName>
    <definedName name="cu71.ScalingFactor" hidden="1">1000000</definedName>
    <definedName name="CurMonth" hidden="1">#REF!</definedName>
    <definedName name="Currency_unit">#REF!</definedName>
    <definedName name="CURRENCYVALUE" hidden="1">100</definedName>
    <definedName name="CURRENCYVALUE2" hidden="1">100</definedName>
    <definedName name="cursource" hidden="1">"SQLServer"</definedName>
    <definedName name="Customer_info_list">#REF!</definedName>
    <definedName name="CUTDATE" hidden="1">" "</definedName>
    <definedName name="cutoff" hidden="1">#REF!</definedName>
    <definedName name="cv" hidden="1">{#N/A,#N/A,FALSE,"TB";#N/A,#N/A,FALSE,"DR";#N/A,#N/A,FALSE,"AR";#N/A,#N/A,FALSE,"BS";#N/A,#N/A,FALSE,"PL";#N/A,#N/A,FALSE,"NOTES";#N/A,#N/A,FALSE,"NOTES (2)";#N/A,#N/A,FALSE,"NOTES (3)";#N/A,#N/A,FALSE,"DPL";#N/A,#N/A,FALSE,"DPL"}</definedName>
    <definedName name="cvb" hidden="1">{"detail",#N/A,FALSE,"mfg";"summary",#N/A,FALSE,"mfg"}</definedName>
    <definedName name="cvbn" hidden="1">{"vol data",#N/A,FALSE,"Datasheet";"vol graph",#N/A,FALSE,"Volume";"price data",#N/A,FALSE,"Datasheet";"price graph",#N/A,FALSE,"Price";"dp data",#N/A,FALSE,"Datasheet";"dp graph",#N/A,FALSE,"DirectProfit"}</definedName>
    <definedName name="cvbncvnvbn" hidden="1">{#N/A,#N/A,FALSE,"Operations";#N/A,#N/A,FALSE,"Financials"}</definedName>
    <definedName name="cvc" hidden="1">{#N/A,#N/A,FALSE,"KA CH  (2)"}</definedName>
    <definedName name="cvcv" hidden="1">{"AS REP",#N/A,FALSE,"EEFSNAP2";"PROP",#N/A,FALSE,"EEFSNAP2";"RISKS",#N/A,FALSE,"EEFSNAP2";"VIEW ALL",#N/A,FALSE,"EEFSNAP2"}</definedName>
    <definedName name="CVNCVNBVN" hidden="1">{"comp1",#N/A,FALSE,"COMPS";"footnotes",#N/A,FALSE,"COMPS"}</definedName>
    <definedName name="cvwxv" hidden="1">{#N/A,#N/A,FALSE,"Res.2"}</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z" hidden="1">{"pro_view",#N/A,FALSE,"EEFSNAP2";"rep_view",#N/A,FALSE,"EEFSNAP2"}</definedName>
    <definedName name="czf" hidden="1">{"AS REP",#N/A,FALSE,"EEFSNAP2";"PROP",#N/A,FALSE,"EEFSNAP2";"RISKS",#N/A,FALSE,"EEFSNAP2";"VIEW ALL",#N/A,FALSE,"EEFSNAP2"}</definedName>
    <definedName name="d" hidden="1">#REF!</definedName>
    <definedName name="da" hidden="1">#REF!</definedName>
    <definedName name="DA_2363882856400000306" hidden="1">#REF!</definedName>
    <definedName name="DA_2400979701300000014" hidden="1">#REF!</definedName>
    <definedName name="DA_2400979701300000018" hidden="1">#REF!</definedName>
    <definedName name="DA_2740559097700022579" hidden="1">#REF!</definedName>
    <definedName name="DAD" hidden="1">{#N/A,#N/A,FALSE,"REPORT"}</definedName>
    <definedName name="dada" hidden="1">{#N/A,#N/A,FALSE,"3";#N/A,#N/A,FALSE,"5";#N/A,#N/A,FALSE,"6";#N/A,#N/A,FALSE,"8";#N/A,#N/A,FALSE,"10";#N/A,#N/A,FALSE,"13";#N/A,#N/A,FALSE,"14";#N/A,#N/A,FALSE,"15";#N/A,#N/A,FALSE,"16"}</definedName>
    <definedName name="DADF" hidden="1">{#N/A,#N/A,FALSE,"REPORT"}</definedName>
    <definedName name="daf" hidden="1">{#N/A,#N/A,FALSE,"1";#N/A,#N/A,FALSE,"2";#N/A,#N/A,FALSE,"16 - 17";#N/A,#N/A,FALSE,"18 - 19";#N/A,#N/A,FALSE,"26";#N/A,#N/A,FALSE,"27";#N/A,#N/A,FALSE,"28"}</definedName>
    <definedName name="dafgadg" hidden="1">{"consolidated",#N/A,FALSE,"Sheet1";"cms",#N/A,FALSE,"Sheet1";"fse",#N/A,FALSE,"Sheet1"}</definedName>
    <definedName name="dafgadgf" hidden="1">{"hiden",#N/A,FALSE,"14";"hidden",#N/A,FALSE,"16";"hidden",#N/A,FALSE,"18";"hidden",#N/A,FALSE,"20"}</definedName>
    <definedName name="dakfkjafgkeaj" hidden="1">{#N/A,#N/A,FALSE,"Pharm";#N/A,#N/A,FALSE,"WWCM"}</definedName>
    <definedName name="DALS_GrandTotal" hidden="1">#REF!</definedName>
    <definedName name="das" hidden="1">{#N/A,#N/A,FALSE,"Produkte Erw.";#N/A,#N/A,FALSE,"Produkte Plan";#N/A,#N/A,FALSE,"Leistungen Erw.";#N/A,#N/A,FALSE,"Leistungen Plan";#N/A,#N/A,FALSE,"KA Allg.Kosten (2)";#N/A,#N/A,FALSE,"KA All.Kosten"}</definedName>
    <definedName name="dasdasdas" hidden="1">{#N/A,#N/A,FALSE,"3";#N/A,#N/A,FALSE,"5";#N/A,#N/A,FALSE,"6";#N/A,#N/A,FALSE,"8";#N/A,#N/A,FALSE,"10";#N/A,#N/A,FALSE,"13";#N/A,#N/A,FALSE,"14";#N/A,#N/A,FALSE,"15";#N/A,#N/A,FALSE,"16"}</definedName>
    <definedName name="data" hidden="1">{#N/A,#N/A,FALSE,"Budget 2001-2002 (2)"}</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ve" hidden="1">{"fis.dbo.r1_datasum"}</definedName>
    <definedName name="day" hidden="1">{#N/A,#N/A,FALSE,"DIR-REP";#N/A,#N/A,FALSE,"AUD-REPORT";#N/A,#N/A,FALSE,"P7L&amp;BS";#N/A,#N/A,FALSE,"NOTES";#N/A,#N/A,FALSE,"FA";#N/A,#N/A,FALSE,"NOTES (2)";#N/A,#N/A,FALSE,"Schedule  IV";#N/A,#N/A,FALSE,"Schedule V"}</definedName>
    <definedName name="dbase_char_set" hidden="1">1</definedName>
    <definedName name="dbase_compatibility" hidden="1">1</definedName>
    <definedName name="dbase_dflt" hidden="1">TRUE()</definedName>
    <definedName name="DBSDFSDF" hidden="1">{#N/A,#N/A,FALSE,"P&amp;L Variance";#N/A,#N/A,FALSE,"Location P&amp;L (Actual)";#N/A,#N/A,FALSE,"Location P&amp;L (Budget)";#N/A,#N/A,FALSE,"Location P&amp;L (Variance)";#N/A,#N/A,FALSE,"By Month P&amp;L"}</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{#N/A,#N/A,FALSE,"Pharm";#N/A,#N/A,FALSE,"WWCM"}</definedName>
    <definedName name="ddd" hidden="1">{#N/A,#N/A,FALSE,"Pharm";#N/A,#N/A,FALSE,"WWCM"}</definedName>
    <definedName name="ddda" hidden="1">{#N/A,#N/A,FALSE,"DIR-REP";#N/A,#N/A,FALSE,"AUD-REPORT";#N/A,#N/A,FALSE,"P7L&amp;BS";#N/A,#N/A,FALSE,"NOTES";#N/A,#N/A,FALSE,"FA";#N/A,#N/A,FALSE,"NOTES (2)";#N/A,#N/A,FALSE,"Schedule  IV";#N/A,#N/A,FALSE,"Schedule V"}</definedName>
    <definedName name="dddaz" hidden="1">{#N/A,#N/A,FALSE,"Pharm";#N/A,#N/A,FALSE,"WWCM"}</definedName>
    <definedName name="dddd" hidden="1">#REF!</definedName>
    <definedName name="dddddd" hidden="1">{#N/A,#N/A,FALSE,"Pharm";#N/A,#N/A,FALSE,"WWCM"}</definedName>
    <definedName name="ddddddd" hidden="1">{"detail",#N/A,FALSE,"mfg";"summary",#N/A,FALSE,"mfg"}</definedName>
    <definedName name="dddddddd" hidden="1">{#N/A,#N/A,FALSE,"Presentation by Unit";#N/A,#N/A,FALSE,"Presentation by BD";#N/A,#N/A,FALSE,"Presentation Split by Biggest U";#N/A,#N/A,FALSE,"Presentation Split by Area";#N/A,#N/A,FALSE,"Presentation Split by BD"}</definedName>
    <definedName name="ddddddddddd" hidden="1">{"US Current",#N/A,FALSE,"Mthly BS"}</definedName>
    <definedName name="dde" hidden="1">{#N/A,#N/A,TRUE,"Pro Forma";#N/A,#N/A,TRUE,"PF_Bal";#N/A,#N/A,TRUE,"PF_INC";#N/A,#N/A,TRUE,"CBE";#N/A,#N/A,TRUE,"SWK"}</definedName>
    <definedName name="ddf" hidden="1">{#N/A,#N/A,FALSE,"KA CH  (2)"}</definedName>
    <definedName name="ddfdff" hidden="1">{#N/A,#N/A,FALSE,"Presentation by Unit";#N/A,#N/A,FALSE,"Presentation by BD";#N/A,#N/A,FALSE,"Presentation Split by Biggest U";#N/A,#N/A,FALSE,"Presentation Split by Area";#N/A,#N/A,FALSE,"Presentation Split by BD"}</definedName>
    <definedName name="DDFGSD" hidden="1">{#N/A,#N/A,FALSE,"00 P&amp;L vs 99"}</definedName>
    <definedName name="ddx" hidden="1">{"YD LAPO2",#N/A,FALSE,"YTD";"YD LPH2",#N/A,FALSE,"YTD";"YD LOUISIANA",#N/A,FALSE,"YTD";"YD GENERALH2",#N/A,FALSE,"YTD";"YD PRS",#N/A,FALSE,"YTD";"YD PACKAGE",#N/A,FALSE,"YTD";"YD OTHER",#N/A,FALSE,"YTD"}</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ath_Rate" hidden="1">#REF!</definedName>
    <definedName name="debt_ratedBBB" hidden="1">{#N/A,#N/A,FALSE,"Aging Summary";#N/A,#N/A,FALSE,"Ratio Analysis";#N/A,#N/A,FALSE,"Test 120 Day Accts";#N/A,#N/A,FALSE,"Tickmarks"}</definedName>
    <definedName name="ded" hidden="1">{#N/A,#N/A,FALSE,"3";#N/A,#N/A,FALSE,"5";#N/A,#N/A,FALSE,"6";#N/A,#N/A,FALSE,"8";#N/A,#N/A,FALSE,"10";#N/A,#N/A,FALSE,"13";#N/A,#N/A,FALSE,"14";#N/A,#N/A,FALSE,"15";#N/A,#N/A,FALSE,"16"}</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C" hidden="1">{#N/A,#N/A,FALSE,"SUMMARY"}</definedName>
    <definedName name="defde" hidden="1">#REF!</definedName>
    <definedName name="deg" hidden="1">{"First Page",#N/A,FALSE,"Surfactants LBO";"Second Page",#N/A,FALSE,"Surfactants LBO"}</definedName>
    <definedName name="Delphine" hidden="1">{#N/A,#N/A,FALSE,"3";#N/A,#N/A,FALSE,"5";#N/A,#N/A,FALSE,"6";#N/A,#N/A,FALSE,"8";#N/A,#N/A,FALSE,"10";#N/A,#N/A,FALSE,"13";#N/A,#N/A,FALSE,"14";#N/A,#N/A,FALSE,"15";#N/A,#N/A,FALSE,"16"}</definedName>
    <definedName name="DEM" hidden="1">1.95583</definedName>
    <definedName name="DEMeXToEUR" hidden="1">1/eurextodem</definedName>
    <definedName name="Denom">#REF!</definedName>
    <definedName name="deptCol" hidden="1">#REF!</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crCol" hidden="1">#REF!</definedName>
    <definedName name="devc" hidden="1">{"TOTTEXAS",#N/A,FALSE,"CM"}</definedName>
    <definedName name="DEZLFEZKLHF" hidden="1">{#N/A,#N/A,FALSE,"Pharm";#N/A,#N/A,FALSE,"WWCM"}</definedName>
    <definedName name="df" hidden="1">{#N/A,#N/A,FALSE,"TB";#N/A,#N/A,FALSE,"AR";#N/A,#N/A,FALSE,"BS";#N/A,#N/A,FALSE,"PL";#N/A,#N/A,FALSE,"NOTES";#N/A,#N/A,FALSE,"NOTES (2)";#N/A,#N/A,FALSE,"NOTES (3)";#N/A,#N/A,FALSE,"TAXC.INDEX";#N/A,#N/A,FALSE,"Schedule I";#N/A,#N/A,FALSE,"DPL";#N/A,#N/A,FALSE,"Schedule IV";#N/A,#N/A,FALSE,"Adjustments"}</definedName>
    <definedName name="dfa" hidden="1">{"Units A",#N/A,FALSE,"FY95SLS";"Units B",#N/A,FALSE,"FY95SLS"}</definedName>
    <definedName name="dfahdfa" hidden="1">{0,0,0,0;0,0,0,0;0,0,0,0;TRUE,0,0,0;0,0,0,0;0,0,0,0;0,0,0,0;0,0,147.84,147.84;12,1774.08,0,0;0,0,0,#NULL!;0,0,0,0;0,0,TRUE,0;0,TRUE,TRUE,TRUE;0,0,0,0;0,0,0,0;0,0,0,0;0,0,0,0;0,0,0,0;0,0,0,0;0,0,0,0}</definedName>
    <definedName name="dfas" hidden="1">#REF!</definedName>
    <definedName name="dfasdf" hidden="1">{#N/A,#N/A,FALSE,"Financiel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dfasdfa" hidden="1">{#N/A,#N/A,FALSE,"Presentation by Unit";#N/A,#N/A,FALSE,"Presentation by BD";#N/A,#N/A,FALSE,"Presentation Split by Biggest U";#N/A,#N/A,FALSE,"Presentation Split by Area";#N/A,#N/A,FALSE,"Presentation Split by BD"}</definedName>
    <definedName name="dfasdfadfasd" hidden="1">{#N/A,#N/A,FALSE,"Presentation by Unit";#N/A,#N/A,FALSE,"Presentation by BD";#N/A,#N/A,FALSE,"Presentation Split by Biggest U";#N/A,#N/A,FALSE,"Presentation Split by Area";#N/A,#N/A,FALSE,"Presentation Split by BD"}</definedName>
    <definedName name="dfasdfasdf" hidden="1">{#N/A,#N/A,FALSE,"2Q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dfasdfasdfe" hidden="1">{#N/A,#N/A,FALSE,"USD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dfasdfsa" hidden="1">{#N/A,#N/A,FALSE,"USD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dfasdfsadf" hidden="1">{#N/A,#N/A,FALSE,"2Q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dfasdsa" hidden="1">{#N/A,#N/A,FALSE,"Cover Sheet";#N/A,#N/A,FALSE,"Key Indicators";#N/A,#N/A,FALSE,"Orders Summary";#N/A,#N/A,FALSE,"ORDERS TREND GRAPH";#N/A,#N/A,FALSE,"Revenue Summary";#N/A,#N/A,FALSE,"REVENUE TREND GRAPH";#N/A,#N/A,FALSE,"Revenue Actions";#N/A,#N/A,FALSE,"BACKLOG ANALYSIS";#N/A,#N/A,FALSE,"Keys to Success"}</definedName>
    <definedName name="dfd" hidden="1">{"comp1",#N/A,FALSE,"COMPS";"footnotes",#N/A,FALSE,"COMPS"}</definedName>
    <definedName name="DFDD" hidden="1">{#N/A,#N/A,FALSE,"REPORT"}</definedName>
    <definedName name="dfdddd" hidden="1">{#N/A,#N/A,FALSE,"TB";#N/A,#N/A,FALSE,"DR";#N/A,#N/A,FALSE,"AR";#N/A,#N/A,FALSE,"PL";#N/A,#N/A,FALSE,"BS";#N/A,#N/A,FALSE,"NOTES";#N/A,#N/A,FALSE,"NOTES (2)";#N/A,#N/A,FALSE,"NOTES (3)";#N/A,#N/A,FALSE,"DPL";#N/A,#N/A,FALSE,"TAXC.INDEX";#N/A,#N/A,FALSE,"Schedule I";#N/A,#N/A,FALSE,"Adjustments"}</definedName>
    <definedName name="dfddfddf" hidden="1">{#N/A,#N/A,FALSE,"Presentation by Unit";#N/A,#N/A,FALSE,"Presentation by BD";#N/A,#N/A,FALSE,"Presentation Split by Biggest U";#N/A,#N/A,FALSE,"Presentation Split by Area";#N/A,#N/A,FALSE,"Presentation Split by BD"}</definedName>
    <definedName name="dfde" hidden="1">#REF!</definedName>
    <definedName name="dfdf" hidden="1">{#N/A,#N/A,FALSE,"Financiel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dfdfdf" hidden="1">{#N/A,#N/A,FALSE,"Presentation by Unit";#N/A,#N/A,FALSE,"Presentation by BD";#N/A,#N/A,FALSE,"Presentation Split by Biggest U";#N/A,#N/A,FALSE,"Presentation Split by Area";#N/A,#N/A,FALSE,"Presentation Split by BD"}</definedName>
    <definedName name="dfdsfdfdsfdsf" hidden="1">{#N/A,#N/A,FALSE,"Eastern";#N/A,#N/A,FALSE,"Western"}</definedName>
    <definedName name="dfegf" hidden="1">{"'MVS'!$A$5:$O$716"}</definedName>
    <definedName name="dff" hidden="1">#REF!</definedName>
    <definedName name="dfg"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test" hidden="1">{#N/A,#N/A,FALSE,"Assumptions";#N/A,#N/A,FALSE,"N-IS-Sum";#N/A,#N/A,FALSE,"N-St-Sum";#N/A,#N/A,FALSE,"Inc Stmt";#N/A,#N/A,FALSE,"Stats"}</definedName>
    <definedName name="DFG.TEST.TEST" hidden="1">{#N/A,#N/A,FALSE,"Assumptions";#N/A,#N/A,FALSE,"N-IS-Sum";#N/A,#N/A,FALSE,"N-St-Sum";#N/A,#N/A,FALSE,"Inc Stmt";#N/A,#N/A,FALSE,"Stats"}</definedName>
    <definedName name="DFG.TEST.TEST.TEST1233" hidden="1">{#N/A,#N/A,FALSE,"Assumptions";#N/A,#N/A,FALSE,"N-IS-Sum";#N/A,#N/A,FALSE,"N-St-Sum";#N/A,#N/A,FALSE,"Inc Stmt";#N/A,#N/A,FALSE,"Stats"}</definedName>
    <definedName name="dfga" hidden="1">{#N/A,#N/A,FALSE,"output";#N/A,#N/A,FALSE,"contrib";#N/A,#N/A,FALSE,"profile";#N/A,#N/A,FALSE,"comps"}</definedName>
    <definedName name="dfgadg" hidden="1">{"assumption cash",#N/A,TRUE,"Merger";"has gets cash",#N/A,TRUE,"Merger";"accretion dilution",#N/A,TRUE,"Merger";"comparison credit stats",#N/A,TRUE,"Merger";"pf credit stats",#N/A,TRUE,"Merger";"pf sheets",#N/A,TRUE,"Merger"}</definedName>
    <definedName name="dfgd" hidden="1">{"subs",#N/A,FALSE,"database ";"proportional",#N/A,FALSE,"database "}</definedName>
    <definedName name="dfgdagfd" hidden="1">{"away stand alones",#N/A,FALSE,"Target"}</definedName>
    <definedName name="dfgdf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fgdg" hidden="1">{"casespecific",#N/A,FALSE,"Assumptions"}</definedName>
    <definedName name="dfgds" hidden="1">38922.8233796296</definedName>
    <definedName name="dfgerg" hidden="1">{"Units A",#N/A,FALSE,"FY95SLS";"Units B",#N/A,FALSE,"FY95SLS"}</definedName>
    <definedName name="dfgf" hidden="1">{"Pound Sterling",#N/A,TRUE,"PPD";"Pound Sterling",#N/A,TRUE,"Anaquest";"Pound Sterling",#N/A,TRUE,"Delta";"Pound Sterling",#N/A,TRUE,"INO"}</definedName>
    <definedName name="dfgfdg" hidden="1">{#N/A,#N/A,FALSE,"Umsatz CH";#N/A,#N/A,FALSE,"ER CH";#N/A,#N/A,FALSE,"EA CH (2) ";#N/A,#N/A,FALSE,"EA CH";#N/A,#N/A,FALSE,"EA CH (3) ";#N/A,#N/A,FALSE,"EA CH (4)";#N/A,#N/A,FALSE,"KA CH";#N/A,#N/A,FALSE,"KA CH  (2)";#N/A,#N/A,FALSE,"KA CH  (3)";#N/A,#N/A,FALSE,"KA CH (4)"}</definedName>
    <definedName name="dfgfdgf" hidden="1">{#N/A,#N/A,FALSE,"Produkte Erw.";#N/A,#N/A,FALSE,"Produkte Plan";#N/A,#N/A,FALSE,"Leistungen Erw.";#N/A,#N/A,FALSE,"Leistungen Plan";#N/A,#N/A,FALSE,"KA Allg.Kosten (2)";#N/A,#N/A,FALSE,"KA All.Kosten"}</definedName>
    <definedName name="dfgfg" hidden="1">{#N/A,#N/A,FALSE,"Umsatz HM";#N/A,#N/A,FALSE,"ER HM";#N/A,#N/A,FALSE,"EA HM  (2)";#N/A,#N/A,FALSE,"EA HM ";#N/A,#N/A,FALSE,"EA HM  (4)";#N/A,#N/A,FALSE,"EA HM  (3)";#N/A,#N/A,FALSE,"KA HM  (2)";#N/A,#N/A,FALSE,"KA HM";#N/A,#N/A,FALSE,"KA HM  (3)";#N/A,#N/A,FALSE,"KA HM (4)"}</definedName>
    <definedName name="dfgfghg" hidden="1">{"CSC_1",#N/A,FALSE,"CSC Outputs";"CSC_2",#N/A,FALSE,"CSC Outputs"}</definedName>
    <definedName name="dfggfhhj" hidden="1">{#N/A,#N/A,FALSE,"Umsatz CH";#N/A,#N/A,FALSE,"ER CH";#N/A,#N/A,FALSE,"EA CH (2) ";#N/A,#N/A,FALSE,"EA CH";#N/A,#N/A,FALSE,"EA CH (3) ";#N/A,#N/A,FALSE,"EA CH (4)";#N/A,#N/A,FALSE,"KA CH";#N/A,#N/A,FALSE,"KA CH  (2)";#N/A,#N/A,FALSE,"KA CH  (3)";#N/A,#N/A,FALSE,"KA CH (4)"}</definedName>
    <definedName name="dfgh" hidden="1">{#N/A,"PURCHM",FALSE,"Business Analysis";#N/A,"SPADD",FALSE,"Business Analysis"}</definedName>
    <definedName name="dfghdfhdg" hidden="1">{#N/A,#N/A,FALSE,"Umsatz 99";#N/A,#N/A,FALSE,"ER 99 "}</definedName>
    <definedName name="DFGJDFJ" hidden="1">{#N/A,#N/A,FALSE,"00 P&amp;L vs 99"}</definedName>
    <definedName name="dfgsfg" hidden="1">{"Pound Sterling",#N/A,TRUE,"PPD";"Pound Sterling",#N/A,TRUE,"Anaquest";"Pound Sterling",#N/A,TRUE,"Delta";"Pound Sterling",#N/A,TRUE,"INO"}</definedName>
    <definedName name="dfhbadfh" hidden="1">{"Pound Sterling",#N/A,TRUE,"PPD";"Pound Sterling",#N/A,TRUE,"Anaquest";"Pound Sterling",#N/A,TRUE,"Delta";"Pound Sterling",#N/A,TRUE,"INO"}</definedName>
    <definedName name="dfhdf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fhdfhdfhdfh" hidden="1">{#N/A,#N/A,FALSE,"3";#N/A,#N/A,FALSE,"5";#N/A,#N/A,FALSE,"6";#N/A,#N/A,FALSE,"8";#N/A,#N/A,FALSE,"10";#N/A,#N/A,FALSE,"13";#N/A,#N/A,FALSE,"14";#N/A,#N/A,FALSE,"15";#N/A,#N/A,FALSE,"16"}</definedName>
    <definedName name="dfhdfhdfhfdh" hidden="1">{#N/A,#N/A,FALSE,"3";#N/A,#N/A,FALSE,"5";#N/A,#N/A,FALSE,"6";#N/A,#N/A,FALSE,"8";#N/A,#N/A,FALSE,"10";#N/A,#N/A,FALSE,"13";#N/A,#N/A,FALSE,"14";#N/A,#N/A,FALSE,"15";#N/A,#N/A,FALSE,"16"}</definedName>
    <definedName name="dfhdfhfdhdfh" hidden="1">{#N/A,#N/A,FALSE,"3";#N/A,#N/A,FALSE,"5";#N/A,#N/A,FALSE,"6";#N/A,#N/A,FALSE,"8";#N/A,#N/A,FALSE,"10";#N/A,#N/A,FALSE,"13";#N/A,#N/A,FALSE,"14";#N/A,#N/A,FALSE,"15";#N/A,#N/A,FALSE,"16"}</definedName>
    <definedName name="DFHFDHFDH" hidden="1">{#N/A,#N/A,FALSE,"Operations";#N/A,#N/A,FALSE,"Financials"}</definedName>
    <definedName name="dfhtru" hidden="1">{"Units A",#N/A,FALSE,"FY95SLS";"Units B",#N/A,FALSE,"FY95SLS"}</definedName>
    <definedName name="dFilter">""</definedName>
    <definedName name="dfr" hidden="1">{#N/A,#N/A,FALSE,"Pharm";#N/A,#N/A,FALSE,"WWCM"}</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hidden="1">{"stepel",#N/A,FALSE,"AHFSTEP"}</definedName>
    <definedName name="dfsdfdsf" hidden="1">{#N/A,#N/A,FALSE,"Umsatz CH";#N/A,#N/A,FALSE,"ER CH";#N/A,#N/A,FALSE,"EA CH (2) ";#N/A,#N/A,FALSE,"EA CH";#N/A,#N/A,FALSE,"EA CH (3) ";#N/A,#N/A,FALSE,"EA CH (4)";#N/A,#N/A,FALSE,"KA CH";#N/A,#N/A,FALSE,"KA CH  (2)";#N/A,#N/A,FALSE,"KA CH  (3)";#N/A,#N/A,FALSE,"KA CH (4)"}</definedName>
    <definedName name="dfsdfsdfsdfsdf" hidden="1">{#N/A,#N/A,FALSE,"Presentation by Unit";#N/A,#N/A,FALSE,"Presentation by BD";#N/A,#N/A,FALSE,"Presentation Split by Biggest U";#N/A,#N/A,FALSE,"Presentation Split by Area";#N/A,#N/A,FALSE,"Presentation Split by BD"}</definedName>
    <definedName name="dg" hidden="1">{"comp1",#N/A,FALSE,"COMPS";"footnotes",#N/A,FALSE,"COMPS"}</definedName>
    <definedName name="dgdfgdgfdg" hidden="1">{"hiden",#N/A,FALSE,"14";"hidden",#N/A,FALSE,"16";"hidden",#N/A,FALSE,"18";"hidden",#N/A,FALSE,"20"}</definedName>
    <definedName name="dgdfgfd" hidden="1">{"up stand alones",#N/A,FALSE,"Acquiror"}</definedName>
    <definedName name="dgdg" hidden="1">{#N/A,#N/A,FALSE,"Calc";#N/A,#N/A,FALSE,"Sensitivity";#N/A,#N/A,FALSE,"LT Earn.Dil.";#N/A,#N/A,FALSE,"Dil. AVP"}</definedName>
    <definedName name="dgdgdfg" hidden="1">{"away stand alones",#N/A,FALSE,"Target"}</definedName>
    <definedName name="dgdgdgfd" hidden="1">{#N/A,#N/A,FALSE,"Operations";#N/A,#N/A,FALSE,"Financials"}</definedName>
    <definedName name="dgdgdgfdg" hidden="1">{"assumption 50 50",#N/A,TRUE,"Merger";"has gets cash",#N/A,TRUE,"Merger";"accretion dilution",#N/A,TRUE,"Merger";"comparison credit stats",#N/A,TRUE,"Merger";"pf credit stats",#N/A,TRUE,"Merger";"pf sheets",#N/A,TRUE,"Merger"}</definedName>
    <definedName name="dgdgfd" hidden="1">{"assumption 50 50",#N/A,TRUE,"Merger";"has gets cash",#N/A,TRUE,"Merger";"accretion dilution",#N/A,TRUE,"Merger";"comparison credit stats",#N/A,TRUE,"Merger";"pf credit stats",#N/A,TRUE,"Merger";"pf sheets",#N/A,TRUE,"Merger"}</definedName>
    <definedName name="dgdgfdgfdgfd" hidden="1">{"assumption cash",#N/A,TRUE,"Merger";"has gets cash",#N/A,TRUE,"Merger";"accretion dilution",#N/A,TRUE,"Merger";"comparison credit stats",#N/A,TRUE,"Merger";"pf credit stats",#N/A,TRUE,"Merger";"pf sheets",#N/A,TRUE,"Merger"}</definedName>
    <definedName name="dgdgss" hidden="1">{"consolidated",#N/A,FALSE,"Sheet1";"cms",#N/A,FALSE,"Sheet1";"fse",#N/A,FALSE,"Sheet1"}</definedName>
    <definedName name="dgdsgdsg" hidden="1">{"comps2",#N/A,FALSE,"AERO";"footnotes",#N/A,FALSE,"AERO"}</definedName>
    <definedName name="dgfdgfdg" hidden="1">{#N/A,#N/A,FALSE,"Calc";#N/A,#N/A,FALSE,"Sensitivity";#N/A,#N/A,FALSE,"LT Earn.Dil.";#N/A,#N/A,FALSE,"Dil. AVP"}</definedName>
    <definedName name="dgfg"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dgfhayr" hidden="1">{"Units A",#N/A,FALSE,"FY95SLS";"Units B",#N/A,FALSE,"FY95SLS"}</definedName>
    <definedName name="dghgh" hidden="1">{#N/A,#N/A,FALSE,"Produkte Erw.";#N/A,#N/A,FALSE,"Produkte Plan";#N/A,#N/A,FALSE,"Leistungen Erw.";#N/A,#N/A,FALSE,"Leistungen Plan";#N/A,#N/A,FALSE,"KA Allg.Kosten (2)";#N/A,#N/A,FALSE,"KA All.Kosten"}</definedName>
    <definedName name="dgret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hdfhdfhdfh" hidden="1">{#N/A,#N/A,FALSE,"3";#N/A,#N/A,FALSE,"5";#N/A,#N/A,FALSE,"6";#N/A,#N/A,FALSE,"8";#N/A,#N/A,FALSE,"10";#N/A,#N/A,FALSE,"13";#N/A,#N/A,FALSE,"14";#N/A,#N/A,FALSE,"15";#N/A,#N/A,FALSE,"16"}</definedName>
    <definedName name="dhgkdghk"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hmdgj" hidden="1">{"Pound Sterling",#N/A,TRUE,"PPD";"Pound Sterling",#N/A,TRUE,"Anaquest";"Pound Sterling",#N/A,TRUE,"Delta";"Pound Sterling",#N/A,TRUE,"INO"}</definedName>
    <definedName name="dhr" hidden="1">{"Pound Sterling",#N/A,TRUE,"PPD";"Pound Sterling",#N/A,TRUE,"Anaquest";"Pound Sterling",#N/A,TRUE,"Delta";"Pound Sterling",#N/A,TRUE,"INO"}</definedName>
    <definedName name="dhrd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htrhd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iable" hidden="1">{#N/A,#N/A,FALSE,"Operations";#N/A,#N/A,FALSE,"Financials"}</definedName>
    <definedName name="diek" hidden="1">{"Units A",#N/A,FALSE,"FY95SLS";"Units B",#N/A,FALSE,"FY95SLS"}</definedName>
    <definedName name="Discount_Rate" hidden="1">#REF!</definedName>
    <definedName name="divisionRow" hidden="1">#REF!</definedName>
    <definedName name="dj" hidden="1">{#N/A,#N/A,FALSE,"CreditStat";#N/A,#N/A,FALSE,"SPbrkup";#N/A,#N/A,FALSE,"MerSPsyn";#N/A,#N/A,FALSE,"MerSPwKCsyn";#N/A,#N/A,FALSE,"MerSPwKCsyn (2)";#N/A,#N/A,FALSE,"CreditStat (2)"}</definedName>
    <definedName name="djhfaoifna" hidden="1">{"first",#N/A,FALSE,"1st qtr";"second",#N/A,FALSE,"2nd Qtr";"third",#N/A,FALSE,"3rd Qtr";"fourth",#N/A,FALSE,"4th qtr";"year",#N/A,FALSE,"total year"}</definedName>
    <definedName name="djksljd" hidden="1">{#N/A,#N/A,FALSE,"Other";#N/A,#N/A,FALSE,"Ace";#N/A,#N/A,FALSE,"Derm"}</definedName>
    <definedName name="DKFASJ" hidden="1">{#N/A,#N/A,FALSE,"00 P&amp;L vs 99"}</definedName>
    <definedName name="dkgahirghigf" hidden="1">{#N/A,#N/A,FALSE,"Pharm";#N/A,#N/A,FALSE,"WWCM"}</definedName>
    <definedName name="DME_Dirty" hidden="1">"False"</definedName>
    <definedName name="DME_DocumentFlags" hidden="1">"1"</definedName>
    <definedName name="DME_DocumentID" hidden="1">"::ODMA\DME-MSE\SDM-76573"</definedName>
    <definedName name="DME_DocumentOpened" hidden="1">"True"</definedName>
    <definedName name="DME_DocumentTitle" hidden="1">"SDM-76573 - Simtronics input  Profit &amp; Loss 2008"</definedName>
    <definedName name="DME_LocalFile" hidden="1">"True"</definedName>
    <definedName name="DME_NextWindowNumber" hidden="1">"2"</definedName>
    <definedName name="DME_ODMALinks1" hidden="1">"::ODMA\DME-MSE\London-44590=C:\TEMP\Dme\London-44590.xls"</definedName>
    <definedName name="DME_ODMALinksCount" hidden="1">"1"</definedName>
    <definedName name="doatla" hidden="1">{#N/A,#N/A,FALSE,"TB";#N/A,#N/A,FALSE,"DR";#N/A,#N/A,FALSE,"AR";#N/A,#N/A,FALSE,"BS";#N/A,#N/A,FALSE,"PL";#N/A,#N/A,FALSE,"NOTES";#N/A,#N/A,FALSE,"NOTES (2)";#N/A,#N/A,FALSE,"NOTES (3)";#N/A,#N/A,FALSE,"DPL";#N/A,#N/A,FALSE,"DPL"}</definedName>
    <definedName name="dog" hidden="1">{"Assumptions",#N/A,FALSE,"Sheet1";"Main Report",#N/A,FALSE,"Sheet1";"Results",#N/A,FALSE,"Sheet1";"Advances",#N/A,FALSE,"Sheet1"}</definedName>
    <definedName name="donte" hidden="1">{#N/A,#N/A,FALSE,"Cristal D'Oro (Tabela)";#N/A,#N/A,FALSE,"Cond Rio Tietê (Tabela)";#N/A,#N/A,FALSE,"Jacyr Leal (Tabela)";#N/A,#N/A,FALSE,"Paul Cézanne (Tabela)";#N/A,#N/A,FALSE,"Tom Jobim  (Tabela)"}</definedName>
    <definedName name="doo" hidden="1">{#N/A,#N/A,FALSE,"Cristal D'Oro (Tabela)";#N/A,#N/A,FALSE,"Cond Rio Tietê (Tabela)";#N/A,#N/A,FALSE,"Jacyr Leal (Tabela)";#N/A,#N/A,FALSE,"Paul Cézanne (Tabela)";#N/A,#N/A,FALSE,"Tom Jobim  (Tabela)"}</definedName>
    <definedName name="down" hidden="1">{#N/A,#N/A,FALSE,"Umsatz";#N/A,#N/A,FALSE,"Base V.02";#N/A,#N/A,FALSE,"Charts"}</definedName>
    <definedName name="dq" hidden="1">{"Comp_of_Price_Effect",#N/A,FALSE,"QTRDPVAR"}</definedName>
    <definedName name="drak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e" hidden="1">{#N/A,"PURADD",FALSE,"Business Analysis";#N/A,"PURSPP",FALSE,"Business Analysis";#N/A,"CTGIND",FALSE,"Business Analysis";#N/A,"PURCHM",FALSE,"Business Analysis";#N/A,"SPADD",FALSE,"Business Analysis";#N/A,"EPOXY",FALSE,"Business Analysis";#N/A,"PURPER",FALSE,"Business Analysis"}</definedName>
    <definedName name="drfh" hidden="1">{#N/A,#N/A,FALSE,"3";#N/A,#N/A,FALSE,"5";#N/A,#N/A,FALSE,"6";#N/A,#N/A,FALSE,"8";#N/A,#N/A,FALSE,"10";#N/A,#N/A,FALSE,"13";#N/A,#N/A,FALSE,"14";#N/A,#N/A,FALSE,"15";#N/A,#N/A,FALSE,"16"}</definedName>
    <definedName name="drhdr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drhrhdfh" hidden="1">{"Sum WW A",#N/A,FALSE,"FY95SLS";"Sum WW B",#N/A,FALSE,"FY95SLS";"Sum US A",#N/A,FALSE,"FY95SLS";"Sum US B",#N/A,FALSE,"FY95SLS";"Sum US Bocg",#N/A,FALSE,"FY95SLS";"Sum Can A",#N/A,FALSE,"FY95SLS";"Sum Can B",#N/A,FALSE,"FY95SLS";"Sum Europe",#N/A,FALSE,"FY95SLS";"Sum Row",#N/A,FALSE,"FY95SLS"}</definedName>
    <definedName name="drhrh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rw" hidden="1">{"PAGE 1",#N/A,FALSE,"COS";"PAGE 2",#N/A,FALSE,"COS";"PAGE 3",#N/A,FALSE,"COS"}</definedName>
    <definedName name="ds" hidden="1">#REF!</definedName>
    <definedName name="dsazz" hidden="1">{#N/A,#N/A,FALSE,"ACQ_GRAPHS";#N/A,#N/A,FALSE,"T_1 GRAPHS";#N/A,#N/A,FALSE,"T_2 GRAPHS";#N/A,#N/A,FALSE,"COMB_GRAPHS"}</definedName>
    <definedName name="dsd" hidden="1">{"orixcsc",#N/A,FALSE,"ORIX CSC";"orixcsc2",#N/A,FALSE,"ORIX CSC"}</definedName>
    <definedName name="dsdafgsa" hidden="1">{"Performance Details",#N/A,FALSE,"Current Yr";"Performance Details",#N/A,FALSE,"Budget";"Performance Details",#N/A,FALSE,"Prior Year"}</definedName>
    <definedName name="dsdsfa" hidden="1">#REF!</definedName>
    <definedName name="dse" hidden="1">{"YTDACT",#N/A,FALSE,"YTD Cum";"YTDBUD",#N/A,FALSE,"YTD Cum";"YTDPRIOR",#N/A,FALSE,"YTD Cum"}</definedName>
    <definedName name="dsf" hidden="1">#REF!</definedName>
    <definedName name="dsfas" hidden="1">#REF!</definedName>
    <definedName name="dsfsf" hidden="1">{"detail",#N/A,FALSE,"mfg";"summary",#N/A,FALSE,"mfg"}</definedName>
    <definedName name="dsfsffss" hidden="1">{#N/A,#N/A,FALSE,"Pharm";#N/A,#N/A,FALSE,"WWCM"}</definedName>
    <definedName name="dsg" hidden="1">{#N/A,#N/A,FALSE,"Calc";#N/A,#N/A,FALSE,"Sensitivity";#N/A,#N/A,FALSE,"LT Earn.Dil.";#N/A,#N/A,FALSE,"Dil. AVP"}</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ggd" hidden="1">{#N/A,#N/A,FALSE,"Cover";"Short outputs",#N/A,FALSE,"Outputs";#N/A,#N/A,FALSE,"Control (In)";"tesco summary",#N/A,FALSE,"Tesco";"Outputs and Co summaries",#N/A,FALSE,"Sainsbury";"Outputs and Co Summaries",#N/A,FALSE,"Carrefour";"Outputs and Co summaries",#N/A,FALSE,"Co D";"Outputs and Co summaries",#N/A,FALSE,"Co E"}</definedName>
    <definedName name="dsgsdgfdsg" hidden="1">{#N/A,#N/A,FALSE,"3";#N/A,#N/A,FALSE,"5";#N/A,#N/A,FALSE,"6";#N/A,#N/A,FALSE,"8";#N/A,#N/A,FALSE,"10";#N/A,#N/A,FALSE,"13";#N/A,#N/A,FALSE,"14";#N/A,#N/A,FALSE,"15";#N/A,#N/A,FALSE,"16"}</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N" hidden="1">"Toolpack_C52008.dsn"</definedName>
    <definedName name="dsqd" hidden="1">{"vue1",#N/A,FALSE,"synthese";"vue2",#N/A,FALSE,"synthese"}</definedName>
    <definedName name="dsqdsqd" hidden="1">{"vue1",#N/A,FALSE,"synthese";"vue2",#N/A,FALSE,"synthese"}</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zd" hidden="1">{#N/A,#N/A,FALSE,"ACQ_GRAPHS";#N/A,#N/A,FALSE,"T_1 GRAPHS";#N/A,#N/A,FALSE,"T_2 GRAPHS";#N/A,#N/A,FALSE,"COMB_GRAPHS"}</definedName>
    <definedName name="dtaot" hidden="1">{#N/A,#N/A,FALSE,"DIR-REP";#N/A,#N/A,FALSE,"AUD-REPORT";#N/A,#N/A,FALSE,"P7L&amp;BS";#N/A,#N/A,FALSE,"NOTES";#N/A,#N/A,FALSE,"FA";#N/A,#N/A,FALSE,"NOTES (2)";#N/A,#N/A,FALSE,"Schedule  IV";#N/A,#N/A,FALSE,"Schedule V"}</definedName>
    <definedName name="dtht" hidden="1">{"US Dollars",#N/A,TRUE,"PPD";"US Dollar",#N/A,TRUE,"Anaquest";"US Dollar",#N/A,TRUE,"Delta";"US Dollar",#N/A,TRUE,"INO"}</definedName>
    <definedName name="dtk" hidden="1">{"Title",#N/A,TRUE,"Title";"Content",#N/A,TRUE,"Title";"Section1",#N/A,TRUE,"Title";"Output1",#N/A,TRUE,"Output";"Section2",#N/A,TRUE,"Title";"Graph1",#N/A,TRUE,"Output";"Section3",#N/A,TRUE,"Title";"Graph2",#N/A,TRUE,"Output";"Section4",#N/A,TRUE,"Title";"Gap1",#N/A,TRUE,"Output";"Section5",#N/A,TRUE,"Title";"Model_all",#N/A,TRUE,"Autostrade S.p.A."}</definedName>
    <definedName name="duplicate123A" hidden="1">#REF!</definedName>
    <definedName name="dvfgwery" hidden="1">{"Units A",#N/A,FALSE,"FY95SLS";"Units B",#N/A,FALSE,"FY95SLS"}</definedName>
    <definedName name="dwd" hidden="1">{#N/A,#N/A,FALSE,"Cristal D'Oro (Tabela)";#N/A,#N/A,FALSE,"Cond Rio Tietê (Tabela)";#N/A,#N/A,FALSE,"Jacyr Leal (Tabela)";#N/A,#N/A,FALSE,"Paul Cézanne (Tabela)";#N/A,#N/A,FALSE,"Tom Jobim  (Tabela)"}</definedName>
    <definedName name="dwx" hidden="1">{"Comp_of_Price_Effect",#N/A,FALSE,"QTRDPVAR"}</definedName>
    <definedName name="dx" hidden="1">{"Month Summary",#N/A,FALSE,"Summary";"Total Details",#N/A,FALSE,"Current Yr";"Polymers Details",#N/A,FALSE,"Current Yr";"Performance Details",#N/A,FALSE,"Current Yr";"ICD Details",#N/A,FALSE,"Current Yr"}</definedName>
    <definedName name="E.On" hidden="1">{#N/A,#N/A,FALSE,"Eastern";#N/A,#N/A,FALSE,"Western"}</definedName>
    <definedName name="ea" hidden="1">{#N/A,#N/A,TRUE,"Forecast &amp; Analysis";#N/A,#N/A,TRUE,"Market Values";#N/A,#N/A,TRUE,"Ratios";#N/A,#N/A,TRUE,"Regressions";#N/A,#N/A,TRUE,"Market Values";#N/A,#N/A,TRUE,"Parameters &amp; Results"}</definedName>
    <definedName name="eaga" hidden="1">{"up stand alones",#N/A,FALSE,"Acquiror"}</definedName>
    <definedName name="eay" hidden="1">{#N/A,#N/A,TRUE,"COVER";#N/A,#N/A,TRUE,"DIR";#N/A,#N/A,TRUE,"AUDIT"}</definedName>
    <definedName name="ed" hidden="1">{"vol data",#N/A,FALSE,"Datasheet";"vol graph",#N/A,FALSE,"Volume";"price data",#N/A,FALSE,"Datasheet";"price graph",#N/A,FALSE,"Price";"dp data",#N/A,FALSE,"Datasheet";"dp graph",#N/A,FALSE,"DirectProfit"}</definedName>
    <definedName name="eddfyi" hidden="1">{"Pound Sterling",#N/A,TRUE,"PPD";"Pound Sterling",#N/A,TRUE,"Anaquest";"Pound Sterling",#N/A,TRUE,"Delta";"Pound Sterling",#N/A,TRUE,"INO"}</definedName>
    <definedName name="ede" hidden="1">#REF!</definedName>
    <definedName name="edilcei" hidden="1">{#N/A,#N/A,FALSE,"Aging Summary";#N/A,#N/A,FALSE,"Ratio Analysis";#N/A,#N/A,FALSE,"Test 120 Day Accts";#N/A,#N/A,FALSE,"Tickmarks"}</definedName>
    <definedName name="Editable" hidden="1">#REF!,#REF!,#REF!,#REF!</definedName>
    <definedName name="edl"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e" hidden="1">{#N/A,#N/A,FALSE,"KA CH  (2)"}</definedName>
    <definedName name="EEE" hidden="1">{#N/A,#N/A,FALSE,"Pharm";#N/A,#N/A,FALSE,"WWCM"}</definedName>
    <definedName name="eee.lll" hidden="1">{#N/A,#N/A,FALSE,"PMW Gruppe 99_98";#N/A,#N/A,FALSE,"PMW KG 98_99";#N/A,#N/A,FALSE,"PMW Inc. 99_98";#N/A,#N/A,FALSE,"PMW VTECH 99_98";#N/A,#N/A,FALSE,"PMW Thail. 99_98";#N/A,#N/A,FALSE,"PMW Canada 99_98";#N/A,#N/A,FALSE,"Währungsabw. 99_98"}</definedName>
    <definedName name="eeee" hidden="1">{"YD LAPO2",#N/A,FALSE,"YTD"}</definedName>
    <definedName name="eeeee" hidden="1">{#N/A,#N/A,FALSE,"Pharm";#N/A,#N/A,FALSE,"WWCM"}</definedName>
    <definedName name="eeeeee" hidden="1">{"YD OTHER",#N/A,FALSE,"YTD"}</definedName>
    <definedName name="eeeeeee" hidden="1">{"YD LPH2",#N/A,FALSE,"YTD"}</definedName>
    <definedName name="eeeeeeee" hidden="1">{"Pg1",#N/A,FALSE,"OpExYTDvsBud";"Pg2",#N/A,FALSE,"OpExYTDvsBud"}</definedName>
    <definedName name="eeeeeeeee" hidden="1">{"Pa1",#N/A,FALSE,"OpExYTDvsPY";"Pa2",#N/A,FALSE,"OpExYTDvsPY"}</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hidden="1">{#N/A,"PURCHM",FALSE,"Business Analysis";#N/A,"SPADD",FALSE,"Business Analysis"}</definedName>
    <definedName name="eeeeeeeeeeee" hidden="1">{"pro_view",#N/A,FALSE,"EEFSNAP2";"rep_view",#N/A,FALSE,"EEFSNAP2"}</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ir" hidden="1">{#N/A,#N/A,FALSE,"TB";#N/A,#N/A,FALSE,"DR";#N/A,#N/A,FALSE,"AR";#N/A,#N/A,FALSE,"BS";#N/A,#N/A,FALSE,"PL";#N/A,#N/A,FALSE,"NOTES";#N/A,#N/A,FALSE,"NOTES (2)";#N/A,#N/A,FALSE,"NOTES (3)";#N/A,#N/A,FALSE,"DPL";#N/A,#N/A,FALSE,"DPL"}</definedName>
    <definedName name="eer" hidden="1">{#N/A,#N/A,FALSE,"Hoja1";#N/A,#N/A,FALSE,"Hoja2"}</definedName>
    <definedName name="eert" hidden="1">{#N/A,#N/A,FALSE,"Umsatz EO BP";#N/A,#N/A,FALSE,"Umsatz EO OP";#N/A,#N/A,FALSE,"ER EO BP";#N/A,#N/A,FALSE,"ER EO OP";#N/A,#N/A,FALSE,"EA EO (2)";#N/A,#N/A,FALSE,"EA EO";#N/A,#N/A,FALSE,"EA EO (3)";#N/A,#N/A,FALSE,"EA EO (4)";#N/A,#N/A,FALSE,"KA EO  (2)";#N/A,#N/A,FALSE,"KA EO";#N/A,#N/A,FALSE,"KA EO  (3)";#N/A,#N/A,FALSE,"KA EO (4)"}</definedName>
    <definedName name="EERYREYREYERY" hidden="1">{"up stand alones",#N/A,FALSE,"Acquiror"}</definedName>
    <definedName name="efa" hidden="1">{"werbung",#N/A,FALSE,"GuV9900-0399";"betrieb",#N/A,FALSE,"GuV9900-0399";"personal",#N/A,FALSE,"GuV9900-0399";"tvg",#N/A,FALSE,"GuV9900-0399";"verwaltung",#N/A,FALSE,"GuV9900-0399"}</definedName>
    <definedName name="efag" hidden="1">{"werbung",#N/A,FALSE,"GuV9900-0399";"betrieb",#N/A,FALSE,"GuV9900-0399";"personal",#N/A,FALSE,"GuV9900-0399";"tvg",#N/A,FALSE,"GuV9900-0399";"verwaltung",#N/A,FALSE,"GuV9900-0399"}</definedName>
    <definedName name="egege" hidden="1">{#N/A,#N/A,FALSE,"3";#N/A,#N/A,FALSE,"5";#N/A,#N/A,FALSE,"6";#N/A,#N/A,FALSE,"8";#N/A,#N/A,FALSE,"10";#N/A,#N/A,FALSE,"13";#N/A,#N/A,FALSE,"14";#N/A,#N/A,FALSE,"15";#N/A,#N/A,FALSE,"16"}</definedName>
    <definedName name="egegge" hidden="1">{#N/A,#N/A,FALSE,"3";#N/A,#N/A,FALSE,"5";#N/A,#N/A,FALSE,"6";#N/A,#N/A,FALSE,"8";#N/A,#N/A,FALSE,"10";#N/A,#N/A,FALSE,"13";#N/A,#N/A,FALSE,"14";#N/A,#N/A,FALSE,"15";#N/A,#N/A,FALSE,"16"}</definedName>
    <definedName name="egg" hidden="1">{#N/A,#N/A,FALSE,"3";#N/A,#N/A,FALSE,"5";#N/A,#N/A,FALSE,"6";#N/A,#N/A,FALSE,"8";#N/A,#N/A,FALSE,"10";#N/A,#N/A,FALSE,"13";#N/A,#N/A,FALSE,"14";#N/A,#N/A,FALSE,"15";#N/A,#N/A,FALSE,"16"}</definedName>
    <definedName name="eggseg" hidden="1">{#N/A,#N/A,FALSE,"3";#N/A,#N/A,FALSE,"5";#N/A,#N/A,FALSE,"6";#N/A,#N/A,FALSE,"8";#N/A,#N/A,FALSE,"10";#N/A,#N/A,FALSE,"13";#N/A,#N/A,FALSE,"14";#N/A,#N/A,FALSE,"15";#N/A,#N/A,FALSE,"16"}</definedName>
    <definedName name="eghegehhe" hidden="1">{#N/A,#N/A,FALSE,"3";#N/A,#N/A,FALSE,"5";#N/A,#N/A,FALSE,"6";#N/A,#N/A,FALSE,"8";#N/A,#N/A,FALSE,"10";#N/A,#N/A,FALSE,"13";#N/A,#N/A,FALSE,"14";#N/A,#N/A,FALSE,"15";#N/A,#N/A,FALSE,"16"}</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leen"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eileen10" hidden="1">{"Units A",#N/A,FALSE,"FY95SLS";"Units B",#N/A,FALSE,"FY95SLS"}</definedName>
    <definedName name="eileen11" hidden="1">{"US Dollars",#N/A,TRUE,"PPD";"US Dollar",#N/A,TRUE,"Anaquest";"US Dollar",#N/A,TRUE,"Delta";"US Dollar",#N/A,TRUE,"INO"}</definedName>
    <definedName name="eileen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eileen3" hidden="1">{"Pound Sterling",#N/A,TRUE,"PPD";"Pound Sterling",#N/A,TRUE,"Anaquest";"Pound Sterling",#N/A,TRUE,"Delta";"Pound Sterling",#N/A,TRUE,"INO"}</definedName>
    <definedName name="eileen4" hidden="1">{"Pound Sterling",#N/A,TRUE,"PPD";"Pound Sterling",#N/A,TRUE,"Anaquest";"Pound Sterling",#N/A,TRUE,"Delta";"Pound Sterling",#N/A,TRUE,"INO"}</definedName>
    <definedName name="eileen5"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ileen6"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ileen7" hidden="1">{"Sum WW A",#N/A,FALSE,"FY95SLS";"Sum WW B",#N/A,FALSE,"FY95SLS";"Sum US A",#N/A,FALSE,"FY95SLS";"Sum US B",#N/A,FALSE,"FY95SLS";"Sum US Bocg",#N/A,FALSE,"FY95SLS";"Sum Can A",#N/A,FALSE,"FY95SLS";"Sum Can B",#N/A,FALSE,"FY95SLS";"Sum Europe",#N/A,FALSE,"FY95SLS";"Sum Row",#N/A,FALSE,"FY95SLS"}</definedName>
    <definedName name="eileen8" hidden="1">{"Sum WW A",#N/A,FALSE,"FY95SLS";"Sum WW B",#N/A,FALSE,"FY95SLS";"Sum US A",#N/A,FALSE,"FY95SLS";"Sum US B",#N/A,FALSE,"FY95SLS";"Sum US Bocg",#N/A,FALSE,"FY95SLS";"Sum Can A",#N/A,FALSE,"FY95SLS";"Sum Can B",#N/A,FALSE,"FY95SLS";"Sum Europe",#N/A,FALSE,"FY95SLS";"Sum Row",#N/A,FALSE,"FY95SLS"}</definedName>
    <definedName name="eileen9" hidden="1">{"Units A",#N/A,FALSE,"FY95SLS";"Units B",#N/A,FALSE,"FY95SLS"}</definedName>
    <definedName name="eings" hidden="1">{#N/A,"PURCHM",FALSE,"Business Analysis";#N/A,"SPADD",FALSE,"Business Analysis"}</definedName>
    <definedName name="ejkfgkjze" hidden="1">{#N/A,#N/A,FALSE,"Pharm";#N/A,#N/A,FALSE,"WWCM"}</definedName>
    <definedName name="ekspo" hidden="1">{#N/A,#N/A,FALSE,"DIR-REP";#N/A,#N/A,FALSE,"AUD-REPORT";#N/A,#N/A,FALSE,"P7L&amp;BS";#N/A,#N/A,FALSE,"NOTES";#N/A,#N/A,FALSE,"FA";#N/A,#N/A,FALSE,"NOTES (2)";#N/A,#N/A,FALSE,"Schedule  IV";#N/A,#N/A,FALSE,"Schedule V"}</definedName>
    <definedName name="emily" hidden="1">{#N/A,#N/A,FALSE,"Calc";#N/A,#N/A,FALSE,"Sensitivity";#N/A,#N/A,FALSE,"LT Earn.Dil.";#N/A,#N/A,FALSE,"Dil. AVP"}</definedName>
    <definedName name="EMM" hidden="1">{#N/A,#N/A,TRUE,"Cover";#N/A,#N/A,TRUE,"Content";"Orders EMM",#N/A,TRUE,"Order Sales";"project EMM",#N/A,TRUE,"Project Control";"Cash EMM",#N/A,TRUE,"Cash Control";"KPI EMM",#N/A,TRUE,"KPI-EMM";"Empl EMM",#N/A,TRUE,"Employees"}</definedName>
    <definedName name="ENDDATE" hidden="1">" "</definedName>
    <definedName name="Endesa" hidden="1">{#N/A,#N/A,FALSE,"Eastern";#N/A,#N/A,FALSE,"Western"}</definedName>
    <definedName name="enel" hidden="1">{#N/A,#N/A,FALSE,"Eastern";#N/A,#N/A,FALSE,"Western"}</definedName>
    <definedName name="ENG_BI_LBI" hidden="1">"FC4IC5FMAA"</definedName>
    <definedName name="ENG_BI_TLA" hidden="1">"45;233;15;41;246;144;12;217;219;25;151;228;79;236;180;142;254;26;104;235;115;155;236;85;25;248;141;221;280;94;104;245"</definedName>
    <definedName name="engelsk">#REF!</definedName>
    <definedName name="EntityColumn">#REF!</definedName>
    <definedName name="EntityKeyword">#REF!</definedName>
    <definedName name="eo0t" hidden="1">{#N/A,#N/A,FALSE,"TB";#N/A,#N/A,FALSE,"DR";#N/A,#N/A,FALSE,"AR";#N/A,#N/A,FALSE,"PL";#N/A,#N/A,FALSE,"BS";#N/A,#N/A,FALSE,"NOTES";#N/A,#N/A,FALSE,"NOTES (2)";#N/A,#N/A,FALSE,"NOTES (3)";#N/A,#N/A,FALSE,"DPL";#N/A,#N/A,FALSE,"TAXC.INDEX";#N/A,#N/A,FALSE,"Schedule I";#N/A,#N/A,FALSE,"Adjustments"}</definedName>
    <definedName name="eofjae" hidden="1">{#N/A,#N/A,TRUE,"COVER";#N/A,#N/A,TRUE,"DIR";#N/A,#N/A,TRUE,"AUDIT"}</definedName>
    <definedName name="eoflsru" hidden="1">{"QTD",#N/A,FALSE,"SUM"}</definedName>
    <definedName name="eoil" hidden="1">{"detail",#N/A,FALSE,"mfg";"summary",#N/A,FALSE,"mfg"}</definedName>
    <definedName name="eotl" hidden="1">{#N/A,#N/A,FALSE,"DIR-REP";#N/A,#N/A,FALSE,"AUD-REPORT";#N/A,#N/A,FALSE,"P7L&amp;BS";#N/A,#N/A,FALSE,"NOTES";#N/A,#N/A,FALSE,"FA";#N/A,#N/A,FALSE,"NOTES (2)";#N/A,#N/A,FALSE,"Schedule  IV";#N/A,#N/A,FALSE,"Schedule V"}</definedName>
    <definedName name="eotlajt" hidden="1">{#N/A,#N/A,TRUE,"COVER";#N/A,#N/A,TRUE,"DIR";#N/A,#N/A,TRUE,"AUDIT"}</definedName>
    <definedName name="eotlse" hidden="1">{#N/A,#N/A,FALSE,"TB";#N/A,#N/A,FALSE,"DR";#N/A,#N/A,FALSE,"AR";#N/A,#N/A,FALSE,"BS";#N/A,#N/A,FALSE,"PL";#N/A,#N/A,FALSE,"NOTES";#N/A,#N/A,FALSE,"NOTES (2)";#N/A,#N/A,FALSE,"NOTES (3)";#N/A,#N/A,FALSE,"DPL";#N/A,#N/A,FALSE,"DPL"}</definedName>
    <definedName name="eots" hidden="1">{#N/A,#N/A,FALSE,"DIR-REP";#N/A,#N/A,FALSE,"AUD-REPORT";#N/A,#N/A,FALSE,"P7L&amp;BS";#N/A,#N/A,FALSE,"NOTES";#N/A,#N/A,FALSE,"FA";#N/A,#N/A,FALSE,"NOTES (2)";#N/A,#N/A,FALSE,"Schedule  IV";#N/A,#N/A,FALSE,"Schedule V"}</definedName>
    <definedName name="er" hidden="1">{#N/A,#N/A,FALSE,"Umsatz 99";#N/A,#N/A,FALSE,"ER 99 "}</definedName>
    <definedName name="er6udui" hidden="1">{"Pound Sterling",#N/A,TRUE,"PPD";"Pound Sterling",#N/A,TRUE,"Anaquest";"Pound Sterling",#N/A,TRUE,"Delta";"Pound Sterling",#N/A,TRUE,"INO"}</definedName>
    <definedName name="erd" hidden="1">{#N/A,#N/A,FALSE,"Pharm";#N/A,#N/A,FALSE,"WWCM"}</definedName>
    <definedName name="ere" hidden="1">#REF!</definedName>
    <definedName name="erer" hidden="1">{#N/A,#N/A,FALSE,"3";#N/A,#N/A,FALSE,"5";#N/A,#N/A,FALSE,"6";#N/A,#N/A,FALSE,"8";#N/A,#N/A,FALSE,"10";#N/A,#N/A,FALSE,"13";#N/A,#N/A,FALSE,"14";#N/A,#N/A,FALSE,"15";#N/A,#N/A,FALSE,"16"}</definedName>
    <definedName name="ERERT" hidden="1">{#N/A,#N/A,FALSE,"00 P&amp;L vs 99"}</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folgsplanung" hidden="1">{"'Internat.oper.netti'!$B$1:$J$25"}</definedName>
    <definedName name="ergeyuhwryu"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rgqerg" hidden="1">{"Pound Sterling",#N/A,TRUE,"PPD";"Pound Sterling",#N/A,TRUE,"Anaquest";"Pound Sterling",#N/A,TRUE,"Delta";"Pound Sterling",#N/A,TRUE,"INO"}</definedName>
    <definedName name="ergqregrqe" hidden="1">{"Pound Sterling",#N/A,TRUE,"PPD";"Pound Sterling",#N/A,TRUE,"Anaquest";"Pound Sterling",#N/A,TRUE,"Delta";"Pound Sterling",#N/A,TRUE,"INO"}</definedName>
    <definedName name="ergr" hidden="1">{"Units A",#N/A,FALSE,"FY95SLS";"Units B",#N/A,FALSE,"FY95SLS"}</definedName>
    <definedName name="err.g." hidden="1">{#N/A,#N/A,FALSE,"KA CH  (2)"}</definedName>
    <definedName name="Err_Tol">#REF!</definedName>
    <definedName name="ERRR" hidden="1">{#N/A,#N/A,FALSE,"00 P&amp;L vs 99"}</definedName>
    <definedName name="errr.g" hidden="1">{#N/A,#N/A,FALSE,"KA CH  (2)"}</definedName>
    <definedName name="erryeyetyuu" hidden="1">{#N/A,#N/A,FALSE,"Pharm";#N/A,#N/A,FALSE,"WWCM"}</definedName>
    <definedName name="ers" hidden="1">{#N/A,#N/A,FALSE,"SF"}</definedName>
    <definedName name="ersge"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ert" hidden="1">{#N/A,#N/A,FALSE,"Umsatz 99";#N/A,#N/A,FALSE,"ER 99 "}</definedName>
    <definedName name="ertaz" hidden="1">{#N/A,#N/A,FALSE,"Operations";#N/A,#N/A,FALSE,"Financials"}</definedName>
    <definedName name="ertq" hidden="1">{"Units A",#N/A,FALSE,"FY95SLS";"Units B",#N/A,FALSE,"FY95SLS"}</definedName>
    <definedName name="ertr" hidden="1">{#N/A,#N/A,FALSE,"Umsatz 99";#N/A,#N/A,FALSE,"ER 99 "}</definedName>
    <definedName name="ertwrhutry" hidden="1">{"Units A",#N/A,FALSE,"FY95SLS";"Units B",#N/A,FALSE,"FY95SLS"}</definedName>
    <definedName name="ervnj" hidden="1">{"YTDACT",#N/A,FALSE,"YTD Cum";"YTDBUD",#N/A,FALSE,"YTD Cum";"YTDPRIOR",#N/A,FALSE,"YTD Cum"}</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y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d" hidden="1">{#N/A,#N/A,FALSE,"Eastern";#N/A,#N/A,FALSE,"Western"}</definedName>
    <definedName name="eseoe" hidden="1">{#N/A,#N/A,FALSE,"TAXC.INDEX";#N/A,#N/A,FALSE,"Schedule I";#N/A,#N/A,FALSE,"Schedule  II";#N/A,#N/A,FALSE,"Schedule III";#N/A,#N/A,FALSE,"Schedule IV";#N/A,#N/A,FALSE,"Schedule IV (Cont'd)";#N/A,#N/A,FALSE,"Schedule V";#N/A,#N/A,FALSE,"Schedule VI";#N/A,#N/A,FALSE,"Schedule VII"}</definedName>
    <definedName name="esge" hidden="1">{#N/A,#N/A,FALSE,"3";#N/A,#N/A,FALSE,"5";#N/A,#N/A,FALSE,"6";#N/A,#N/A,FALSE,"8";#N/A,#N/A,FALSE,"10";#N/A,#N/A,FALSE,"13";#N/A,#N/A,FALSE,"14";#N/A,#N/A,FALSE,"15";#N/A,#N/A,FALSE,"16"}</definedName>
    <definedName name="esla" hidden="1">{#N/A,#N/A,FALSE,"DIR-REP";#N/A,#N/A,FALSE,"AUD-REPORT";#N/A,#N/A,FALSE,"P7L&amp;BS";#N/A,#N/A,FALSE,"NOTES";#N/A,#N/A,FALSE,"FA";#N/A,#N/A,FALSE,"NOTES (2)";#N/A,#N/A,FALSE,"Schedule  IV";#N/A,#N/A,FALSE,"Schedule V"}</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ot" hidden="1">{#N/A,#N/A,FALSE,"CONTENTS";#N/A,#N/A,FALSE,"DR";#N/A,#N/A,FALSE,"PL";#N/A,#N/A,FALSE,"BS";#N/A,#N/A,FALSE,"Cash Flow";#N/A,#N/A,FALSE,"NOTES";#N/A,#N/A,FALSE,"NOTES (FA)";#N/A,#N/A,FALSE,"Notes(3)";#N/A,#N/A,FALSE,"NOTES (4)";#N/A,#N/A,FALSE,"DP&amp;L";#N/A,#N/A,FALSE,"EXPENSES";#N/A,#N/A,FALSE,"EXPENSES-1"}</definedName>
    <definedName name="ESPeXToEUR" hidden="1">1/eurextoesp</definedName>
    <definedName name="ESSAI" hidden="1">{#N/A,#N/A,FALSE,"Pharm";#N/A,#N/A,FALSE,"WWCM"}</definedName>
    <definedName name="esshr2" hidden="1">{#N/A,#N/A,FALSE,"Presentation by Unit";#N/A,#N/A,FALSE,"Presentation by BD";#N/A,#N/A,FALSE,"Presentation Split by Biggest U";#N/A,#N/A,FALSE,"Presentation Split by Area";#N/A,#N/A,FALSE,"Presentation Split by BD"}</definedName>
    <definedName name="estoques" hidden="1">{#N/A,#N/A,FALSE,"Cristal D'Oro (Tabela)";#N/A,#N/A,FALSE,"Cond Rio Tietê (Tabela)";#N/A,#N/A,FALSE,"Jacyr Leal (Tabela)";#N/A,#N/A,FALSE,"Paul Cézanne (Tabela)";#N/A,#N/A,FALSE,"Tom Jobim  (Tabela)"}</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t" hidden="1">{#N/A,#N/A,FALSE,"Umsatz CH";#N/A,#N/A,FALSE,"ER CH";#N/A,#N/A,FALSE,"EA CH (2) ";#N/A,#N/A,FALSE,"EA CH";#N/A,#N/A,FALSE,"EA CH (3) ";#N/A,#N/A,FALSE,"EA CH (4)";#N/A,#N/A,FALSE,"KA CH";#N/A,#N/A,FALSE,"KA CH  (2)";#N/A,#N/A,FALSE,"KA CH  (3)";#N/A,#N/A,FALSE,"KA CH (4)"}</definedName>
    <definedName name="etlst" hidden="1">{#N/A,#N/A,FALSE,"TB";#N/A,#N/A,FALSE,"AR";#N/A,#N/A,FALSE,"BS";#N/A,#N/A,FALSE,"PL";#N/A,#N/A,FALSE,"NOTES";#N/A,#N/A,FALSE,"NOTES (2)";#N/A,#N/A,FALSE,"NOTES (3)";#N/A,#N/A,FALSE,"TAXC.INDEX";#N/A,#N/A,FALSE,"Schedule I";#N/A,#N/A,FALSE,"DPL";#N/A,#N/A,FALSE,"Schedule IV";#N/A,#N/A,FALSE,"Adjustments"}</definedName>
    <definedName name="ett" hidden="1">{#N/A,#N/A,FALSE,"TAXC.INDEX";#N/A,#N/A,FALSE,"Schedule I";#N/A,#N/A,FALSE,"Schedule  II";#N/A,#N/A,FALSE,"Schedule III"}</definedName>
    <definedName name="et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u" hidden="1">{"apci",#N/A,FALSE,"Chem_CY";"eastman",#N/A,FALSE,"Eastman";"betz",#N/A,FALSE,"Betz";"great lakes",#N/A,FALSE,"Great_Lakes";"hercules",#N/A,FALSE,"Hercules Chem Seg Data";"rohm",#N/A,FALSE,"Rohm";"union carbide",#N/A,FALSE,"Union";"witco",#N/A,FALSE,"Witco"}</definedName>
    <definedName name="euy" hidden="1">{"Units A",#N/A,FALSE,"FY95SLS";"Units B",#N/A,FALSE,"FY95SLS"}</definedName>
    <definedName name="EV" hidden="1">39707.5698842593</definedName>
    <definedName name="ev.Calculation" hidden="1">2</definedName>
    <definedName name="ev.Initialized" hidden="1">FALSE()</definedName>
    <definedName name="EV__ALLOWSTOPEXPAND__" hidden="1">1</definedName>
    <definedName name="EV__DECIMALSYMBOL__" hidden="1">"."</definedName>
    <definedName name="EV__EVCOM_OPTIONS__" hidden="1">8</definedName>
    <definedName name="EV__EXPOPTIONS__" hidden="1">0</definedName>
    <definedName name="EV__LASTREFTIME__" hidden="1">"27/05/2013 16:25:35"</definedName>
    <definedName name="EV__LOCKEDCVW__CAPEX" hidden="1">"TotalAssets,AllClasses,Depr_per_period,ACTUAL,Totaladj,AHS,AllProjects,EUR,2007.TOTAL,PERIODIC,"</definedName>
    <definedName name="EV__LOCKEDCVW__CASHFLOW" hidden="1">"A_TOTCFA,AC_CASHAC,ACTUAL,LC,E_QSG,2007.Q2,PERIODIC,"</definedName>
    <definedName name="EV__LOCKEDCVW__CMDCMVBUDGETFLASH" hidden="1">"ALL_ACCOUNTS,ACTUAL,CB_RETAIL,Div_CMDCMV_No_FSLJVs,RETAIL,ALLEVENTS,AllFinanceType,USD,AllLoanProgram,OB_RETAIL,AllOriginator,OTCFLAG,AllOwners,PIGGYFLAG,PORTNONPORTFLAG,PB_RETAIL,TAMIFLAG,2006.JAN,PERIODIC,"</definedName>
    <definedName name="EV__LOCKEDCVW__CONSO" hidden="1">"A_None_NETINC,B_ALL,ACTUAL,C_ALL,USD,TotConso,E_QSG,G_ALL,2007.Q3,PERIODIC,"</definedName>
    <definedName name="EV__LOCKEDCVW__CORPOPS" hidden="1">"A_None_NETINC,B_ALL,BUDGET,C_ALL,USD,TotConso,E_100,G_ALL,2007.Q3,PERIODIC,"</definedName>
    <definedName name="EV__LOCKEDCVW__FINANCE" hidden="1">"INT_PNL,RF,CFS_ADJUST,CRP_FX,ATD,TOTAL_GSF,LC,2016.TOTAL,PERIODIC,"</definedName>
    <definedName name="EV__LOCKEDCVW__FORECASTING" hidden="1">"APPUNITS,ACTUAL,LOANSOLUTIONS,TOTADJ,TOTALCRE,TOTLOANAMOUNT,TOTLOANCENTER,TOTALMSA,TOTMULTICULTURAL,FIRSTMORT,TOTPRODTYPE,TOTREFINANCE,TOTALCRE_REF,2004.JAN,PERIODIC,"</definedName>
    <definedName name="EV__LOCKEDCVW__FPR" hidden="1">"A_STAT_INVENT,B_ALL,FORECAST,C_ALL,LC,Input,D_ALL,E_503,P_ALL,S_ALL,2006.Q4,PERIODIC,"</definedName>
    <definedName name="EV__LOCKEDCVW__HR" hidden="1">"ACTUAL,Totaladj,All_Employee,AHS,A_HR1000,EUR,2007.TOTAL,PERIODIC,"</definedName>
    <definedName name="EV__LOCKEDCVW__INTERCOMATCHING" hidden="1">"ICAssets,Actual,Input,E_All,I_All,2004.TOTAL,USD,PERIODIC,"</definedName>
    <definedName name="EV__LOCKEDCVW__PAYROLL" hidden="1">"11250,Actual,TotalAdj,TOT_DEPT,ALLEMPL,TOT_COMPANY_PF,Tot_Job,TOT_LOB,ALLPAYGROUPS,2008.Total,ALLDATACONT,PERIODIC,"</definedName>
    <definedName name="EV__LOCKEDCVW__RATE" hidden="1">"MERCK_CATEGORY,AED,AVG,RATEINPUT,MERCK_TIME,PERIODIC,"</definedName>
    <definedName name="EV__LOCKEDCVW__RATE_INTERCO" hidden="1">"Actual,Avg,Default,2004.TOTAL,USD,PERIODIC,"</definedName>
    <definedName name="EV__LOCKEDCVW__REVENUE" hidden="1">"CustomerData,Actual,1001018,Revenue,10,TOT_LOB,2009.SEP,PERIODIC,"</definedName>
    <definedName name="EV__LOCKEDCVW__SAFETY" hidden="1">"PrevDOTRatio_PLAN,Plan,Input,LINEHAUL,TOT_COMPANY,REGULAR,2009.TOTAL,PERIODIC,"</definedName>
    <definedName name="EV__LOCKEDCVW__SALES" hidden="1">"ACTUAL,ALL_Customer,Totaladj,AHS,All_Product,EUR,2007.TOTAL,SA_GP,PERIODIC,"</definedName>
    <definedName name="EV__LOCKSTATUS__" hidden="1">2</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w" hidden="1">{#N/A,"PURADD",FALSE,"Business Analysis";#N/A,"PURSPP",FALSE,"Business Analysis";#N/A,"CTGIND",FALSE,"Business Analysis";#N/A,"PURCHM",FALSE,"Business Analysis";#N/A,"SPADD",FALSE,"Business Analysis";#N/A,"EPOXY",FALSE,"Business Analysis";#N/A,"PURPER",FALSE,"Business Analysis"}</definedName>
    <definedName name="ewaw" hidden="1">{"Act_vs_Budget",#N/A,FALSE,"QTRDPVAR";"Act_vs_Prior_Year",#N/A,FALSE,"QTRDPVAR"}</definedName>
    <definedName name="ewdwqd" hidden="1">{#N/A,"PURCHM",FALSE,"Business Analysis";#N/A,"SPADD",FALSE,"Business Analysis"}</definedName>
    <definedName name="ewq" hidden="1">{"oct_res_comm",#N/A,FALSE,"VarToBud"}</definedName>
    <definedName name="ewv" hidden="1">{"Page1",#N/A,FALSE,"OpExJanvsBud";"Page2",#N/A,FALSE,"OpExJanvsBud"}</definedName>
    <definedName name="ewwe" hidden="1">{#N/A,#N/A,FALSE,"REPORT"}</definedName>
    <definedName name="ExactAddinConnection" hidden="1">"050"</definedName>
    <definedName name="ExactAddinConnection.001" hidden="1">"srv3;001;basilio;0"</definedName>
    <definedName name="ExactAddinConnection.0012" hidden="1">"ATMSSV-MSQL01;100;ghoppenbrouwer;1"</definedName>
    <definedName name="ExactAddinConnection.002" hidden="1">"srv3;002;basilio;0"</definedName>
    <definedName name="ExactAddinConnection.003" hidden="1">"srv3;003;basilio;0"</definedName>
    <definedName name="ExactAddinConnection.004" hidden="1">"srv3;004;basilio;0"</definedName>
    <definedName name="ExactAddinConnection.005" hidden="1">"srv3;005;basilio;0"</definedName>
    <definedName name="ExactAddinConnection.010" hidden="1">"corp-es-db;001;gary.bristow;1"</definedName>
    <definedName name="ExactAddinConnection.050" hidden="1">"(local);050;mvanderpas;1"</definedName>
    <definedName name="ExactAddinConnection.100" hidden="1">"srv3;100;basilio;0"</definedName>
    <definedName name="ExactAddinConnection.102" hidden="1">"SGDC04;102;amokhtar;1"</definedName>
    <definedName name="ExactAddinConnection.199" hidden="1">"ATMSSV-MSQL01;199;Ascudellari;1"</definedName>
    <definedName name="ExactAddinConnection.200" hidden="1">"ATMSSV-MSQL01;100;DKorneev;1"</definedName>
    <definedName name="ExactAddinConnection.299" hidden="1">"ATMSSV-MSQL01;299;tryan;1"</definedName>
    <definedName name="ExactAddinConnection.300" hidden="1">"ATMSSV-MSQL01;300;DKorneev;1"</definedName>
    <definedName name="ExactAddinConnection.301" hidden="1">"ATMSSV-MSQL01;300;TMurphy;1"</definedName>
    <definedName name="ExactAddinConnection.399" hidden="1">"ATMSSV-MSQL01;399;tryan;1"</definedName>
    <definedName name="ExactAddinConnection.400" hidden="1">"ATMSSV-MSQL01;400;pramey;1"</definedName>
    <definedName name="ExactAddinConnvection.201" hidden="1">"ATMSSV-MSQL01;200;TMurphy;1"</definedName>
    <definedName name="ExactAddinReports" hidden="1">3</definedName>
    <definedName name="excl" hidden="1">{"'Internat.oper.netti'!$B$1:$J$25"}</definedName>
    <definedName name="exl" hidden="1">{"'Internat.oper.netti'!$B$1:$J$25"}</definedName>
    <definedName name="EY" hidden="1">{"vue1",#N/A,FALSE,"synthese";"vue2",#N/A,FALSE,"synthese"}</definedName>
    <definedName name="eydsr" hidden="1">{#N/A,"PURCHM",FALSE,"Business Analysis";#N/A,"SPADD",FALSE,"Business Analysis"}</definedName>
    <definedName name="eyr" hidden="1">{"hiden",#N/A,FALSE,"14";"hidden",#N/A,FALSE,"16";"hidden",#N/A,FALSE,"18";"hidden",#N/A,FALSE,"20"}</definedName>
    <definedName name="ezaqs" hidden="1">{#N/A,#N/A,FALSE,"Eastern";#N/A,#N/A,FALSE,"Western"}</definedName>
    <definedName name="ezcds" hidden="1">#REF!</definedName>
    <definedName name="ezt" hidden="1">{#N/A,#N/A,FALSE,"Calc";#N/A,#N/A,FALSE,"Sensitivity";#N/A,#N/A,FALSE,"LT Earn.Dil.";#N/A,#N/A,FALSE,"Dil. AVP"}</definedName>
    <definedName name="f" hidden="1">{"QTR_ACT",#N/A,FALSE,"PROP_PBIT_DEV_Q3";"QTR_BUD",#N/A,FALSE,"PROP_PBIT_DEV_Q3";"YTD_BUD",#N/A,FALSE,"PROP_PBIT_DEV_Q3";"YTD_ACT",#N/A,FALSE,"PROP_PBIT_DEV_Q3";"FY95 SNAP3",#N/A,FALSE,"PROP_PBIT_DEV_Q3";"FY95_BUD",#N/A,FALSE,"PROP_PBIT_DEV_Q3";"FY96_BUD",#N/A,FALSE,"PROP_PBIT_DEV_Q3"}</definedName>
    <definedName name="f.ffff" hidden="1">{#N/A,#N/A,FALSE,"Umsatz 99";#N/A,#N/A,FALSE,"ER 99 "}</definedName>
    <definedName name="f\ef" hidden="1">{"werbung",#N/A,FALSE,"GuV9900-0399";"betrieb",#N/A,FALSE,"GuV9900-0399";"personal",#N/A,FALSE,"GuV9900-0399";"tvg",#N/A,FALSE,"GuV9900-0399";"verwaltung",#N/A,FALSE,"GuV9900-0399"}</definedName>
    <definedName name="fa" hidden="1">{"vol data",#N/A,FALSE,"Datasheet";"vol graph",#N/A,FALSE,"Volume";"price data",#N/A,FALSE,"Datasheet";"price graph",#N/A,FALSE,"Price";"dp data",#N/A,FALSE,"Datasheet";"dp graph",#N/A,FALSE,"DirectProfit"}</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sfas" hidden="1">{#N/A,#N/A,FALSE,"3";#N/A,#N/A,FALSE,"5";#N/A,#N/A,FALSE,"6";#N/A,#N/A,FALSE,"8";#N/A,#N/A,FALSE,"10";#N/A,#N/A,FALSE,"13";#N/A,#N/A,FALSE,"14";#N/A,#N/A,FALSE,"15";#N/A,#N/A,FALSE,"16"}</definedName>
    <definedName name="fadre" hidden="1">{#N/A,#N/A,FALSE,"00 P&amp;L vs 99"}</definedName>
    <definedName name="fafd" hidden="1">{"Merger Output",#N/A,FALSE,"Summary_Output";"Flowback Assesment dollars",#N/A,FALSE,"FLow";"Flowback assesment percent",#N/A,FALSE,"FLow";"Impact to Rubik Price",#N/A,FALSE,"FLow"}</definedName>
    <definedName name="fasf" hidden="1">{#N/A,#N/A,FALSE,"3";#N/A,#N/A,FALSE,"5";#N/A,#N/A,FALSE,"6";#N/A,#N/A,FALSE,"8";#N/A,#N/A,FALSE,"10";#N/A,#N/A,FALSE,"13";#N/A,#N/A,FALSE,"14";#N/A,#N/A,FALSE,"15";#N/A,#N/A,FALSE,"16"}</definedName>
    <definedName name="fasfdsaf" hidden="1">{#N/A,#N/A,FALSE,"00 P&amp;L vs 99"}</definedName>
    <definedName name="fat" hidden="1">{#N/A,#N/A,FALSE,"TAXC.INDEX";#N/A,#N/A,FALSE,"Schedule I";#N/A,#N/A,FALSE,"Schedule  II";#N/A,#N/A,FALSE,"Schedule III";#N/A,#N/A,FALSE,"Schedule IV";#N/A,#N/A,FALSE,"Schedule IV (Cont'd)";#N/A,#N/A,FALSE,"Schedule V";#N/A,#N/A,FALSE,"Schedule VI";#N/A,#N/A,FALSE,"Schedule VII"}</definedName>
    <definedName name="fay" hidden="1">{#N/A,#N/A,FALSE,"CONTENTS";#N/A,#N/A,FALSE,"DR";#N/A,#N/A,FALSE,"PL";#N/A,#N/A,FALSE,"BS";#N/A,#N/A,FALSE,"Cash Flow";#N/A,#N/A,FALSE,"NOTES";#N/A,#N/A,FALSE,"NOTES (FA)";#N/A,#N/A,FALSE,"Notes(3)";#N/A,#N/A,FALSE,"NOTES (4)";#N/A,#N/A,FALSE,"DP&amp;L";#N/A,#N/A,FALSE,"EXPENSES";#N/A,#N/A,FALSE,"EXPENSES-1"}</definedName>
    <definedName name="fbwt" hidden="1">{"Pound Sterling",#N/A,TRUE,"PPD";"Pound Sterling",#N/A,TRUE,"Anaquest";"Pound Sterling",#N/A,TRUE,"Delta";"Pound Sterling",#N/A,TRUE,"INO"}</definedName>
    <definedName name="fc" hidden="1">{#N/A,#N/A,FALSE,"TB";#N/A,#N/A,FALSE,"DR";#N/A,#N/A,FALSE,"AR";#N/A,#N/A,FALSE,"PL";#N/A,#N/A,FALSE,"BS";#N/A,#N/A,FALSE,"NOTES";#N/A,#N/A,FALSE,"NOTES (2)";#N/A,#N/A,FALSE,"NOTES (3)";#N/A,#N/A,FALSE,"DPL";#N/A,#N/A,FALSE,"TAXC.INDEX";#N/A,#N/A,FALSE,"Schedule I";#N/A,#N/A,FALSE,"Adjustments"}</definedName>
    <definedName name="FcastNumYears" hidden="1">#REF!</definedName>
    <definedName name="FcastStartYear" hidden="1">#REF!</definedName>
    <definedName name="fd" hidden="1">{"detail",#N/A,FALSE,"mfg";"summary",#N/A,FALSE,"mfg"}</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 hidden="1">{#N/A,#N/A,FALSE,"TB";#N/A,#N/A,FALSE,"AR";#N/A,#N/A,FALSE,"BS";#N/A,#N/A,FALSE,"PL";#N/A,#N/A,FALSE,"NOTES";#N/A,#N/A,FALSE,"NOTES (2)";#N/A,#N/A,FALSE,"NOTES (3)";#N/A,#N/A,FALSE,"TAXC.INDEX";#N/A,#N/A,FALSE,"Schedule I";#N/A,#N/A,FALSE,"DPL";#N/A,#N/A,FALSE,"Schedule IV";#N/A,#N/A,FALSE,"Adjustments"}</definedName>
    <definedName name="fddfdf" hidden="1">{#N/A,#N/A,FALSE,"Presentation by Unit";#N/A,#N/A,FALSE,"Presentation by BD";#N/A,#N/A,FALSE,"Presentation Split by Biggest U";#N/A,#N/A,FALSE,"Presentation Split by Area";#N/A,#N/A,FALSE,"Presentation Split by BD"}</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hidden="1">{"mgmt forecast",#N/A,FALSE,"Mgmt Forecast";"dcf table",#N/A,FALSE,"Mgmt Forecast";"sensitivity",#N/A,FALSE,"Mgmt Forecast";"table inputs",#N/A,FALSE,"Mgmt Forecast";"calculations",#N/A,FALSE,"Mgmt Forecast"}</definedName>
    <definedName name="FDFD" hidden="1">{#N/A,#N/A,FALSE,"Pharm";#N/A,#N/A,FALSE,"WWCM"}</definedName>
    <definedName name="fdfdf" hidden="1">{#N/A,#N/A,FALSE,"3";#N/A,#N/A,FALSE,"5";#N/A,#N/A,FALSE,"6";#N/A,#N/A,FALSE,"8";#N/A,#N/A,FALSE,"10";#N/A,#N/A,FALSE,"13";#N/A,#N/A,FALSE,"14";#N/A,#N/A,FALSE,"15";#N/A,#N/A,FALSE,"16"}</definedName>
    <definedName name="FDFDFD" hidden="1">{"Units A",#N/A,FALSE,"FY95SLS";"Units B",#N/A,FALSE,"FY95SLS"}</definedName>
    <definedName name="fdfgdgdfgfdg" hidden="1">{"comp",#N/A,FALSE,"SPEC";"footnotes",#N/A,FALSE,"SPEC"}</definedName>
    <definedName name="fd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fdgdfgfdgf" hidden="1">{#N/A,#N/A,FALSE,"Produkte Erw.";#N/A,#N/A,FALSE,"Produkte Plan";#N/A,#N/A,FALSE,"Leistungen Erw.";#N/A,#N/A,FALSE,"Leistungen Plan";#N/A,#N/A,FALSE,"KA Allg.Kosten (2)";#N/A,#N/A,FALSE,"KA All.Kosten"}</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hidden="1">{#N/A,#N/A,FALSE,"KA CH  (2)"}</definedName>
    <definedName name="fdgfdgsdgsdgs" hidden="1">{#N/A,#N/A,FALSE,"KA CH  (2)"}</definedName>
    <definedName name="fdgsd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fdgwer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fdhdfhfdhdfh" hidden="1">{#N/A,#N/A,FALSE,"3";#N/A,#N/A,FALSE,"5";#N/A,#N/A,FALSE,"6";#N/A,#N/A,FALSE,"8";#N/A,#N/A,FALSE,"10";#N/A,#N/A,FALSE,"13";#N/A,#N/A,FALSE,"14";#N/A,#N/A,FALSE,"15";#N/A,#N/A,FALSE,"16"}</definedName>
    <definedName name="fdhfdh" hidden="1">{"First Page",#N/A,FALSE,"Surfactants LBO";"Second Page",#N/A,FALSE,"Surfactants LBO"}</definedName>
    <definedName name="FDHFDHH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fghfdh" hidden="1">{"First Page",#N/A,FALSE,"Surfactants LBO";"Second Page",#N/A,FALSE,"Surfactants LBO"}</definedName>
    <definedName name="fdhgfdh" hidden="1">{#N/A,#N/A,FALSE,"3";#N/A,#N/A,FALSE,"5";#N/A,#N/A,FALSE,"6";#N/A,#N/A,FALSE,"8";#N/A,#N/A,FALSE,"10";#N/A,#N/A,FALSE,"13";#N/A,#N/A,FALSE,"14";#N/A,#N/A,FALSE,"15";#N/A,#N/A,FALSE,"16"}</definedName>
    <definedName name="fdhhfhfgh"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P_171_1_aUrv" hidden="1">#REF!</definedName>
    <definedName name="FDP_203_1_aSrv" hidden="1">#REF!</definedName>
    <definedName name="FDP_235_1_aUrv" hidden="1">#REF!</definedName>
    <definedName name="FDP_273_1_aUrv" hidden="1">#REF!</definedName>
    <definedName name="FDQ" hidden="1">{"detail",#N/A,FALSE,"mfg";"summary",#N/A,FALSE,"mfg"}</definedName>
    <definedName name="fds" hidden="1">{#N/A,#N/A,FALSE,"Pharm";#N/A,#N/A,FALSE,"WWCM"}</definedName>
    <definedName name="fdsa" hidden="1">{"QTR_ACT",#N/A,FALSE,"PROP_PBIT_DEV_Q3";"QTR_BUD",#N/A,FALSE,"PROP_PBIT_DEV_Q3";"YTD_BUD",#N/A,FALSE,"PROP_PBIT_DEV_Q3";"YTD_ACT",#N/A,FALSE,"PROP_PBIT_DEV_Q3";"FY95 SNAP3",#N/A,FALSE,"PROP_PBIT_DEV_Q3";"FY95_BUD",#N/A,FALSE,"PROP_PBIT_DEV_Q3";"FY96_BUD",#N/A,FALSE,"PROP_PBIT_DEV_Q3"}</definedName>
    <definedName name="fdsf" hidden="1">{"general",#N/A,FALSE,"Assumptions"}</definedName>
    <definedName name="fdsf2" hidden="1">{"general",#N/A,FALSE,"Assumptions"}</definedName>
    <definedName name="fdsfad_IsText" hidden="1">TRUE()</definedName>
    <definedName name="fdsfds" hidden="1">{#N/A,#N/A,FALSE,"TB";#N/A,#N/A,FALSE,"DR";#N/A,#N/A,FALSE,"AR";#N/A,#N/A,FALSE,"BS";#N/A,#N/A,FALSE,"PL";#N/A,#N/A,FALSE,"NOTES";#N/A,#N/A,FALSE,"NOTES (2)";#N/A,#N/A,FALSE,"NOTES (3)";#N/A,#N/A,FALSE,"DPL";#N/A,#N/A,FALSE,"DPL"}</definedName>
    <definedName name="fdv" hidden="1">{"quarterly",#N/A,FALSE,"Income Statement";#N/A,#N/A,FALSE,"print segment";#N/A,#N/A,FALSE,"Balance Sheet";#N/A,#N/A,FALSE,"Annl Inc";#N/A,#N/A,FALSE,"Cash Flow"}</definedName>
    <definedName name="fe" hidden="1">{"assumption cash",#N/A,TRUE,"Merger";"has gets cash",#N/A,TRUE,"Merger";"accretion dilution",#N/A,TRUE,"Merger";"comparison credit stats",#N/A,TRUE,"Merger";"pf credit stats",#N/A,TRUE,"Merger";"pf sheets",#N/A,TRUE,"Merger"}</definedName>
    <definedName name="fedfe" hidden="1">#REF!</definedName>
    <definedName name="fef" hidden="1">{"werbung",#N/A,FALSE,"GuV9900-0399";"betrieb",#N/A,FALSE,"GuV9900-0399";"personal",#N/A,FALSE,"GuV9900-0399";"tvg",#N/A,FALSE,"GuV9900-0399";"verwaltung",#N/A,FALSE,"GuV9900-0399"}</definedName>
    <definedName name="femsif" hidden="1">{"werbung",#N/A,FALSE,"GuV9900-0399";"betrieb",#N/A,FALSE,"GuV9900-0399";"personal",#N/A,FALSE,"GuV9900-0399";"tvg",#N/A,FALSE,"GuV9900-0399";"verwaltung",#N/A,FALSE,"GuV9900-0399"}</definedName>
    <definedName name="fesa" hidden="1">{"apci",#N/A,FALSE,"Chem_CY";"eastman",#N/A,FALSE,"Eastman";"betz",#N/A,FALSE,"Betz";"great lakes",#N/A,FALSE,"Great_Lakes";"hercules",#N/A,FALSE,"Hercules Chem Seg Data";"rohm",#N/A,FALSE,"Rohm";"union carbide",#N/A,FALSE,"Union";"witco",#N/A,FALSE,"Witco"}</definedName>
    <definedName name="fesij" hidden="1">{"werbung",#N/A,FALSE,"GuV9900-0399";"betrieb",#N/A,FALSE,"GuV9900-0399";"personal",#N/A,FALSE,"GuV9900-0399";"tvg",#N/A,FALSE,"GuV9900-0399";"verwaltung",#N/A,FALSE,"GuV9900-0399"}</definedName>
    <definedName name="fetr" hidden="1">{"BA detail",#N/A,FALSE,"Q3YTD "}</definedName>
    <definedName name="fewq" hidden="1">{"Comp_of_Price_Effect",#N/A,FALSE,"QTRDPVAR"}</definedName>
    <definedName name="ff" hidden="1">{#N/A,#N/A,FALSE,"Pharm";#N/A,#N/A,FALSE,"WWCM"}</definedName>
    <definedName name="ffbaff" hidden="1">increment_piece</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hidden="1">{#N/A,#N/A,FALSE,"Umsatz EO BP";#N/A,#N/A,FALSE,"Umsatz EO OP";#N/A,#N/A,FALSE,"ER EO BP";#N/A,#N/A,FALSE,"ER EO OP";#N/A,#N/A,FALSE,"EA EO (2)";#N/A,#N/A,FALSE,"EA EO";#N/A,#N/A,FALSE,"EA EO (3)";#N/A,#N/A,FALSE,"EA EO (4)";#N/A,#N/A,FALSE,"KA EO  (2)";#N/A,#N/A,FALSE,"KA EO";#N/A,#N/A,FALSE,"KA EO  (3)";#N/A,#N/A,FALSE,"KA EO (4)"}</definedName>
    <definedName name="fff" hidden="1">{#N/A,#N/A,FALSE,"Pharm";#N/A,#N/A,FALSE,"WWCM"}</definedName>
    <definedName name="ffff" hidden="1">#N/A</definedName>
    <definedName name="ffff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ffffff" hidden="1">{"budget992000 capex",#N/A,FALSE,"Celtel alternative 6"}</definedName>
    <definedName name="fffffff" hidden="1">{#N/A,#N/A,FALSE,"Pharm";#N/A,#N/A,FALSE,"WWCM"}</definedName>
    <definedName name="ffffffff" hidden="1">{#N/A,#N/A,FALSE,"3";#N/A,#N/A,FALSE,"5";#N/A,#N/A,FALSE,"6";#N/A,#N/A,FALSE,"8";#N/A,#N/A,FALSE,"10";#N/A,#N/A,FALSE,"13";#N/A,#N/A,FALSE,"14";#N/A,#N/A,FALSE,"15";#N/A,#N/A,FALSE,"16"}</definedName>
    <definedName name="fffffffff" hidden="1">{#N/A,#N/A,FALSE,"3";#N/A,#N/A,FALSE,"5";#N/A,#N/A,FALSE,"6";#N/A,#N/A,FALSE,"8";#N/A,#N/A,FALSE,"10";#N/A,#N/A,FALSE,"13";#N/A,#N/A,FALSE,"14";#N/A,#N/A,FALSE,"15";#N/A,#N/A,FALSE,"16"}</definedName>
    <definedName name="ffffffffff" hidden="1">{#N/A,#N/A,FALSE,"3";#N/A,#N/A,FALSE,"5";#N/A,#N/A,FALSE,"6";#N/A,#N/A,FALSE,"8";#N/A,#N/A,FALSE,"10";#N/A,#N/A,FALSE,"13";#N/A,#N/A,FALSE,"14";#N/A,#N/A,FALSE,"15";#N/A,#N/A,FALSE,"16"}</definedName>
    <definedName name="fffffffffff" hidden="1">{#N/A,#N/A,FALSE,"3";#N/A,#N/A,FALSE,"5";#N/A,#N/A,FALSE,"6";#N/A,#N/A,FALSE,"8";#N/A,#N/A,FALSE,"10";#N/A,#N/A,FALSE,"13";#N/A,#N/A,FALSE,"14";#N/A,#N/A,FALSE,"15";#N/A,#N/A,FALSE,"16"}</definedName>
    <definedName name="fg" hidden="1">{#N/A,#N/A,FALSE,"REPORT"}</definedName>
    <definedName name="fgafgagag" hidden="1">{#N/A,#N/A,FALSE,"00 P&amp;L vs 99"}</definedName>
    <definedName name="fgdfsg"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fgdsgdsg" hidden="1">{#N/A,#N/A,FALSE,"3";#N/A,#N/A,FALSE,"5";#N/A,#N/A,FALSE,"6";#N/A,#N/A,FALSE,"8";#N/A,#N/A,FALSE,"10";#N/A,#N/A,FALSE,"13";#N/A,#N/A,FALSE,"14";#N/A,#N/A,FALSE,"15";#N/A,#N/A,FALSE,"16"}</definedName>
    <definedName name="fgf" hidden="1">{#N/A,#N/A,FALSE,"Umsatz 99";#N/A,#N/A,FALSE,"ER 99 "}</definedName>
    <definedName name="fgfg" hidden="1">{#N/A,#N/A,FALSE,"Umsatz EO BP";#N/A,#N/A,FALSE,"Umsatz EO OP";#N/A,#N/A,FALSE,"ER EO BP";#N/A,#N/A,FALSE,"ER EO OP";#N/A,#N/A,FALSE,"EA EO (2)";#N/A,#N/A,FALSE,"EA EO";#N/A,#N/A,FALSE,"EA EO (3)";#N/A,#N/A,FALSE,"EA EO (4)";#N/A,#N/A,FALSE,"KA EO  (2)";#N/A,#N/A,FALSE,"KA EO";#N/A,#N/A,FALSE,"KA EO  (3)";#N/A,#N/A,FALSE,"KA EO (4)"}</definedName>
    <definedName name="fgfgf" hidden="1">{#N/A,#N/A,FALSE,"Umsatz 99";#N/A,#N/A,FALSE,"ER 99 "}</definedName>
    <definedName name="FGFR" hidden="1">{#N/A,#N/A,TRUE,"Cover sheet";#N/A,#N/A,TRUE,"Summary";#N/A,#N/A,TRUE,"Key Assumptions";#N/A,#N/A,TRUE,"Profit &amp; Loss";#N/A,#N/A,TRUE,"Balance Sheet";#N/A,#N/A,TRUE,"Cashflow";#N/A,#N/A,TRUE,"IRR";#N/A,#N/A,TRUE,"Ratios";#N/A,#N/A,TRUE,"Debt analysis"}</definedName>
    <definedName name="fgfx" hidden="1">{#N/A,#N/A,FALSE,"Umsatz 99";#N/A,#N/A,FALSE,"ER 99 "}</definedName>
    <definedName name="fggddf" hidden="1">{"Employee Efficiency",#N/A,FALSE,"Benchmarking"}</definedName>
    <definedName name="fgh"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dfgdfg" hidden="1">{#N/A,#N/A,FALSE,"3";#N/A,#N/A,FALSE,"5";#N/A,#N/A,FALSE,"6";#N/A,#N/A,FALSE,"8";#N/A,#N/A,FALSE,"10";#N/A,#N/A,FALSE,"13";#N/A,#N/A,FALSE,"14";#N/A,#N/A,FALSE,"15";#N/A,#N/A,FALSE,"16"}</definedName>
    <definedName name="fghdhgdfhfd" hidden="1">{"equity comps",#N/A,FALSE,"CS Comps";"equity comps",#N/A,FALSE,"PS Comps";"equity comps",#N/A,FALSE,"GIC_Comps";"equity comps",#N/A,FALSE,"GIC2_Comps"}</definedName>
    <definedName name="fghfgh" hidden="1">{"away stand alones",#N/A,FALSE,"Target"}</definedName>
    <definedName name="fghfghfgh" hidden="1">{"assumption cash",#N/A,TRUE,"Merger";"has gets cash",#N/A,TRUE,"Merger";"accretion dilution",#N/A,TRUE,"Merger";"comparison credit stats",#N/A,TRUE,"Merger";"pf credit stats",#N/A,TRUE,"Merger";"pf sheets",#N/A,TRUE,"Merger"}</definedName>
    <definedName name="fghfghfghgfh" hidden="1">{#N/A,#N/A,FALSE,"KA CH  (2)"}</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hidden="1">{#N/A,#N/A,FALSE,"Umsatz CH";#N/A,#N/A,FALSE,"ER CH";#N/A,#N/A,FALSE,"EA CH (2) ";#N/A,#N/A,FALSE,"EA CH";#N/A,#N/A,FALSE,"EA CH (3) ";#N/A,#N/A,FALSE,"EA CH (4)";#N/A,#N/A,FALSE,"KA CH";#N/A,#N/A,FALSE,"KA CH  (2)";#N/A,#N/A,FALSE,"KA CH  (3)";#N/A,#N/A,FALSE,"KA CH (4)"}</definedName>
    <definedName name="fghfh" hidden="1">{#N/A,#N/A,FALSE,"Umsatz EO BP";#N/A,#N/A,FALSE,"Umsatz EO OP";#N/A,#N/A,FALSE,"ER EO BP";#N/A,#N/A,FALSE,"ER EO OP";#N/A,#N/A,FALSE,"EA EO (2)";#N/A,#N/A,FALSE,"EA EO";#N/A,#N/A,FALSE,"EA EO (3)";#N/A,#N/A,FALSE,"EA EO (4)";#N/A,#N/A,FALSE,"KA EO  (2)";#N/A,#N/A,FALSE,"KA EO";#N/A,#N/A,FALSE,"KA EO  (3)";#N/A,#N/A,FALSE,"KA EO (4)"}</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jfg" hidden="1">{"Pound Sterling",#N/A,TRUE,"PPD";"Pound Sterling",#N/A,TRUE,"Anaquest";"Pound Sterling",#N/A,TRUE,"Delta";"Pound Sterling",#N/A,TRUE,"INO"}</definedName>
    <definedName name="fgjfgjfgj" hidden="1">{#N/A,#N/A,FALSE,"Produkte Erw.";#N/A,#N/A,FALSE,"Produkte Plan";#N/A,#N/A,FALSE,"Leistungen Erw.";#N/A,#N/A,FALSE,"Leistungen Plan";#N/A,#N/A,FALSE,"KA Allg.Kosten (2)";#N/A,#N/A,FALSE,"KA All.Kosten"}</definedName>
    <definedName name="fgjgf"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fgjgf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fgjhat" hidden="1">{"Units A",#N/A,FALSE,"FY95SLS";"Units B",#N/A,FALSE,"FY95SLS"}</definedName>
    <definedName name="fgjhfgjhgj" hidden="1">{"comp1",#N/A,FALSE,"COMPS";"footnotes",#N/A,FALSE,"COMPS"}</definedName>
    <definedName name="fgkjkh" hidden="1">{#N/A,#N/A,FALSE,"REPORT"}</definedName>
    <definedName name="fgqerg" hidden="1">{"Pound Sterling",#N/A,TRUE,"PPD";"Pound Sterling",#N/A,TRUE,"Anaquest";"Pound Sterling",#N/A,TRUE,"Delta";"Pound Sterling",#N/A,TRUE,"INO"}</definedName>
    <definedName name="fgsd" hidden="1">{"PAGE 1",#N/A,FALSE,"COS Excluding Geismar";"PAGE 2",#N/A,FALSE,"COS Excluding Geismar";"PAGE 3",#N/A,FALSE,"COS Excluding Geismar"}</definedName>
    <definedName name="fgsdfg" hidden="1">{"Units A",#N/A,FALSE,"FY95SLS";"Units B",#N/A,FALSE,"FY95SLS"}</definedName>
    <definedName name="fgsdfgdfg" hidden="1">{"US Dollars",#N/A,TRUE,"PPD";"US Dollar",#N/A,TRUE,"Anaquest";"US Dollar",#N/A,TRUE,"Delta";"US Dollar",#N/A,TRUE,"INO"}</definedName>
    <definedName name="fgsdfgf" hidden="1">{"Units A",#N/A,FALSE,"FY95SLS";"Units B",#N/A,FALSE,"FY95SLS"}</definedName>
    <definedName name="fgsg" hidden="1">{"consolidated",#N/A,FALSE,"Sheet1";"cms",#N/A,FALSE,"Sheet1";"fse",#N/A,FALSE,"Sheet1"}</definedName>
    <definedName name="fgt" hidden="1">{"Performance Details",#N/A,FALSE,"Current Yr";"Performance Details",#N/A,FALSE,"Budget";"Performance Details",#N/A,FALSE,"Prior Year"}</definedName>
    <definedName name="fh" hidden="1">{#N/A,#N/A,FALSE,"KA CH  (2)"}</definedName>
    <definedName name="fhdfh" hidden="1">{"Units A",#N/A,FALSE,"FY95SLS";"Units B",#N/A,FALSE,"FY95SLS"}</definedName>
    <definedName name="fhf" hidden="1">{#N/A,#N/A,FALSE,"CA";#N/A,#N/A,FALSE,"CN";#N/A,#N/A,FALSE,"Inv";#N/A,#N/A,FALSE,"Inv Acc";"Miguel_balance",#N/A,FALSE,"Bal";#N/A,#N/A,FALSE,"Plantilla";#N/A,#N/A,FALSE,"CA (2)";#N/A,#N/A,FALSE,"CN (2)"}</definedName>
    <definedName name="fhfgh" hidden="1">{#N/A,#N/A,FALSE,"Umsatz CH";#N/A,#N/A,FALSE,"ER CH";#N/A,#N/A,FALSE,"EA CH (2) ";#N/A,#N/A,FALSE,"EA CH";#N/A,#N/A,FALSE,"EA CH (3) ";#N/A,#N/A,FALSE,"EA CH (4)";#N/A,#N/A,FALSE,"KA CH";#N/A,#N/A,FALSE,"KA CH  (2)";#N/A,#N/A,FALSE,"KA CH  (3)";#N/A,#N/A,FALSE,"KA CH (4)"}</definedName>
    <definedName name="fhfghfghfgh" hidden="1">{"equity comps",#N/A,FALSE,"CS Comps";"equity comps",#N/A,FALSE,"PS Comps";"equity comps",#N/A,FALSE,"GIC_Comps";"equity comps",#N/A,FALSE,"GIC2_Comps";"debt comps",#N/A,FALSE,"CS Comps";"debt comps",#N/A,FALSE,"PS Comps";"debt comps",#N/A,FALSE,"GIC_Comps";"debt comps",#N/A,FALSE,"GIC2_Comps"}</definedName>
    <definedName name="fhfhfgh" hidden="1">{"hiden",#N/A,FALSE,"14";"hidden",#N/A,FALSE,"16";"hidden",#N/A,FALSE,"18";"hidden",#N/A,FALSE,"20"}</definedName>
    <definedName name="fhfhfh" hidden="1">{#N/A,#N/A,FALSE,"3";#N/A,#N/A,FALSE,"5";#N/A,#N/A,FALSE,"6";#N/A,#N/A,FALSE,"8";#N/A,#N/A,FALSE,"10";#N/A,#N/A,FALSE,"13";#N/A,#N/A,FALSE,"14";#N/A,#N/A,FALSE,"15";#N/A,#N/A,FALSE,"16"}</definedName>
    <definedName name="fhfhh" hidden="1">{#N/A,#N/A,FALSE,"Umsatz CH";#N/A,#N/A,FALSE,"ER CH";#N/A,#N/A,FALSE,"EA CH (2) ";#N/A,#N/A,FALSE,"EA CH";#N/A,#N/A,FALSE,"EA CH (3) ";#N/A,#N/A,FALSE,"EA CH (4)";#N/A,#N/A,FALSE,"KA CH";#N/A,#N/A,FALSE,"KA CH  (2)";#N/A,#N/A,FALSE,"KA CH  (3)";#N/A,#N/A,FALSE,"KA CH (4)"}</definedName>
    <definedName name="fhgfgh" hidden="1">{"Pound Sterling",#N/A,TRUE,"PPD";"Pound Sterling",#N/A,TRUE,"Anaquest";"Pound Sterling",#N/A,TRUE,"Delta";"Pound Sterling",#N/A,TRUE,"INO"}</definedName>
    <definedName name="fhgfhf" hidden="1">{#N/A,#N/A,FALSE,"3";#N/A,#N/A,FALSE,"5";#N/A,#N/A,FALSE,"6";#N/A,#N/A,FALSE,"8";#N/A,#N/A,FALSE,"10";#N/A,#N/A,FALSE,"13";#N/A,#N/A,FALSE,"14";#N/A,#N/A,FALSE,"15";#N/A,#N/A,FALSE,"16"}</definedName>
    <definedName name="fhrtz" hidden="1">{#N/A,#N/A,FALSE,"PMW Gruppe 00_99";#N/A,#N/A,FALSE,"PMW KG 00_99";#N/A,#N/A,FALSE,"PMW Inc. 00_99";#N/A,#N/A,FALSE,"PMW VTECH 00_99";#N/A,#N/A,FALSE,"PMW Thail. 00_99";#N/A,#N/A,FALSE,"PMW Canada 00_99";#N/A,#N/A,FALSE,"Währungsabw. 00_99"}</definedName>
    <definedName name="FI" hidden="1">{"Vinyl1999Q1IFOrecon",#N/A,TRUE,"Vinyl";"Vinyl1999Q2IFOrecon",#N/A,TRUE,"Vinyl";"Vinyl1999Q3IFOrecon",#N/A,TRUE,"Vinyl";"Vinyl1999Q4IFOrecon",#N/A,TRUE,"Vinyl";"Vinyl1999TotalIFOrecon",#N/A,TRUE,"Vinyl";#N/A,#N/A,TRUE,"Vinyl"}</definedName>
    <definedName name="fid" hidden="1">{#N/A,#N/A,FALSE,"TB";#N/A,#N/A,FALSE,"DR";#N/A,#N/A,FALSE,"AR";#N/A,#N/A,FALSE,"BS";#N/A,#N/A,FALSE,"PL";#N/A,#N/A,FALSE,"NOTES";#N/A,#N/A,FALSE,"NOTES (2)";#N/A,#N/A,FALSE,"NOTES (3)";#N/A,#N/A,FALSE,"DPL";#N/A,#N/A,FALSE,"DPL"}</definedName>
    <definedName name="fiejf" hidden="1">{"werbung",#N/A,FALSE,"GuV9900-0399";"betrieb",#N/A,FALSE,"GuV9900-0399";"personal",#N/A,FALSE,"GuV9900-0399";"tvg",#N/A,FALSE,"GuV9900-0399";"verwaltung",#N/A,FALSE,"GuV9900-0399"}</definedName>
    <definedName name="FII" hidden="1">{#N/A,#N/A,FALSE,"Presentation by Unit";#N/A,#N/A,FALSE,"Presentation by BD";#N/A,#N/A,FALSE,"Presentation Split by Biggest U";#N/A,#N/A,FALSE,"Presentation Split by Area";#N/A,#N/A,FALSE,"Presentation Split by BD"}</definedName>
    <definedName name="FileChart" hidden="1">#REF!</definedName>
    <definedName name="Filter_groups">OFFSET(#REF!,0,0,COUNTA(#REF!)-COUNTIF(#REF!,"END"))</definedName>
    <definedName name="Filter_headings">OFFSET(#REF!,0,0,COUNTA(#REF!)-COUNTIF(#REF!,"END"))</definedName>
    <definedName name="Filter_periods">#REF!</definedName>
    <definedName name="Filtered_topN">_xlfn.lambda(_xlpm.firsttopn,_xlpm.secondtopn,_xlpm.metric,_xlpm.fiscalrange,_xlpm.customerrange,_xlpm.metricnamerange,_xlpm.valuesrange,_xlpm.filtercolumndata,_xlpm.filter1,_xlpm.filter2,_xlpm.filter3,_xlpm.showremaininginothers,     _xlfn.LET(         _xlpm.filtercolumndata, IF(_xlpm.filtercolumndata = "", "", _xlpm.filtercolumndata),         _xlpm.filter1, IF(_xlpm.filter1 = "", "", _xlpm.filter1),         _xlpm.filter2, IF(_xlpm.filter2 = "", "", _xlpm.filter2),         _xlpm.filter3, IF(_xlpm.filter3 = "", "", _xlpm.filter3),                  _xlpm.applyfilter, _xlfn.lambda(_xlpm.fiscalrange,_xlpm.customerrange,_xlpm.metricnamerange,_xlpm.valuesrange,_xlpm.filter,             IF(_xlpm.filter &lt;&gt; "",                 _xlfn.LET(                     _xlpm.results, Input_Get_TopN_list(_xlpm.firsttopn, _xlpm.secondtopn, _xlpm.metric, Top_N_Sorting,                         _xlfn._xlws.FILTER(_xlpm.fiscalrange, _xlpm.filtercolumndata = _xlpm.filter),                         _xlfn._xlws.FILTER(_xlpm.customerrange, _xlpm.filtercolumndata = _xlpm.filter),                         _xlfn._xlws.FILTER(_xlpm.metricnamerange, _xlpm.filtercolumndata = _xlpm.filter),                         _xlfn._xlws.FILTER(_xlpm.valuesrange, _xlpm.filtercolumndata = _xlpm.filter),                         _xlpm.showremaininginothers),                     _xlpm.repeatedfilter, IF(ROWS(_xlpm.results) &gt; 0, _xlfn.makearray(ROWS(_xlpm.results), 1, _xlfn.lambda(_xlpm.r,_xlpm.c, _xlpm.filter)), ""),                     _xlfn.hstack(_xlpm.repeatedfilter, _xlpm.results)                 ),                 ""             )         ),                  _xlpm.finalresult_1, _xlfn.IFNA(_xlpm.applyfilter(_xlpm.fiscalrange, _xlpm.customerrange, _xlpm.metricnamerange, _xlpm.valuesrange, _xlpm.filter1), ""),         _xlpm.finalresult_2, _xlfn.IFNA(_xlpm.applyfilter(_xlpm.fiscalrange, _xlpm.customerrange, _xlpm.metricnamerange, _xlpm.valuesrange, _xlpm.filter2), ""),         _xlpm.finalresult_3, _xlfn.IFNA(_xlpm.applyfilter(_xlpm.fiscalrange, _xlpm.customerrange, _xlpm.metricnamerange, _xlpm.valuesrange, _xlpm.filter3), ""),                  _xlpm.finalresult, IF(             AND(_xlpm.filtercolumndata = "", _xlpm.filter1 = "", _xlpm.filter2 = "", _xlpm.filter3 = ""),             Input_Get_TopN_list(_xlpm.firsttopn, _xlpm.secondtopn, _xlpm.metric, Top_N_Sorting, _xlpm.fiscalrange, _xlpm.customerrange, _xlpm.metricnamerange, _xlpm.valuesrange, _xlpm.showremaininginothers),             _xlfn.IFNA(_xlfn.vstack(_xlpm.finalresult_1, _xlpm.finalresult_2, _xlpm.finalresult_3), "")         ),                  _xlfn.IFNA(_xlpm.finalresult, "")     ) )</definedName>
    <definedName name="FIMeXToEUR" hidden="1">1/eurextofim</definedName>
    <definedName name="fin" hidden="1">{#N/A,#N/A,FALSE,"DIR-REP";#N/A,#N/A,FALSE,"AUD-REPORT";#N/A,#N/A,FALSE,"P7L&amp;BS";#N/A,#N/A,FALSE,"NOTES";#N/A,#N/A,FALSE,"FA";#N/A,#N/A,FALSE,"NOTES (2)";#N/A,#N/A,FALSE,"Schedule  IV";#N/A,#N/A,FALSE,"Schedule V"}</definedName>
    <definedName name="find" hidden="1">{#N/A,#N/A,FALSE,"TAXC.INDEX";#N/A,#N/A,FALSE,"Schedule I";#N/A,#N/A,FALSE,"Schedule  II";#N/A,#N/A,FALSE,"Schedule III";#N/A,#N/A,FALSE,"Schedule IV";#N/A,#N/A,FALSE,"Schedule IV (Cont'd)";#N/A,#N/A,FALSE,"Schedule V";#N/A,#N/A,FALSE,"Schedule VI";#N/A,#N/A,FALSE,"Schedule VII"}</definedName>
    <definedName name="firstColumn" hidden="1">#REF!</definedName>
    <definedName name="fit" hidden="1">{#N/A,#N/A,FALSE,"TB";#N/A,#N/A,FALSE,"DR";#N/A,#N/A,FALSE,"AR";#N/A,#N/A,FALSE,"PL";#N/A,#N/A,FALSE,"BS";#N/A,#N/A,FALSE,"NOTES";#N/A,#N/A,FALSE,"NOTES (2)";#N/A,#N/A,FALSE,"NOTES (3)";#N/A,#N/A,FALSE,"DPL";#N/A,#N/A,FALSE,"TAXC.INDEX";#N/A,#N/A,FALSE,"Schedule I";#N/A,#N/A,FALSE,"Adjustments"}</definedName>
    <definedName name="fixed" hidden="1">{#N/A,#N/A,FALSE,"SF"}</definedName>
    <definedName name="fjaeojfa" hidden="1">{#N/A,#N/A,FALSE,"TB";#N/A,#N/A,FALSE,"DR";#N/A,#N/A,FALSE,"AR";#N/A,#N/A,FALSE,"PL";#N/A,#N/A,FALSE,"BS";#N/A,#N/A,FALSE,"NOTES";#N/A,#N/A,FALSE,"NOTES (2)";#N/A,#N/A,FALSE,"NOTES (3)";#N/A,#N/A,FALSE,"DPL";#N/A,#N/A,FALSE,"TAXC.INDEX";#N/A,#N/A,FALSE,"Schedule I";#N/A,#N/A,FALSE,"Adjustments"}</definedName>
    <definedName name="fjaoe" hidden="1">{#N/A,#N/A,FALSE,"TB";#N/A,#N/A,FALSE,"DR";#N/A,#N/A,FALSE,"AR";#N/A,#N/A,FALSE,"BS";#N/A,#N/A,FALSE,"PL";#N/A,#N/A,FALSE,"NOTES";#N/A,#N/A,FALSE,"NOTES (2)";#N/A,#N/A,FALSE,"NOTES (3)";#N/A,#N/A,FALSE,"DPL";#N/A,#N/A,FALSE,"DPL"}</definedName>
    <definedName name="FJEZK" hidden="1">{#N/A,#N/A,FALSE,"Pharm";#N/A,#N/A,FALSE,"WWCM"}</definedName>
    <definedName name="fjf" hidden="1">{#N/A,#N/A,FALSE,"TAXC.INDEX";#N/A,#N/A,FALSE,"Schedule I";#N/A,#N/A,FALSE,"Schedule  II";#N/A,#N/A,FALSE,"Schedule III"}</definedName>
    <definedName name="fjgfj" hidden="1">{"Units A",#N/A,FALSE,"FY95SLS";"Units B",#N/A,FALSE,"FY95SLS"}</definedName>
    <definedName name="fjso" hidden="1">{#N/A,#N/A,FALSE,"CONTENTS";#N/A,#N/A,FALSE,"DR";#N/A,#N/A,FALSE,"PL";#N/A,#N/A,FALSE,"BS";#N/A,#N/A,FALSE,"Cash Flow";#N/A,#N/A,FALSE,"NOTES";#N/A,#N/A,FALSE,"NOTES (FA)";#N/A,#N/A,FALSE,"Notes(3)";#N/A,#N/A,FALSE,"NOTES (4)";#N/A,#N/A,FALSE,"DP&amp;L";#N/A,#N/A,FALSE,"EXPENSES";#N/A,#N/A,FALSE,"EXPENSES-1"}</definedName>
    <definedName name="fl"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fltt" hidden="1">{#N/A,#N/A,FALSE,"TB";#N/A,#N/A,FALSE,"AR";#N/A,#N/A,FALSE,"BS";#N/A,#N/A,FALSE,"PL";#N/A,#N/A,FALSE,"NOTES";#N/A,#N/A,FALSE,"NOTES (2)";#N/A,#N/A,FALSE,"NOTES (3)";#N/A,#N/A,FALSE,"TAXC.INDEX";#N/A,#N/A,FALSE,"Schedule I";#N/A,#N/A,FALSE,"DPL";#N/A,#N/A,FALSE,"Schedule IV";#N/A,#N/A,FALSE,"Adjustments"}</definedName>
    <definedName name="Flux"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fo" hidden="1">{#N/A,#N/A,FALSE,"TB";#N/A,#N/A,FALSE,"AR";#N/A,#N/A,FALSE,"BS";#N/A,#N/A,FALSE,"PL";#N/A,#N/A,FALSE,"NOTES";#N/A,#N/A,FALSE,"NOTES (2)";#N/A,#N/A,FALSE,"NOTES (3)";#N/A,#N/A,FALSE,"TAXC.INDEX";#N/A,#N/A,FALSE,"Schedule I";#N/A,#N/A,FALSE,"DPL";#N/A,#N/A,FALSE,"Schedule IV";#N/A,#N/A,FALSE,"Adjustments"}</definedName>
    <definedName name="foethnl" hidden="1">{#N/A,#N/A,FALSE,"TB";#N/A,#N/A,FALSE,"DR";#N/A,#N/A,FALSE,"AR";#N/A,#N/A,FALSE,"BS";#N/A,#N/A,FALSE,"PL";#N/A,#N/A,FALSE,"NOTES";#N/A,#N/A,FALSE,"NOTES (2)";#N/A,#N/A,FALSE,"NOTES (3)";#N/A,#N/A,FALSE,"DPL";#N/A,#N/A,FALSE,"DPL"}</definedName>
    <definedName name="for" hidden="1">{#N/A,#N/A,FALSE,"CONTENTS";#N/A,#N/A,FALSE,"DR";#N/A,#N/A,FALSE,"PL";#N/A,#N/A,FALSE,"BS";#N/A,#N/A,FALSE,"Cash Flow";#N/A,#N/A,FALSE,"NOTES";#N/A,#N/A,FALSE,"NOTES (FA)";#N/A,#N/A,FALSE,"Notes(3)";#N/A,#N/A,FALSE,"NOTES (4)";#N/A,#N/A,FALSE,"DP&amp;L";#N/A,#N/A,FALSE,"EXPENSES";#N/A,#N/A,FALSE,"EXPENSES-1"}</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Period" hidden="1">#REF!</definedName>
    <definedName name="ForevsPlan"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Formatted" hidden="1">{"'Sheet1'!$A$1:$F$101"}</definedName>
    <definedName name="Formula" hidden="1">"'&lt;ContentDefinition name=""SASMain:MKTDL.TBVOLREVENSLANEPROFITABILITY"" rsid=""287721188"" type=""PivotTable"" format=""REPORTXML"" imgfmt=""ACTIVEX"" created=""05/12/2011 19:13:38"" modifed=""05/20/2011 17:07:18"" user=""XPMUser"" apply=""False"" th'"</definedName>
    <definedName name="fose" hidden="1">{#N/A,#N/A,FALSE,"DIR-REP";#N/A,#N/A,FALSE,"AUD-REPORT";#N/A,#N/A,FALSE,"P7L&amp;BS";#N/A,#N/A,FALSE,"NOTES";#N/A,#N/A,FALSE,"FA";#N/A,#N/A,FALSE,"NOTES (2)";#N/A,#N/A,FALSE,"Schedule  IV";#N/A,#N/A,FALSE,"Schedule V"}</definedName>
    <definedName name="FQSDF" hidden="1">{#N/A,#N/A,TRUE,"Cover";#N/A,#N/A,TRUE,"Content";"Orders EMM",#N/A,TRUE,"Order Sales";"project EMM",#N/A,TRUE,"Project Control";"Cash EMM",#N/A,TRUE,"Cash Control";"KPI EMM",#N/A,TRUE,"KPI-EMM";"Empl EMM",#N/A,TRUE,"Employees"}</definedName>
    <definedName name="fr" hidden="1">{#N/A,"PURCHM",FALSE,"Business Analysis";#N/A,"SPADD",FALSE,"Business Analysis"}</definedName>
    <definedName name="france" hidden="1">{#N/A,#N/A,FALSE,"Eastern";#N/A,#N/A,FALSE,"Western"}</definedName>
    <definedName name="Frank" hidden="1">{#N/A,#N/A,TRUE,"Cover sheet";#N/A,#N/A,TRUE,"DCF analysis";#N/A,#N/A,TRUE,"WACC calculation"}</definedName>
    <definedName name="franko" hidden="1">{#N/A,#N/A,FALSE,"Kosten97Einzel";#N/A,#N/A,FALSE,"Kosten97FZ"}</definedName>
    <definedName name="freqt" hidden="1">{#N/A,#N/A,FALSE,"DIR-REP";#N/A,#N/A,FALSE,"AUD-REPORT";#N/A,#N/A,FALSE,"P7L&amp;BS";#N/A,#N/A,FALSE,"NOTES";#N/A,#N/A,FALSE,"FA";#N/A,#N/A,FALSE,"NOTES (2)";#N/A,#N/A,FALSE,"Schedule  IV";#N/A,#N/A,FALSE,"Schedule V"}</definedName>
    <definedName name="FRF" hidden="1">{#N/A,#N/A,FALSE,"1";#N/A,#N/A,FALSE,"2";#N/A,#N/A,FALSE,"16 - 17";#N/A,#N/A,FALSE,"18 - 19";#N/A,#N/A,FALSE,"26";#N/A,#N/A,FALSE,"27";#N/A,#N/A,FALSE,"28"}</definedName>
    <definedName name="FRFERFE" hidden="1">{#N/A,#N/A,FALSE,"Pharm";#N/A,#N/A,FALSE,"WWCM"}</definedName>
    <definedName name="FRFeXToEUR" hidden="1">1/eurextofrf</definedName>
    <definedName name="frsdf" hidden="1">{#N/A,#N/A,FALSE,"3";#N/A,#N/A,FALSE,"5";#N/A,#N/A,FALSE,"6";#N/A,#N/A,FALSE,"8";#N/A,#N/A,FALSE,"10";#N/A,#N/A,FALSE,"13";#N/A,#N/A,FALSE,"14";#N/A,#N/A,FALSE,"15";#N/A,#N/A,FALSE,"16"}</definedName>
    <definedName name="frty" hidden="1">{"PRS",#N/A,FALSE,"CM"}</definedName>
    <definedName name="FSAFSAF" hidden="1">{#N/A,#N/A,FALSE,"00 P&amp;L vs 99"}</definedName>
    <definedName name="fsct" hidden="1">{#N/A,#N/A,FALSE,"Income Statement";#N/A,#N/A,FALSE,"Balance Sheet";#N/A,#N/A,FALSE,"AR Analysis";#N/A,#N/A,FALSE,"Inventory Analysis";#N/A,#N/A,FALSE,"Direct Material";#N/A,#N/A,FALSE,"Labor";#N/A,#N/A,FALSE,"Overhead";#N/A,#N/A,FALSE,"Capital";#N/A,#N/A,FALSE,"Indirect Roster"}</definedName>
    <definedName name="fsdfg" hidden="1">{#N/A,#N/A,FALSE,"Presentation by Unit";#N/A,#N/A,FALSE,"Presentation by BD";#N/A,#N/A,FALSE,"Presentation Split by Biggest U";#N/A,#N/A,FALSE,"Presentation Split by Area";#N/A,#N/A,FALSE,"Presentation Split by BD"}</definedName>
    <definedName name="fsdfsdf" hidden="1">{#N/A,#N/A,FALSE,"3";#N/A,#N/A,FALSE,"5";#N/A,#N/A,FALSE,"6";#N/A,#N/A,FALSE,"8";#N/A,#N/A,FALSE,"10";#N/A,#N/A,FALSE,"13";#N/A,#N/A,FALSE,"14";#N/A,#N/A,FALSE,"15";#N/A,#N/A,FALSE,"16"}</definedName>
    <definedName name="fsdgfsdg" hidden="1">{"Pound Sterling",#N/A,TRUE,"PPD";"Pound Sterling",#N/A,TRUE,"Anaquest";"Pound Sterling",#N/A,TRUE,"Delta";"Pound Sterling",#N/A,TRUE,"INO"}</definedName>
    <definedName name="fsejfie" hidden="1">{"werbung",#N/A,FALSE,"GuV9900-0399";"betrieb",#N/A,FALSE,"GuV9900-0399";"personal",#N/A,FALSE,"GuV9900-0399";"tvg",#N/A,FALSE,"GuV9900-0399";"verwaltung",#N/A,FALSE,"GuV9900-0399"}</definedName>
    <definedName name="fseo" hidden="1">{#N/A,#N/A,FALSE,"TAXC.INDEX";#N/A,#N/A,FALSE,"Schedule I";#N/A,#N/A,FALSE,"Schedule  II";#N/A,#N/A,FALSE,"Schedule III";#N/A,#N/A,FALSE,"Schedule IV";#N/A,#N/A,FALSE,"Schedule IV (Cont'd)";#N/A,#N/A,FALSE,"Schedule V";#N/A,#N/A,FALSE,"Schedule VI";#N/A,#N/A,FALSE,"Schedule VII"}</definedName>
    <definedName name="fsfs" hidden="1">{#N/A,#N/A,FALSE,"Calc";#N/A,#N/A,FALSE,"Sensitivity";#N/A,#N/A,FALSE,"LT Earn.Dil.";#N/A,#N/A,FALSE,"Dil. AVP"}</definedName>
    <definedName name="fsfsf" hidden="1">{#N/A,#N/A,FALSE,"3";#N/A,#N/A,FALSE,"5";#N/A,#N/A,FALSE,"6";#N/A,#N/A,FALSE,"8";#N/A,#N/A,FALSE,"10";#N/A,#N/A,FALSE,"13";#N/A,#N/A,FALSE,"14";#N/A,#N/A,FALSE,"15";#N/A,#N/A,FALSE,"16"}</definedName>
    <definedName name="fsfsfs" hidden="1">{#N/A,#N/A,FALSE,"3";#N/A,#N/A,FALSE,"5";#N/A,#N/A,FALSE,"6";#N/A,#N/A,FALSE,"8";#N/A,#N/A,FALSE,"10";#N/A,#N/A,FALSE,"13";#N/A,#N/A,FALSE,"14";#N/A,#N/A,FALSE,"15";#N/A,#N/A,FALSE,"16"}</definedName>
    <definedName name="fsilje" hidden="1">{"werbung",#N/A,FALSE,"GuV9900-0399";"betrieb",#N/A,FALSE,"GuV9900-0399";"personal",#N/A,FALSE,"GuV9900-0399";"tvg",#N/A,FALSE,"GuV9900-0399";"verwaltung",#N/A,FALSE,"GuV9900-0399"}</definedName>
    <definedName name="fske" hidden="1">{"werbung",#N/A,FALSE,"GuV9900-0399";"betrieb",#N/A,FALSE,"GuV9900-0399";"personal",#N/A,FALSE,"GuV9900-0399";"tvg",#N/A,FALSE,"GuV9900-0399";"verwaltung",#N/A,FALSE,"GuV9900-0399"}</definedName>
    <definedName name="FTE_1">#REF!</definedName>
    <definedName name="FTE_10">#REF!</definedName>
    <definedName name="FTE_11">#REF!</definedName>
    <definedName name="FTE_12">#REF!</definedName>
    <definedName name="FTE_13">#REF!</definedName>
    <definedName name="FTE_14">#REF!</definedName>
    <definedName name="FTE_15">#REF!</definedName>
    <definedName name="FTE_16">#REF!</definedName>
    <definedName name="FTE_17">#REF!</definedName>
    <definedName name="FTE_18">#REF!</definedName>
    <definedName name="FTE_19">#REF!</definedName>
    <definedName name="FTE_2">#REF!</definedName>
    <definedName name="FTE_20">#REF!</definedName>
    <definedName name="FTE_21">#REF!</definedName>
    <definedName name="FTE_22">#REF!</definedName>
    <definedName name="FTE_3">#REF!</definedName>
    <definedName name="FTE_4">#REF!</definedName>
    <definedName name="FTE_5">#REF!</definedName>
    <definedName name="FTE_6">#REF!</definedName>
    <definedName name="FTE_7">#REF!</definedName>
    <definedName name="FTE_8">#REF!</definedName>
    <definedName name="FTE_9">#REF!</definedName>
    <definedName name="fu" hidden="1">{#N/A,#N/A,FALSE,"DIR-REP";#N/A,#N/A,FALSE,"AUD-REPORT";#N/A,#N/A,FALSE,"P7L&amp;BS";#N/A,#N/A,FALSE,"NOTES";#N/A,#N/A,FALSE,"FA";#N/A,#N/A,FALSE,"NOTES (2)";#N/A,#N/A,FALSE,"Schedule  IV";#N/A,#N/A,FALSE,"Schedule V"}</definedName>
    <definedName name="fuffuy" hidden="1">{#N/A,#N/A,FALSE,"Cover";"outputs total",#N/A,FALSE,"Outputs"}</definedName>
    <definedName name="FUFU" hidden="1">{#N/A,#N/A,FALSE,"2Q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f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g" hidden="1">{#N/A,#N/A,FALSE,"TB";#N/A,#N/A,FALSE,"DR";#N/A,#N/A,FALSE,"AR";#N/A,#N/A,FALSE,"BS";#N/A,#N/A,FALSE,"PL";#N/A,#N/A,FALSE,"NOTES";#N/A,#N/A,FALSE,"NOTES (2)";#N/A,#N/A,FALSE,"NOTES (3)";#N/A,#N/A,FALSE,"DPL";#N/A,#N/A,FALSE,"DPL"}</definedName>
    <definedName name="fvedw" hidden="1">#REF!</definedName>
    <definedName name="FVG" hidden="1">{#N/A,#N/A,FALSE,"Pharm";#N/A,#N/A,FALSE,"WWCM"}</definedName>
    <definedName name="fwer" hidden="1">{#N/A,"PURCHM",FALSE,"Business Analysis";#N/A,"SPADD",FALSE,"Business Analysis"}</definedName>
    <definedName name="fx" hidden="1">{"TOTTEXAS",#N/A,FALSE,"CM"}</definedName>
    <definedName name="fyul"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FZCC" hidden="1">#REF!</definedName>
    <definedName name="ｇ" hidden="1">{"'下期集計（10.27迄・速報値）'!$Q$16"}</definedName>
    <definedName name="gadfga" hidden="1">{"Units A",#N/A,FALSE,"FY95SLS";"Units B",#N/A,FALSE,"FY95SLS"}</definedName>
    <definedName name="gaergteryq" hidden="1">{"Sum WW A",#N/A,FALSE,"FY95SLS";"Sum WW B",#N/A,FALSE,"FY95SLS";"Sum US A",#N/A,FALSE,"FY95SLS";"Sum US B",#N/A,FALSE,"FY95SLS";"Sum US Bocg",#N/A,FALSE,"FY95SLS";"Sum Can A",#N/A,FALSE,"FY95SLS";"Sum Can B",#N/A,FALSE,"FY95SLS";"Sum Europe",#N/A,FALSE,"FY95SLS";"Sum Row",#N/A,FALSE,"FY95SLS"}</definedName>
    <definedName name="gaga" hidden="1">{#N/A,#N/A,TRUE,"Cover sheet";#N/A,#N/A,TRUE,"INPUTS";#N/A,#N/A,TRUE,"OUTPUTS";#N/A,#N/A,TRUE,"VALUATION"}</definedName>
    <definedName name="gagrae" hidden="1">{"Units A",#N/A,FALSE,"FY95SLS";"Units B",#N/A,FALSE,"FY95SLS"}</definedName>
    <definedName name="gascogne" hidden="1">#REF!</definedName>
    <definedName name="Gauge" hidden="1">#REF!</definedName>
    <definedName name="GaugeBase" hidden="1">#REF!</definedName>
    <definedName name="gay" hidden="1">{#N/A,#N/A,FALSE,"TAXC.INDEX";#N/A,#N/A,FALSE,"Schedule I";#N/A,#N/A,FALSE,"Schedule  II";#N/A,#N/A,FALSE,"Schedule III";#N/A,#N/A,FALSE,"Schedule IV";#N/A,#N/A,FALSE,"Schedule IV (Cont'd)";#N/A,#N/A,FALSE,"Schedule V";#N/A,#N/A,FALSE,"Schedule VI";#N/A,#N/A,FALSE,"Schedule VII"}</definedName>
    <definedName name="gb" hidden="1">{"equity comps",#N/A,FALSE,"CS Comps";"equity comps",#N/A,FALSE,"PS Comps";"equity comps",#N/A,FALSE,"GIC_Comps";"equity comps",#N/A,FALSE,"GIC2_Comps"}</definedName>
    <definedName name="gcb" hidden="1">{#N/A,#N/A,FALSE,"3";#N/A,#N/A,FALSE,"5";#N/A,#N/A,FALSE,"6";#N/A,#N/A,FALSE,"8";#N/A,#N/A,FALSE,"10";#N/A,#N/A,FALSE,"13";#N/A,#N/A,FALSE,"14";#N/A,#N/A,FALSE,"15";#N/A,#N/A,FALSE,"16"}</definedName>
    <definedName name="gd" hidden="1">{"'下期集計（10.27迄・速報値）'!$Q$16"}</definedName>
    <definedName name="gda" hidden="1">{"'下期集計（10.27迄・速報値）'!$Q$16"}</definedName>
    <definedName name="gdchfhkjh" hidden="1">{#N/A,#N/A,FALSE,"00 P&amp;L vs 99"}</definedName>
    <definedName name="GDF" hidden="1">{"detail",#N/A,FALSE,"mfg";"summary",#N/A,FALSE,"mfg"}</definedName>
    <definedName name="gdff"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g" hidden="1">{#N/A,#N/A,FALSE,"Umsatz EO BP";#N/A,#N/A,FALSE,"Umsatz EO OP";#N/A,#N/A,FALSE,"ER EO BP";#N/A,#N/A,FALSE,"ER EO OP";#N/A,#N/A,FALSE,"EA EO (2)";#N/A,#N/A,FALSE,"EA EO";#N/A,#N/A,FALSE,"EA EO (3)";#N/A,#N/A,FALSE,"EA EO (4)";#N/A,#N/A,FALSE,"KA EO  (2)";#N/A,#N/A,FALSE,"KA EO";#N/A,#N/A,FALSE,"KA EO  (3)";#N/A,#N/A,FALSE,"KA EO (4)"}</definedName>
    <definedName name="gdfgdf" hidden="1">{#N/A,#N/A,FALSE,"Pharm";#N/A,#N/A,FALSE,"WWCM"}</definedName>
    <definedName name="gdfhgdhdf" hidden="1">{#N/A,#N/A,FALSE,"3";#N/A,#N/A,FALSE,"5";#N/A,#N/A,FALSE,"6";#N/A,#N/A,FALSE,"8";#N/A,#N/A,FALSE,"10";#N/A,#N/A,FALSE,"13";#N/A,#N/A,FALSE,"14";#N/A,#N/A,FALSE,"15";#N/A,#N/A,FALSE,"16"}</definedName>
    <definedName name="gdfs" hidden="1">{"Units A",#N/A,FALSE,"FY95SLS";"Units B",#N/A,FALSE,"FY95SLS"}</definedName>
    <definedName name="gdsa" hidden="1">{"'下期集計（10.27迄・速報値）'!$Q$16"}</definedName>
    <definedName name="gdsfg" hidden="1">{#N/A,#N/A,TRUE,"Cover sheet";#N/A,#N/A,TRUE,"INPUTS";#N/A,#N/A,TRUE,"OUTPUTS";#N/A,#N/A,TRUE,"VALUATION"}</definedName>
    <definedName name="Genesys" hidden="1">{"'comite'!$A$9:$G$44","'comite'!$A$1:$G$6"}</definedName>
    <definedName name="ger" hidden="1">{#N/A,#N/A,FALSE,"CONTENTS";#N/A,#N/A,FALSE,"DR";#N/A,#N/A,FALSE,"PL";#N/A,#N/A,FALSE,"BS";#N/A,#N/A,FALSE,"Cash Flow";#N/A,#N/A,FALSE,"NOTES";#N/A,#N/A,FALSE,"NOTES (FA)";#N/A,#N/A,FALSE,"Notes(3)";#N/A,#N/A,FALSE,"NOTES (4)";#N/A,#N/A,FALSE,"DP&amp;L";#N/A,#N/A,FALSE,"EXPENSES";#N/A,#N/A,FALSE,"EXPENSES-1"}</definedName>
    <definedName name="gerdgw" hidden="1">{#N/A,#N/A,TRUE,"COVER";#N/A,#N/A,TRUE,"DIR";#N/A,#N/A,TRUE,"AUDIT"}</definedName>
    <definedName name="Get_simple_topN">_xlfn.lambda(_xlpm.firsttopn,_xlpm.secondtopn,_xlpm.metric,_xlpm.fiscalperiodarray,_xlpm.fiscalrange,_xlpm.customerrange,_xlpm.metricnamerange,_xlpm.valuesrange,_xlop.showremaininginothers,_xlop.manualsorting,      _xlfn.LET(         _xlpm.showremaining, IF(_xlfn.isomitted(_xlpm.showremaininginothers), "no", _xlpm.showremaininginothers),         _xlpm.topnlist, Input_get_simple_TopN(_xlpm.firsttopn, _xlpm.secondtopn, _xlpm.metric, _xlpm.fiscalperiodarray, _xlpm.fiscalrange, _xlpm.customerrange, _xlpm.metricnamerange, _xlpm.valuesrange, _xlpm.showremaining),         _xlpm.sortedlist, IF(OR(_xlfn.isomitted(_xlpm.manualsorting), ISBLANK(_xlpm.manualsorting), _xlpm.manualsorting="no"),             _xlpm.topnlist,             IF(_xlpm.manualsorting="Yes", _xlfn.SORTBY(_xlpm.topnlist, MATCH(_xlpm.topnlist, TopN_manual_sorting, 0)), _xlpm.topnlist)         ),         _xlpm.sortedlist     ) )</definedName>
    <definedName name="Get_top_N_filtered">_xlfn.lambda(_xlpm.firsttopn,_xlpm.secondtopn,_xlpm.metric,_xlpm.fiscalrange,_xlpm.customerrange,_xlpm.metricnamerange,_xlpm.valuesrange,_xlpm.showremaininginothers,_xlpm.filtercolumndata,_xlpm.filter1,_xlpm.filter2,_xlpm.filter3,     IF(         AND(             OR(ISBLANK(_xlpm.filtercolumndata), _xlfn.IFNA(_xlpm.filtercolumndata, "") = ""),             OR(ISBLANK(_xlpm.filter1), _xlfn.IFNA(_xlpm.filter1, "") = ""),             OR(ISBLANK(_xlpm.filter2), _xlfn.IFNA(_xlpm.filter2, "") = ""),             OR(ISBLANK(_xlpm.filter3), _xlfn.IFNA(_xlpm.filter3, "") = "")         ),         _xlfn.IFNA(             _xlfn.hstack("", Input_Get_TopN_list(_xlpm.firsttopn, _xlpm.secondtopn, _xlpm.metric, Top_N_Sorting, _xlpm.fiscalrange, _xlpm.customerrange, _xlpm.metricnamerange, _xlpm.valuesrange, _xlpm.showremaininginothers)),             ""         ),         Filtered_topN(_xlpm.firsttopn, _xlpm.secondtopn, _xlpm.metric, _xlpm.fiscalrange, _xlpm.customerrange, _xlpm.metricnamerange, _xlpm.valuesrange, _xlpm.filtercolumndata, _xlpm.filter1, _xlpm.filter2, _xlpm.filter3, _xlpm.showremaininginothers)     ) )</definedName>
    <definedName name="Get_TopN_list">_xlfn.lambda(_xlpm.firsttopn,_xlpm.secondtopn,_xlpm.metric,_xlpm.fiscalperiodarray,_xlpm.fiscalrange,_xlpm.customerrange,_xlpm.metricnamerange,_xlpm.valuesrange,_xlop.showremaininginothers,_xlop.manualsorting,     _xlfn.LET(         _xlpm.showremaining, IF(_xlfn.isomitted(_xlpm.showremaininginothers), "no", _xlpm.showremaininginothers),         _xlpm.topnlist, Input_Get_TopN_list(_xlpm.firsttopn, _xlpm.secondtopn, _xlpm.metric, _xlpm.fiscalperiodarray, _xlpm.fiscalrange, _xlpm.customerrange, _xlpm.metricnamerange, _xlpm.valuesrange, _xlpm.showremaining),         _xlpm.sortedlist, IF(OR(_xlfn.isomitted(_xlpm.manualsorting), ISBLANK(_xlpm.manualsorting), _xlpm.manualsorting="no"),             _xlpm.topnlist,             IF(_xlpm.manualsorting="Yes", _xlfn.SORTBY(_xlpm.topnlist, MATCH(_xlpm.topnlist, TopN_manual_sorting, 0)), _xlpm.topnlist)         ),         _xlpm.sortedlist     ) )</definedName>
    <definedName name="getridofit" hidden="1">{#N/A,#N/A,FALSE,"00 P&amp;L vs 99"}</definedName>
    <definedName name="gf" hidden="1">{#N/A,#N/A,FALSE,"KA CH  (2)"}</definedName>
    <definedName name="gfbg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fbns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d" hidden="1">{#N/A,"PURCHM",FALSE,"Business Analysis";#N/A,"SPADD",FALSE,"Business Analysis"}</definedName>
    <definedName name="gfdf" hidden="1">{"Units A",#N/A,FALSE,"FY95SLS";"Units B",#N/A,FALSE,"FY95SLS"}</definedName>
    <definedName name="gfdgdfgrdf" hidden="1">{#N/A,#N/A,FALSE,"3";#N/A,#N/A,FALSE,"5";#N/A,#N/A,FALSE,"6";#N/A,#N/A,FALSE,"8";#N/A,#N/A,FALSE,"10";#N/A,#N/A,FALSE,"13";#N/A,#N/A,FALSE,"14";#N/A,#N/A,FALSE,"15";#N/A,#N/A,FALSE,"16"}</definedName>
    <definedName name="gfdhadf" hidden="1">#REF!</definedName>
    <definedName name="gfdhgfh" hidden="1">{"Units A",#N/A,FALSE,"FY95SLS";"Units B",#N/A,FALSE,"FY95SLS"}</definedName>
    <definedName name="gfdjhjh" hidden="1">{#N/A,#N/A,FALSE,"Pharm";#N/A,#N/A,FALSE,"WWCM"}</definedName>
    <definedName name="gfds" hidden="1">{"oct_res_comm",#N/A,FALSE,"VarToBud"}</definedName>
    <definedName name="gfdsg" hidden="1">{#N/A,#N/A,FALSE,"3";#N/A,#N/A,FALSE,"5";#N/A,#N/A,FALSE,"6";#N/A,#N/A,FALSE,"8";#N/A,#N/A,FALSE,"10";#N/A,#N/A,FALSE,"13";#N/A,#N/A,FALSE,"14";#N/A,#N/A,FALSE,"15";#N/A,#N/A,FALSE,"16"}</definedName>
    <definedName name="gff" hidden="1">{"sweden",#N/A,FALSE,"Sweden";"germany",#N/A,FALSE,"Germany";"portugal",#N/A,FALSE,"Portugal";"belgium",#N/A,FALSE,"Belgium";"japan",#N/A,FALSE,"Japan ";"italy",#N/A,FALSE,"Italy";"spain",#N/A,FALSE,"Spain";"korea",#N/A,FALSE,"Korea"}</definedName>
    <definedName name="gffdsgfds" hidden="1">{#N/A,#N/A,FALSE,"3";#N/A,#N/A,FALSE,"5";#N/A,#N/A,FALSE,"6";#N/A,#N/A,FALSE,"8";#N/A,#N/A,FALSE,"10";#N/A,#N/A,FALSE,"13";#N/A,#N/A,FALSE,"14";#N/A,#N/A,FALSE,"15";#N/A,#N/A,FALSE,"16"}</definedName>
    <definedName name="gfg" hidden="1">{"Pound Sterling",#N/A,TRUE,"PPD";"Pound Sterling",#N/A,TRUE,"Anaquest";"Pound Sterling",#N/A,TRUE,"Delta";"Pound Sterling",#N/A,TRUE,"INO"}</definedName>
    <definedName name="gfghdfgdf" hidden="1">{#N/A,#N/A,FALSE,"Umsatz CH";#N/A,#N/A,FALSE,"ER CH";#N/A,#N/A,FALSE,"EA CH (2) ";#N/A,#N/A,FALSE,"EA CH";#N/A,#N/A,FALSE,"EA CH (3) ";#N/A,#N/A,FALSE,"EA CH (4)";#N/A,#N/A,FALSE,"KA CH";#N/A,#N/A,FALSE,"KA CH  (2)";#N/A,#N/A,FALSE,"KA CH  (3)";#N/A,#N/A,FALSE,"KA CH (4)"}</definedName>
    <definedName name="gfh" hidden="1">{"Units A",#N/A,FALSE,"FY95SLS";"Units B",#N/A,FALSE,"FY95SLS"}</definedName>
    <definedName name="gfhfgh" hidden="1">{#N/A,#N/A,FALSE,"Umsatz HM";#N/A,#N/A,FALSE,"ER HM";#N/A,#N/A,FALSE,"EA HM  (2)";#N/A,#N/A,FALSE,"EA HM ";#N/A,#N/A,FALSE,"EA HM  (4)";#N/A,#N/A,FALSE,"EA HM  (3)";#N/A,#N/A,FALSE,"KA HM  (2)";#N/A,#N/A,FALSE,"KA HM";#N/A,#N/A,FALSE,"KA HM  (3)";#N/A,#N/A,FALSE,"KA HM (4)"}</definedName>
    <definedName name="gfhfghgsdfghfg" hidden="1">{#N/A,#N/A,FALSE,"Umsatz 99";#N/A,#N/A,FALSE,"ER 99 "}</definedName>
    <definedName name="gfhh" hidden="1">{#N/A,#N/A,FALSE,"Umsatz CH";#N/A,#N/A,FALSE,"ER CH";#N/A,#N/A,FALSE,"EA CH (2) ";#N/A,#N/A,FALSE,"EA CH";#N/A,#N/A,FALSE,"EA CH (3) ";#N/A,#N/A,FALSE,"EA CH (4)";#N/A,#N/A,FALSE,"KA CH";#N/A,#N/A,FALSE,"KA CH  (2)";#N/A,#N/A,FALSE,"KA CH  (3)";#N/A,#N/A,FALSE,"KA CH (4)"}</definedName>
    <definedName name="gfhraegt" hidden="1">{"Units A",#N/A,FALSE,"FY95SLS";"Units B",#N/A,FALSE,"FY95SLS"}</definedName>
    <definedName name="gfhrhtrh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hs" hidden="1">{"Sum WW A",#N/A,FALSE,"FY95SLS";"Sum WW B",#N/A,FALSE,"FY95SLS";"Sum US A",#N/A,FALSE,"FY95SLS";"Sum US B",#N/A,FALSE,"FY95SLS";"Sum US Bocg",#N/A,FALSE,"FY95SLS";"Sum Can A",#N/A,FALSE,"FY95SLS";"Sum Can B",#N/A,FALSE,"FY95SLS";"Sum Europe",#N/A,FALSE,"FY95SLS";"Sum Row",#N/A,FALSE,"FY95SLS"}</definedName>
    <definedName name="gfhsdfg" hidden="1">{"US Dollars",#N/A,TRUE,"PPD";"US Dollar",#N/A,TRUE,"Anaquest";"US Dollar",#N/A,TRUE,"Delta";"US Dollar",#N/A,TRUE,"INO"}</definedName>
    <definedName name="gfhwrth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hwt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fhwthw"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fhwtr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j" hidden="1">{"Pound Sterling",#N/A,TRUE,"PPD";"Pound Sterling",#N/A,TRUE,"Anaquest";"Pound Sterling",#N/A,TRUE,"Delta";"Pound Sterling",#N/A,TRUE,"INO"}</definedName>
    <definedName name="gfjgfj" hidden="1">{"US Dollars",#N/A,TRUE,"PPD";"US Dollar",#N/A,TRUE,"Anaquest";"US Dollar",#N/A,TRUE,"Delta";"US Dollar",#N/A,TRUE,"INO"}</definedName>
    <definedName name="gfjgfjgf" hidden="1">{"Sum WW A",#N/A,FALSE,"FY95SLS";"Sum WW B",#N/A,FALSE,"FY95SLS";"Sum US A",#N/A,FALSE,"FY95SLS";"Sum US B",#N/A,FALSE,"FY95SLS";"Sum US Bocg",#N/A,FALSE,"FY95SLS";"Sum Can A",#N/A,FALSE,"FY95SLS";"Sum Can B",#N/A,FALSE,"FY95SLS";"Sum Europe",#N/A,FALSE,"FY95SLS";"Sum Row",#N/A,FALSE,"FY95SLS"}</definedName>
    <definedName name="gfmjgf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reg" hidden="1">{"Units A",#N/A,FALSE,"FY95SLS";"Units B",#N/A,FALSE,"FY95SLS"}</definedName>
    <definedName name="gfrr" hidden="1">{#N/A,#N/A,FALSE,"Umsatz 99";#N/A,#N/A,FALSE,"ER 99 "}</definedName>
    <definedName name="gf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SDFS" hidden="1">{#N/A,#N/A,FALSE,"FScover";#N/A,#N/A,FALSE,"Balsht";#N/A,#N/A,FALSE,"income";#N/A,#N/A,FALSE,"cashflw";#N/A,#N/A,FALSE,"g&amp;a";#N/A,#N/A,FALSE,"cos"}</definedName>
    <definedName name="gg" hidden="1">{#N/A,#N/A,FALSE,"Umsatz EO BP";#N/A,#N/A,FALSE,"Umsatz EO OP";#N/A,#N/A,FALSE,"ER EO BP";#N/A,#N/A,FALSE,"ER EO OP";#N/A,#N/A,FALSE,"EA EO (2)";#N/A,#N/A,FALSE,"EA EO";#N/A,#N/A,FALSE,"EA EO (3)";#N/A,#N/A,FALSE,"EA EO (4)";#N/A,#N/A,FALSE,"KA EO  (2)";#N/A,#N/A,FALSE,"KA EO";#N/A,#N/A,FALSE,"KA EO  (3)";#N/A,#N/A,FALSE,"KA EO (4)"}</definedName>
    <definedName name="ggf" hidden="1">{"comps",#N/A,FALSE,"comps";"notes",#N/A,FALSE,"comps"}</definedName>
    <definedName name="ggfhwty" hidden="1">{"Units A",#N/A,FALSE,"FY95SLS";"Units B",#N/A,FALSE,"FY95SLS"}</definedName>
    <definedName name="ggg" hidden="1">{#N/A,#N/A,FALSE,"DIR-REP";#N/A,#N/A,FALSE,"AUD-REPORT";#N/A,#N/A,FALSE,"P7L&amp;BS";#N/A,#N/A,FALSE,"NOTES";#N/A,#N/A,FALSE,"FA";#N/A,#N/A,FALSE,"NOTES (2)";#N/A,#N/A,FALSE,"Schedule  IV";#N/A,#N/A,FALSE,"Schedule V"}</definedName>
    <definedName name="gggg" hidden="1">{#N/A,#N/A,FALSE,"Umsatz 99";#N/A,#N/A,FALSE,"ER 99 "}</definedName>
    <definedName name="ggggg" hidden="1">{"budget992000_customers",#N/A,FALSE,"Celtel alternative 6"}</definedName>
    <definedName name="gggggg" hidden="1">{#N/A,#N/A,FALSE,"Presentation by Unit";#N/A,#N/A,FALSE,"Presentation by BD";#N/A,#N/A,FALSE,"Presentation Split by Biggest U";#N/A,#N/A,FALSE,"Presentation Split by Area";#N/A,#N/A,FALSE,"Presentation Split by BD"}</definedName>
    <definedName name="ggggggg" hidden="1">{"budget992000 profit and loss",#N/A,FALSE,"Celtel alternative 6"}</definedName>
    <definedName name="gggggggg" hidden="1">{#N/A,#N/A,FALSE,"3";#N/A,#N/A,FALSE,"5";#N/A,#N/A,FALSE,"6";#N/A,#N/A,FALSE,"8";#N/A,#N/A,FALSE,"10";#N/A,#N/A,FALSE,"13";#N/A,#N/A,FALSE,"14";#N/A,#N/A,FALSE,"15";#N/A,#N/A,FALSE,"16"}</definedName>
    <definedName name="GGGH" hidden="1">{"stepel",#N/A,FALSE,"AHFSTEP"}</definedName>
    <definedName name="gghgjj" hidden="1">{#N/A,#N/A,FALSE,"KPI-EMM-Graph";#N/A,#N/A,FALSE,"Cost Graph";#N/A,#N/A,FALSE,"Cash graph";#N/A,#N/A,FALSE,"Order Sales Graph"}</definedName>
    <definedName name="GGHH" hidden="1">{#N/A,#N/A,FALSE,"ARCYLD"}</definedName>
    <definedName name="gh" hidden="1">{"detail",#N/A,FALSE,"mfg";"summary",#N/A,FALSE,"mfg"}</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fgh" hidden="1">{#N/A,#N/A,FALSE,"Umsatz CH";#N/A,#N/A,FALSE,"ER CH";#N/A,#N/A,FALSE,"EA CH (2) ";#N/A,#N/A,FALSE,"EA CH";#N/A,#N/A,FALSE,"EA CH (3) ";#N/A,#N/A,FALSE,"EA CH (4)";#N/A,#N/A,FALSE,"KA CH";#N/A,#N/A,FALSE,"KA CH  (2)";#N/A,#N/A,FALSE,"KA CH  (3)";#N/A,#N/A,FALSE,"KA CH (4)"}</definedName>
    <definedName name="ghfghg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hh" hidden="1">{#N/A,#N/A,FALSE,"KA CH  (2)"}</definedName>
    <definedName name="ghhg" hidden="1">{#N/A,#N/A,FALSE,"Presentation by Unit";#N/A,#N/A,FALSE,"Presentation by BD";#N/A,#N/A,FALSE,"Presentation Split by Biggest U";#N/A,#N/A,FALSE,"Presentation Split by Area";#N/A,#N/A,FALSE,"Presentation Split by BD"}</definedName>
    <definedName name="ghj" hidden="1">{#N/A,#N/A,FALSE,"Umsatz CH";#N/A,#N/A,FALSE,"ER CH";#N/A,#N/A,FALSE,"EA CH (2) ";#N/A,#N/A,FALSE,"EA CH";#N/A,#N/A,FALSE,"EA CH (3) ";#N/A,#N/A,FALSE,"EA CH (4)";#N/A,#N/A,FALSE,"KA CH";#N/A,#N/A,FALSE,"KA CH  (2)";#N/A,#N/A,FALSE,"KA CH  (3)";#N/A,#N/A,FALSE,"KA CH (4)"}</definedName>
    <definedName name="ghj.ljj" hidden="1">{#N/A,#N/A,FALSE,"Produkte Erw.";#N/A,#N/A,FALSE,"Produkte Plan";#N/A,#N/A,FALSE,"Leistungen Erw.";#N/A,#N/A,FALSE,"Leistungen Plan";#N/A,#N/A,FALSE,"KA Allg.Kosten (2)";#N/A,#N/A,FALSE,"KA All.Kosten"}</definedName>
    <definedName name="ghj.zz" hidden="1">{#N/A,#N/A,FALSE,"Umsatz CH";#N/A,#N/A,FALSE,"ER CH";#N/A,#N/A,FALSE,"EA CH (2) ";#N/A,#N/A,FALSE,"EA CH";#N/A,#N/A,FALSE,"EA CH (3) ";#N/A,#N/A,FALSE,"EA CH (4)";#N/A,#N/A,FALSE,"KA CH";#N/A,#N/A,FALSE,"KA CH  (2)";#N/A,#N/A,FALSE,"KA CH  (3)";#N/A,#N/A,FALSE,"KA CH (4)"}</definedName>
    <definedName name="ghjdghjty" hidden="1">{"Pound Sterling",#N/A,TRUE,"PPD";"Pound Sterling",#N/A,TRUE,"Anaquest";"Pound Sterling",#N/A,TRUE,"Delta";"Pound Sterling",#N/A,TRUE,"INO"}</definedName>
    <definedName name="ghjeth" hidden="1">{"Pound Sterling",#N/A,TRUE,"PPD";"Pound Sterling",#N/A,TRUE,"Anaquest";"Pound Sterling",#N/A,TRUE,"Delta";"Pound Sterling",#N/A,TRUE,"INO"}</definedName>
    <definedName name="ghjggjh" hidden="1">{#N/A,#N/A,FALSE,"Pharm";#N/A,#N/A,FALSE,"WWCM"}</definedName>
    <definedName name="ghjghjtyuu" hidden="1">{"Units A",#N/A,FALSE,"FY95SLS";"Units B",#N/A,FALSE,"FY95SLS"}</definedName>
    <definedName name="ghjhgj" hidden="1">{#N/A,#N/A,FALSE,"PMW Gruppe 99_98";#N/A,#N/A,FALSE,"PMW KG 98_99";#N/A,#N/A,FALSE,"PMW Inc. 99_98";#N/A,#N/A,FALSE,"PMW VTECH 99_98";#N/A,#N/A,FALSE,"PMW Thail. 99_98";#N/A,#N/A,FALSE,"PMW Canada 99_98";#N/A,#N/A,FALSE,"Währungsabw. 99_98"}</definedName>
    <definedName name="ghjhgjh" hidden="1">{#N/A,#N/A,FALSE,"KA CH  (2)"}</definedName>
    <definedName name="ghjhj" hidden="1">{#N/A,#N/A,FALSE,"Umsatz EO BP";#N/A,#N/A,FALSE,"Umsatz EO OP";#N/A,#N/A,FALSE,"ER EO BP";#N/A,#N/A,FALSE,"ER EO OP";#N/A,#N/A,FALSE,"EA EO (2)";#N/A,#N/A,FALSE,"EA EO";#N/A,#N/A,FALSE,"EA EO (3)";#N/A,#N/A,FALSE,"EA EO (4)";#N/A,#N/A,FALSE,"KA EO  (2)";#N/A,#N/A,FALSE,"KA EO";#N/A,#N/A,FALSE,"KA EO  (3)";#N/A,#N/A,FALSE,"KA EO (4)"}</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k" hidden="1">{#N/A,#N/A,FALSE,"PMW Gruppe 99_98";#N/A,#N/A,FALSE,"PMW KG 98_99";#N/A,#N/A,FALSE,"PMW Inc. 99_98";#N/A,#N/A,FALSE,"PMW VTECH 99_98";#N/A,#N/A,FALSE,"PMW Thail. 99_98";#N/A,#N/A,FALSE,"PMW Canada 99_98";#N/A,#N/A,FALSE,"Währungsabw. 99_98"}</definedName>
    <definedName name="ghketyk" hidden="1">{"Units A",#N/A,FALSE,"FY95SLS";"Units B",#N/A,FALSE,"FY95SLS"}</definedName>
    <definedName name="ghkggh" hidden="1">{#N/A,#N/A,FALSE,"3";#N/A,#N/A,FALSE,"5";#N/A,#N/A,FALSE,"6";#N/A,#N/A,FALSE,"8";#N/A,#N/A,FALSE,"10";#N/A,#N/A,FALSE,"13";#N/A,#N/A,FALSE,"14";#N/A,#N/A,FALSE,"15";#N/A,#N/A,FALSE,"16"}</definedName>
    <definedName name="ghkghk" hidden="1">{#N/A,#N/A,FALSE,"3";#N/A,#N/A,FALSE,"5";#N/A,#N/A,FALSE,"6";#N/A,#N/A,FALSE,"8";#N/A,#N/A,FALSE,"10";#N/A,#N/A,FALSE,"13";#N/A,#N/A,FALSE,"14";#N/A,#N/A,FALSE,"15";#N/A,#N/A,FALSE,"16"}</definedName>
    <definedName name="ghkk" hidden="1">{#N/A,#N/A,FALSE,"3";#N/A,#N/A,FALSE,"5";#N/A,#N/A,FALSE,"6";#N/A,#N/A,FALSE,"8";#N/A,#N/A,FALSE,"10";#N/A,#N/A,FALSE,"13";#N/A,#N/A,FALSE,"14";#N/A,#N/A,FALSE,"15";#N/A,#N/A,FALSE,"16"}</definedName>
    <definedName name="gh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huifd" hidden="1">{#N/A,"PURCHM",FALSE,"Business Analysis";#N/A,"SPADD",FALSE,"Business Analysis"}</definedName>
    <definedName name="ghwhth" hidden="1">{"Units A",#N/A,FALSE,"FY95SLS";"Units B",#N/A,FALSE,"FY95SLS"}</definedName>
    <definedName name="ghwrthwrh" hidden="1">{"Pound Sterling",#N/A,TRUE,"PPD";"Pound Sterling",#N/A,TRUE,"Anaquest";"Pound Sterling",#N/A,TRUE,"Delta";"Pound Sterling",#N/A,TRUE,"INO"}</definedName>
    <definedName name="gjaeofjfa" hidden="1">{#N/A,#N/A,FALSE,"CONTENTS";#N/A,#N/A,FALSE,"DR";#N/A,#N/A,FALSE,"PL";#N/A,#N/A,FALSE,"BS";#N/A,#N/A,FALSE,"Cash Flow";#N/A,#N/A,FALSE,"NOTES";#N/A,#N/A,FALSE,"NOTES (FA)";#N/A,#N/A,FALSE,"Notes(3)";#N/A,#N/A,FALSE,"NOTES (4)";#N/A,#N/A,FALSE,"DP&amp;L";#N/A,#N/A,FALSE,"EXPENSES";#N/A,#N/A,FALSE,"EXPENSES-1"}</definedName>
    <definedName name="gjaeoj" hidden="1">{#N/A,#N/A,FALSE,"TB";#N/A,#N/A,FALSE,"DR";#N/A,#N/A,FALSE,"AR";#N/A,#N/A,FALSE,"PL";#N/A,#N/A,FALSE,"BS";#N/A,#N/A,FALSE,"NOTES";#N/A,#N/A,FALSE,"NOTES (2)";#N/A,#N/A,FALSE,"NOTES (3)";#N/A,#N/A,FALSE,"DPL";#N/A,#N/A,FALSE,"TAXC.INDEX";#N/A,#N/A,FALSE,"Schedule I";#N/A,#N/A,FALSE,"Adjustments"}</definedName>
    <definedName name="gjafoe" hidden="1">{#N/A,#N/A,TRUE,"COVER";#N/A,#N/A,TRUE,"DIR";#N/A,#N/A,TRUE,"AUDIT"}</definedName>
    <definedName name="gjafoeaf" hidden="1">{#N/A,#N/A,FALSE,"DIR-REP";#N/A,#N/A,FALSE,"AUD-REPORT";#N/A,#N/A,FALSE,"P7L&amp;BS";#N/A,#N/A,FALSE,"NOTES";#N/A,#N/A,FALSE,"FA";#N/A,#N/A,FALSE,"NOTES (2)";#N/A,#N/A,FALSE,"Schedule  IV";#N/A,#N/A,FALSE,"Schedule V"}</definedName>
    <definedName name="gjafoejf" hidden="1">{#N/A,#N/A,FALSE,"DIR-REP";#N/A,#N/A,FALSE,"AUD-REPORT";#N/A,#N/A,FALSE,"P7L&amp;BS";#N/A,#N/A,FALSE,"NOTES";#N/A,#N/A,FALSE,"FA";#N/A,#N/A,FALSE,"NOTES (2)";#N/A,#N/A,FALSE,"Schedule  IV";#N/A,#N/A,FALSE,"Schedule V"}</definedName>
    <definedName name="gjafoejfa" hidden="1">{#N/A,#N/A,FALSE,"TB";#N/A,#N/A,FALSE,"DR";#N/A,#N/A,FALSE,"AR";#N/A,#N/A,FALSE,"PL";#N/A,#N/A,FALSE,"BS";#N/A,#N/A,FALSE,"NOTES";#N/A,#N/A,FALSE,"NOTES (2)";#N/A,#N/A,FALSE,"NOTES (3)";#N/A,#N/A,FALSE,"DPL";#N/A,#N/A,FALSE,"TAXC.INDEX";#N/A,#N/A,FALSE,"Schedule I";#N/A,#N/A,FALSE,"Adjustments"}</definedName>
    <definedName name="gjafos" hidden="1">{#N/A,#N/A,FALSE,"TB";#N/A,#N/A,FALSE,"AR";#N/A,#N/A,FALSE,"BS";#N/A,#N/A,FALSE,"PL";#N/A,#N/A,FALSE,"NOTES";#N/A,#N/A,FALSE,"NOTES (2)";#N/A,#N/A,FALSE,"NOTES (3)";#N/A,#N/A,FALSE,"TAXC.INDEX";#N/A,#N/A,FALSE,"Schedule I";#N/A,#N/A,FALSE,"DPL";#N/A,#N/A,FALSE,"Schedule IV";#N/A,#N/A,FALSE,"Adjustments"}</definedName>
    <definedName name="gjajeofa" hidden="1">{#N/A,#N/A,FALSE,"TB";#N/A,#N/A,FALSE,"AR";#N/A,#N/A,FALSE,"BS";#N/A,#N/A,FALSE,"PL";#N/A,#N/A,FALSE,"NOTES";#N/A,#N/A,FALSE,"NOTES (2)";#N/A,#N/A,FALSE,"NOTES (3)";#N/A,#N/A,FALSE,"TAXC.INDEX";#N/A,#N/A,FALSE,"Schedule I";#N/A,#N/A,FALSE,"DPL";#N/A,#N/A,FALSE,"Schedule IV";#N/A,#N/A,FALSE,"Adjustments"}</definedName>
    <definedName name="gjaoejfa" hidden="1">{#N/A,#N/A,FALSE,"TB";#N/A,#N/A,FALSE,"DR";#N/A,#N/A,FALSE,"AR";#N/A,#N/A,FALSE,"BS";#N/A,#N/A,FALSE,"PL";#N/A,#N/A,FALSE,"NOTES";#N/A,#N/A,FALSE,"NOTES (2)";#N/A,#N/A,FALSE,"NOTES (3)";#N/A,#N/A,FALSE,"DPL";#N/A,#N/A,FALSE,"DPL"}</definedName>
    <definedName name="gjdft" hidden="1">{"Sum WW A",#N/A,FALSE,"FY95SLS";"Sum WW B",#N/A,FALSE,"FY95SLS";"Sum US A",#N/A,FALSE,"FY95SLS";"Sum US B",#N/A,FALSE,"FY95SLS";"Sum US Bocg",#N/A,FALSE,"FY95SLS";"Sum Can A",#N/A,FALSE,"FY95SLS";"Sum Can B",#N/A,FALSE,"FY95SLS";"Sum Europe",#N/A,FALSE,"FY95SLS";"Sum Row",#N/A,FALSE,"FY95SLS"}</definedName>
    <definedName name="gjeo" hidden="1">{#N/A,#N/A,FALSE,"DIR-REP";#N/A,#N/A,FALSE,"AUD-REPORT";#N/A,#N/A,FALSE,"P7L&amp;BS";#N/A,#N/A,FALSE,"NOTES";#N/A,#N/A,FALSE,"FA";#N/A,#N/A,FALSE,"NOTES (2)";#N/A,#N/A,FALSE,"Schedule  IV";#N/A,#N/A,FALSE,"Schedule V"}</definedName>
    <definedName name="GJGJGJG" hidden="1">{#N/A,#N/A,FALSE,"00 P&amp;L vs 99"}</definedName>
    <definedName name="gjh" hidden="1">{#N/A,#N/A,FALSE,"Umsatz 99";#N/A,#N/A,FALSE,"ER 99 "}</definedName>
    <definedName name="gjk" hidden="1">{#N/A,#N/A,FALSE,"Umsatz HM";#N/A,#N/A,FALSE,"ER HM";#N/A,#N/A,FALSE,"EA HM  (2)";#N/A,#N/A,FALSE,"EA HM ";#N/A,#N/A,FALSE,"EA HM  (4)";#N/A,#N/A,FALSE,"EA HM  (3)";#N/A,#N/A,FALSE,"KA HM  (2)";#N/A,#N/A,FALSE,"KA HM";#N/A,#N/A,FALSE,"KA HM  (3)";#N/A,#N/A,FALSE,"KA HM (4)"}</definedName>
    <definedName name="gjos" hidden="1">{#N/A,#N/A,FALSE,"TAXC.INDEX";#N/A,#N/A,FALSE,"Schedule I";#N/A,#N/A,FALSE,"Schedule  II";#N/A,#N/A,FALSE,"Schedule III"}</definedName>
    <definedName name="GJPRIS">#REF!</definedName>
    <definedName name="gj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jt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jtyu" hidden="1">{"Sum WW A",#N/A,FALSE,"FY95SLS";"Sum WW B",#N/A,FALSE,"FY95SLS";"Sum US A",#N/A,FALSE,"FY95SLS";"Sum US B",#N/A,FALSE,"FY95SLS";"Sum US Bocg",#N/A,FALSE,"FY95SLS";"Sum Can A",#N/A,FALSE,"FY95SLS";"Sum Can B",#N/A,FALSE,"FY95SLS";"Sum Europe",#N/A,FALSE,"FY95SLS";"Sum Row",#N/A,FALSE,"FY95SLS"}</definedName>
    <definedName name="gkgfkghkffg" hidden="1">{#N/A,#N/A,FALSE,"3";#N/A,#N/A,FALSE,"5";#N/A,#N/A,FALSE,"6";#N/A,#N/A,FALSE,"8";#N/A,#N/A,FALSE,"10";#N/A,#N/A,FALSE,"13";#N/A,#N/A,FALSE,"14";#N/A,#N/A,FALSE,"15";#N/A,#N/A,FALSE,"16"}</definedName>
    <definedName name="gkgfyu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kghk" hidden="1">{#N/A,#N/A,FALSE,"3";#N/A,#N/A,FALSE,"5";#N/A,#N/A,FALSE,"6";#N/A,#N/A,FALSE,"8";#N/A,#N/A,FALSE,"10";#N/A,#N/A,FALSE,"13";#N/A,#N/A,FALSE,"14";#N/A,#N/A,FALSE,"15";#N/A,#N/A,FALSE,"16"}</definedName>
    <definedName name="gkghkg" hidden="1">{#N/A,#N/A,FALSE,"3";#N/A,#N/A,FALSE,"5";#N/A,#N/A,FALSE,"6";#N/A,#N/A,FALSE,"8";#N/A,#N/A,FALSE,"10";#N/A,#N/A,FALSE,"13";#N/A,#N/A,FALSE,"14";#N/A,#N/A,FALSE,"15";#N/A,#N/A,FALSE,"16"}</definedName>
    <definedName name="gkhkgh" hidden="1">{#N/A,#N/A,FALSE,"3";#N/A,#N/A,FALSE,"5";#N/A,#N/A,FALSE,"6";#N/A,#N/A,FALSE,"8";#N/A,#N/A,FALSE,"10";#N/A,#N/A,FALSE,"13";#N/A,#N/A,FALSE,"14";#N/A,#N/A,FALSE,"15";#N/A,#N/A,FALSE,"16"}</definedName>
    <definedName name="gkhkhk" hidden="1">{#N/A,#N/A,FALSE,"3";#N/A,#N/A,FALSE,"5";#N/A,#N/A,FALSE,"6";#N/A,#N/A,FALSE,"8";#N/A,#N/A,FALSE,"10";#N/A,#N/A,FALSE,"13";#N/A,#N/A,FALSE,"14";#N/A,#N/A,FALSE,"15";#N/A,#N/A,FALSE,"16"}</definedName>
    <definedName name="gkjgkgh" hidden="1">{#N/A,#N/A,FALSE,"3";#N/A,#N/A,FALSE,"5";#N/A,#N/A,FALSE,"6";#N/A,#N/A,FALSE,"8";#N/A,#N/A,FALSE,"10";#N/A,#N/A,FALSE,"13";#N/A,#N/A,FALSE,"14";#N/A,#N/A,FALSE,"15";#N/A,#N/A,FALSE,"16"}</definedName>
    <definedName name="gkjjk" hidden="1">{#N/A,#N/A,FALSE,"Umsatz CH";#N/A,#N/A,FALSE,"ER CH";#N/A,#N/A,FALSE,"EA CH (2) ";#N/A,#N/A,FALSE,"EA CH";#N/A,#N/A,FALSE,"EA CH (3) ";#N/A,#N/A,FALSE,"EA CH (4)";#N/A,#N/A,FALSE,"KA CH";#N/A,#N/A,FALSE,"KA CH  (2)";#N/A,#N/A,FALSE,"KA CH  (3)";#N/A,#N/A,FALSE,"KA CH (4)"}</definedName>
    <definedName name="GlideChartMarker" hidden="1">"Chart!A1"</definedName>
    <definedName name="GlideDataMarker" hidden="1">"Data!A1"</definedName>
    <definedName name="GlideHiddenMarker" hidden="1">"Costcurvedata!A1"</definedName>
    <definedName name="GlideMaxCharts" hidden="1">7</definedName>
    <definedName name="Global1" hidden="1">{#N/A,#N/A,FALSE,"Pharm";#N/A,#N/A,FALSE,"WWCM"}</definedName>
    <definedName name="glot" hidden="1">{#N/A,#N/A,FALSE,"DIR-REP";#N/A,#N/A,FALSE,"AUD-REPORT";#N/A,#N/A,FALSE,"P7L&amp;BS";#N/A,#N/A,FALSE,"NOTES";#N/A,#N/A,FALSE,"FA";#N/A,#N/A,FALSE,"NOTES (2)";#N/A,#N/A,FALSE,"Schedule  IV";#N/A,#N/A,FALSE,"Schedule V"}</definedName>
    <definedName name="gnfnwrh" hidden="1">{"Pound Sterling",#N/A,TRUE,"PPD";"Pound Sterling",#N/A,TRUE,"Anaquest";"Pound Sterling",#N/A,TRUE,"Delta";"Pound Sterling",#N/A,TRUE,"INO"}</definedName>
    <definedName name="gnhjsfh" hidden="1">{"Pound Sterling",#N/A,TRUE,"PPD";"Pound Sterling",#N/A,TRUE,"Anaquest";"Pound Sterling",#N/A,TRUE,"Delta";"Pound Sterling",#N/A,TRUE,"INO"}</definedName>
    <definedName name="gnhtr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nmjgf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NSCAD">#REF!</definedName>
    <definedName name="GNSEUR">#REF!</definedName>
    <definedName name="gnsfg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NSHKD">#REF!</definedName>
    <definedName name="GNSNOK">#REF!</definedName>
    <definedName name="GNSSAR">#REF!</definedName>
    <definedName name="GNSTRY">#REF!</definedName>
    <definedName name="GNSUSD">#REF!</definedName>
    <definedName name="go"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oengt" hidden="1">{#N/A,#N/A,FALSE,"TB";#N/A,#N/A,FALSE,"DR";#N/A,#N/A,FALSE,"AR";#N/A,#N/A,FALSE,"PL";#N/A,#N/A,FALSE,"BS";#N/A,#N/A,FALSE,"NOTES";#N/A,#N/A,FALSE,"NOTES (2)";#N/A,#N/A,FALSE,"NOTES (3)";#N/A,#N/A,FALSE,"DPL";#N/A,#N/A,FALSE,"TAXC.INDEX";#N/A,#N/A,FALSE,"Schedule I";#N/A,#N/A,FALSE,"Adjustments"}</definedName>
    <definedName name="gogo" hidden="1">{#N/A,#N/A,TRUE,"Cover sheet";#N/A,#N/A,TRUE,"INPUTS";#N/A,#N/A,TRUE,"OUTPUTS";#N/A,#N/A,TRUE,"VALUATION"}</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oodrich" hidden="1">{"comp1",#N/A,FALSE,"COMPS";"footnotes",#N/A,FALSE,"COMPS"}</definedName>
    <definedName name="graefd" hidden="1">{"werbung",#N/A,FALSE,"GuV9900-0399";"betrieb",#N/A,FALSE,"GuV9900-0399";"personal",#N/A,FALSE,"GuV9900-0399";"tvg",#N/A,FALSE,"GuV9900-0399";"verwaltung",#N/A,FALSE,"GuV9900-0399"}</definedName>
    <definedName name="graham" hidden="1">{"ICD Details",#N/A,FALSE,"Current Yr";"ICD Details",#N/A,FALSE,"Budget";"ICD Details",#N/A,FALSE,"Prior Year"}</definedName>
    <definedName name="graph" hidden="1">{#N/A,#N/A,FALSE,"REPORT"}</definedName>
    <definedName name="graph_bincome2" hidden="1">#N/A</definedName>
    <definedName name="Graph_Xdriver" hidden="1">#N/A</definedName>
    <definedName name="graph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raphs" hidden="1">main.sapf4help()</definedName>
    <definedName name="grghfgfg" hidden="1">{#N/A,#N/A,FALSE,"Umsatz CH";#N/A,#N/A,FALSE,"ER CH";#N/A,#N/A,FALSE,"EA CH (2) ";#N/A,#N/A,FALSE,"EA CH";#N/A,#N/A,FALSE,"EA CH (3) ";#N/A,#N/A,FALSE,"EA CH (4)";#N/A,#N/A,FALSE,"KA CH";#N/A,#N/A,FALSE,"KA CH  (2)";#N/A,#N/A,FALSE,"KA CH  (3)";#N/A,#N/A,FALSE,"KA CH (4)"}</definedName>
    <definedName name="grhwrhtr" hidden="1">{"Pound Sterling",#N/A,TRUE,"PPD";"Pound Sterling",#N/A,TRUE,"Anaquest";"Pound Sterling",#N/A,TRUE,"Delta";"Pound Sterling",#N/A,TRUE,"INO"}</definedName>
    <definedName name="grhwthq"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rowth" hidden="1">{#N/A,#N/A,FALSE,"00 P&amp;L vs 99"}</definedName>
    <definedName name="grqgqer" hidden="1">{"Units A",#N/A,FALSE,"FY95SLS";"Units B",#N/A,FALSE,"FY95SLS"}</definedName>
    <definedName name="grtg" hidden="1">{"Units A",#N/A,FALSE,"FY95SLS";"Units B",#N/A,FALSE,"FY95SLS"}</definedName>
    <definedName name="gsdf" hidden="1">{"Pound Sterling",#N/A,TRUE,"PPD";"Pound Sterling",#N/A,TRUE,"Anaquest";"Pound Sterling",#N/A,TRUE,"Delta";"Pound Sterling",#N/A,TRUE,"INO"}</definedName>
    <definedName name="gsfgs" hidden="1">{#N/A,#N/A,FALSE,"00 P&amp;L vs 99"}</definedName>
    <definedName name="gsgseg" hidden="1">{"Units A",#N/A,FALSE,"FY95SLS";"Units B",#N/A,FALSE,"FY95SLS"}</definedName>
    <definedName name="gshtryt"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srgr" hidden="1">{"Sum WW A",#N/A,FALSE,"FY95SLS";"Sum WW B",#N/A,FALSE,"FY95SLS";"Sum US A",#N/A,FALSE,"FY95SLS";"Sum US B",#N/A,FALSE,"FY95SLS";"Sum US Bocg",#N/A,FALSE,"FY95SLS";"Sum Can A",#N/A,FALSE,"FY95SLS";"Sum Can B",#N/A,FALSE,"FY95SLS";"Sum Europe",#N/A,FALSE,"FY95SLS";"Sum Row",#N/A,FALSE,"FY95SLS"}</definedName>
    <definedName name="gtrh" hidden="1">{"Units A",#N/A,FALSE,"FY95SLS";"Units B",#N/A,FALSE,"FY95SLS"}</definedName>
    <definedName name="gty" hidden="1">{"QTD_PACKAGE",#N/A,FALSE,"QTD"}</definedName>
    <definedName name="guoi" hidden="1">{#N/A,#N/A,FALSE,"3";#N/A,#N/A,FALSE,"5";#N/A,#N/A,FALSE,"6";#N/A,#N/A,FALSE,"8";#N/A,#N/A,FALSE,"10";#N/A,#N/A,FALSE,"13";#N/A,#N/A,FALSE,"14";#N/A,#N/A,FALSE,"15";#N/A,#N/A,FALSE,"16"}</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ｈ" hidden="1">{"'下期集計（10.27迄・速報値）'!$Q$16"}</definedName>
    <definedName name="h.ll" hidden="1">{#N/A,#N/A,FALSE,"PMW Gruppe 99_98";#N/A,#N/A,FALSE,"PMW KG 98_99";#N/A,#N/A,FALSE,"PMW Inc. 99_98";#N/A,#N/A,FALSE,"PMW VTECH 99_98";#N/A,#N/A,FALSE,"PMW Thail. 99_98";#N/A,#N/A,FALSE,"PMW Canada 99_98";#N/A,#N/A,FALSE,"Währungsabw. 99_98"}</definedName>
    <definedName name="Ｈ16・１" hidden="1">{"'コメント'!$A$1:$C$37"}</definedName>
    <definedName name="H16･1速報" hidden="1">{"'コメント'!$A$1:$C$37"}</definedName>
    <definedName name="hay" hidden="1">{#N/A,#N/A,FALSE,"TB";#N/A,#N/A,FALSE,"DR";#N/A,#N/A,FALSE,"AR";#N/A,#N/A,FALSE,"PL";#N/A,#N/A,FALSE,"BS";#N/A,#N/A,FALSE,"NOTES";#N/A,#N/A,FALSE,"NOTES (2)";#N/A,#N/A,FALSE,"NOTES (3)";#N/A,#N/A,FALSE,"DPL";#N/A,#N/A,FALSE,"TAXC.INDEX";#N/A,#N/A,FALSE,"Schedule I";#N/A,#N/A,FALSE,"Adjustments"}</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s" hidden="1">{"'TRXAllergyVolume'!$A$1:$I$47"}</definedName>
    <definedName name="hddfhfdhfdh" hidden="1">{#N/A,#N/A,FALSE,"3";#N/A,#N/A,FALSE,"5";#N/A,#N/A,FALSE,"6";#N/A,#N/A,FALSE,"8";#N/A,#N/A,FALSE,"10";#N/A,#N/A,FALSE,"13";#N/A,#N/A,FALSE,"14";#N/A,#N/A,FALSE,"15";#N/A,#N/A,FALSE,"16"}</definedName>
    <definedName name="hdfdhdfhdfh" hidden="1">{#N/A,#N/A,FALSE,"3";#N/A,#N/A,FALSE,"5";#N/A,#N/A,FALSE,"6";#N/A,#N/A,FALSE,"8";#N/A,#N/A,FALSE,"10";#N/A,#N/A,FALSE,"13";#N/A,#N/A,FALSE,"14";#N/A,#N/A,FALSE,"15";#N/A,#N/A,FALSE,"16"}</definedName>
    <definedName name="hdfh" hidden="1">{#N/A,#N/A,FALSE,"3";#N/A,#N/A,FALSE,"5";#N/A,#N/A,FALSE,"6";#N/A,#N/A,FALSE,"8";#N/A,#N/A,FALSE,"10";#N/A,#N/A,FALSE,"13";#N/A,#N/A,FALSE,"14";#N/A,#N/A,FALSE,"15";#N/A,#N/A,FALSE,"16"}</definedName>
    <definedName name="hdfhdfh" hidden="1">{#N/A,#N/A,FALSE,"3";#N/A,#N/A,FALSE,"5";#N/A,#N/A,FALSE,"6";#N/A,#N/A,FALSE,"8";#N/A,#N/A,FALSE,"10";#N/A,#N/A,FALSE,"13";#N/A,#N/A,FALSE,"14";#N/A,#N/A,FALSE,"15";#N/A,#N/A,FALSE,"16"}</definedName>
    <definedName name="hdfhdfhdf" hidden="1">{#N/A,#N/A,FALSE,"3";#N/A,#N/A,FALSE,"5";#N/A,#N/A,FALSE,"6";#N/A,#N/A,FALSE,"8";#N/A,#N/A,FALSE,"10";#N/A,#N/A,FALSE,"13";#N/A,#N/A,FALSE,"14";#N/A,#N/A,FALSE,"15";#N/A,#N/A,FALSE,"16"}</definedName>
    <definedName name="HDHFH"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hdsg" hidden="1">{0,0,0,0;0,0,0,FALSE;0,0,0,0}</definedName>
    <definedName name="hdtfd" hidden="1">{#N/A,#N/A,FALSE,"DIR-REP";#N/A,#N/A,FALSE,"AUD-REPORT";#N/A,#N/A,FALSE,"P7L&amp;BS";#N/A,#N/A,FALSE,"NOTES";#N/A,#N/A,FALSE,"FA";#N/A,#N/A,FALSE,"NOTES (2)";#N/A,#N/A,FALSE,"Schedule  IV";#N/A,#N/A,FALSE,"Schedule V"}</definedName>
    <definedName name="head_a" hidden="1">{#N/A,#N/A,FALSE,"Presentation by Unit";#N/A,#N/A,FALSE,"Presentation by BD";#N/A,#N/A,FALSE,"Presentation Split by Biggest U";#N/A,#N/A,FALSE,"Presentation Split by Area";#N/A,#N/A,FALSE,"Presentation Split by BD"}</definedName>
    <definedName name="head_inv" hidden="1">{#N/A,#N/A,FALSE,"Presentation by Unit";#N/A,#N/A,FALSE,"Presentation by BD";#N/A,#N/A,FALSE,"Presentation Split by Biggest U";#N/A,#N/A,FALSE,"Presentation Split by Area";#N/A,#N/A,FALSE,"Presentation Split by BD"}</definedName>
    <definedName name="Header1" hidden="1">IF(COUNTA(#REF!)=0,0,INDEX(#REF!,MATCH(ROW(#REF!),#REF!,TRUE())))+1</definedName>
    <definedName name="header1Row" hidden="1">#REF!</definedName>
    <definedName name="Header2" hidden="1">#REF!-1 &amp; "." &amp; MAX(1,COUNTA(INDEX(#REF!,MATCH(#REF!-1,#REF!,FALSE())):#REF!))</definedName>
    <definedName name="header2Row" hidden="1">#REF!</definedName>
    <definedName name="Headings">#REF!</definedName>
    <definedName name="hej" hidden="1">increment_piece</definedName>
    <definedName name="hell" hidden="1">#N/A</definedName>
    <definedName name="hello" hidden="1">{#N/A,#N/A,FALSE,"TAXC.INDEX";#N/A,#N/A,FALSE,"Schedule I";#N/A,#N/A,FALSE,"Schedule  II";#N/A,#N/A,FALSE,"Schedule III"}</definedName>
    <definedName name="hf" hidden="1">{"detail",#N/A,FALSE,"mfg";"summary",#N/A,FALSE,"mfg"}</definedName>
    <definedName name="hfgfht" hidden="1">{"US Dollars",#N/A,TRUE,"PPD";"US Dollar",#N/A,TRUE,"Anaquest";"US Dollar",#N/A,TRUE,"Delta";"US Dollar",#N/A,TRUE,"INO"}</definedName>
    <definedName name="hfhfh" hidden="1">{#N/A,#N/A,FALSE,"3";#N/A,#N/A,FALSE,"5";#N/A,#N/A,FALSE,"6";#N/A,#N/A,FALSE,"8";#N/A,#N/A,FALSE,"10";#N/A,#N/A,FALSE,"13";#N/A,#N/A,FALSE,"14";#N/A,#N/A,FALSE,"15";#N/A,#N/A,FALSE,"16"}</definedName>
    <definedName name="HFinGraph" hidden="1">{#N/A,#N/A,FALSE,"Pharm";#N/A,#N/A,FALSE,"WWCM"}</definedName>
    <definedName name="hg" hidden="1">{"detail",#N/A,FALSE,"mfg";"summary",#N/A,FALSE,"mfg"}</definedName>
    <definedName name="hgfd" hidden="1">{"BA detail",#N/A,FALSE,"Q3YTD "}</definedName>
    <definedName name="hgfh" hidden="1">{#N/A,#N/A,FALSE,"3";#N/A,#N/A,FALSE,"5";#N/A,#N/A,FALSE,"6";#N/A,#N/A,FALSE,"8";#N/A,#N/A,FALSE,"10";#N/A,#N/A,FALSE,"13";#N/A,#N/A,FALSE,"14";#N/A,#N/A,FALSE,"15";#N/A,#N/A,FALSE,"16"}</definedName>
    <definedName name="hgfhfgh" hidden="1">{"Pound Sterling",#N/A,TRUE,"PPD";"Pound Sterling",#N/A,TRUE,"Anaquest";"Pound Sterling",#N/A,TRUE,"Delta";"Pound Sterling",#N/A,TRUE,"INO"}</definedName>
    <definedName name="hgfhwrth" hidden="1">{"Pound Sterling",#N/A,TRUE,"PPD";"Pound Sterling",#N/A,TRUE,"Anaquest";"Pound Sterling",#N/A,TRUE,"Delta";"Pound Sterling",#N/A,TRUE,"INO"}</definedName>
    <definedName name="hgfsd" hidden="1">{"Sum WW A",#N/A,FALSE,"FY95SLS";"Sum WW B",#N/A,FALSE,"FY95SLS";"Sum US A",#N/A,FALSE,"FY95SLS";"Sum US B",#N/A,FALSE,"FY95SLS";"Sum US Bocg",#N/A,FALSE,"FY95SLS";"Sum Can A",#N/A,FALSE,"FY95SLS";"Sum Can B",#N/A,FALSE,"FY95SLS";"Sum Europe",#N/A,FALSE,"FY95SLS";"Sum Row",#N/A,FALSE,"FY95SLS"}</definedName>
    <definedName name="hgfshasd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ghwty" hidden="1">{"Sum WW A",#N/A,FALSE,"FY95SLS";"Sum WW B",#N/A,FALSE,"FY95SLS";"Sum US A",#N/A,FALSE,"FY95SLS";"Sum US B",#N/A,FALSE,"FY95SLS";"Sum US Bocg",#N/A,FALSE,"FY95SLS";"Sum Can A",#N/A,FALSE,"FY95SLS";"Sum Can B",#N/A,FALSE,"FY95SLS";"Sum Europe",#N/A,FALSE,"FY95SLS";"Sum Row",#N/A,FALSE,"FY95SLS"}</definedName>
    <definedName name="HGJ" hidden="1">{#N/A,#N/A,FALSE,"ARCYLD"}</definedName>
    <definedName name="HGJDJ" hidden="1">{#N/A,#N/A,FALSE,"00 P&amp;L vs 99"}</definedName>
    <definedName name="hgjghjghj" hidden="1">{#N/A,#N/A,FALSE,"3";#N/A,#N/A,FALSE,"5";#N/A,#N/A,FALSE,"6";#N/A,#N/A,FALSE,"8";#N/A,#N/A,FALSE,"10";#N/A,#N/A,FALSE,"13";#N/A,#N/A,FALSE,"14";#N/A,#N/A,FALSE,"15";#N/A,#N/A,FALSE,"16"}</definedName>
    <definedName name="hgjghjhhg" hidden="1">{#N/A,#N/A,FALSE,"Produkte Erw.";#N/A,#N/A,FALSE,"Produkte Plan";#N/A,#N/A,FALSE,"Leistungen Erw.";#N/A,#N/A,FALSE,"Leistungen Plan";#N/A,#N/A,FALSE,"KA Allg.Kosten (2)";#N/A,#N/A,FALSE,"KA All.Kosten"}</definedName>
    <definedName name="hh" hidden="1">{#N/A,#N/A,FALSE,"Eastern";#N/A,#N/A,FALSE,"Western"}</definedName>
    <definedName name="hh.k" hidden="1">{#N/A,#N/A,FALSE,"KA CH  (2)"}</definedName>
    <definedName name="hhd" hidden="1">{#N/A,#N/A,FALSE,"3";#N/A,#N/A,FALSE,"5";#N/A,#N/A,FALSE,"6";#N/A,#N/A,FALSE,"8";#N/A,#N/A,FALSE,"10";#N/A,#N/A,FALSE,"13";#N/A,#N/A,FALSE,"14";#N/A,#N/A,FALSE,"15";#N/A,#N/A,FALSE,"16"}</definedName>
    <definedName name="hhfdhdfd" hidden="1">{#N/A,#N/A,FALSE,"3";#N/A,#N/A,FALSE,"5";#N/A,#N/A,FALSE,"6";#N/A,#N/A,FALSE,"8";#N/A,#N/A,FALSE,"10";#N/A,#N/A,FALSE,"13";#N/A,#N/A,FALSE,"14";#N/A,#N/A,FALSE,"15";#N/A,#N/A,FALSE,"16"}</definedName>
    <definedName name="hhh" hidden="1">{#N/A,#N/A,FALSE,"TB";#N/A,#N/A,FALSE,"AR";#N/A,#N/A,FALSE,"BS";#N/A,#N/A,FALSE,"PL";#N/A,#N/A,FALSE,"NOTES";#N/A,#N/A,FALSE,"NOTES (2)";#N/A,#N/A,FALSE,"NOTES (3)";#N/A,#N/A,FALSE,"TAXC.INDEX";#N/A,#N/A,FALSE,"Schedule I";#N/A,#N/A,FALSE,"DPL";#N/A,#N/A,FALSE,"Schedule IV";#N/A,#N/A,FALSE,"Adjustments"}</definedName>
    <definedName name="hhh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hhhhhhhh" hidden="1">{#N/A,#N/A,FALSE,"Presentation by Unit";#N/A,#N/A,FALSE,"Presentation by BD";#N/A,#N/A,FALSE,"Presentation Split by Biggest U";#N/A,#N/A,FALSE,"Presentation Split by Area";#N/A,#N/A,FALSE,"Presentation Split by BD"}</definedName>
    <definedName name="hhhsdf" hidden="1">{"up stand alones",#N/A,FALSE,"Acquiror"}</definedName>
    <definedName name="hhj.ls" hidden="1">{#N/A,#N/A,FALSE,"Produkte Erw.";#N/A,#N/A,FALSE,"Produkte Plan";#N/A,#N/A,FALSE,"Leistungen Erw.";#N/A,#N/A,FALSE,"Leistungen Plan";#N/A,#N/A,FALSE,"KA Allg.Kosten (2)";#N/A,#N/A,FALSE,"KA All.Kosten"}</definedName>
    <definedName name="hhjgj" hidden="1">{#N/A,#N/A,FALSE,"3";#N/A,#N/A,FALSE,"5";#N/A,#N/A,FALSE,"6";#N/A,#N/A,FALSE,"8";#N/A,#N/A,FALSE,"10";#N/A,#N/A,FALSE,"13";#N/A,#N/A,FALSE,"14";#N/A,#N/A,FALSE,"15";#N/A,#N/A,FALSE,"16"}</definedName>
    <definedName name="HHKJ" hidden="1">{#N/A,#N/A,TRUE,"Cover";#N/A,#N/A,TRUE,"Content";"Orders EMM",#N/A,TRUE,"Order Sales";"project EMM",#N/A,TRUE,"Project Control";"Cash EMM",#N/A,TRUE,"Cash Control";"KPI EMM",#N/A,TRUE,"KPI-EMM";"Empl EMM",#N/A,TRUE,"Employees"}</definedName>
    <definedName name="hi" hidden="1">{"'Directory'!$A$72:$E$91"}</definedName>
    <definedName name="Hibh" hidden="1">{#N/A,#N/A,FALSE,"Pharm";#N/A,#N/A,FALSE,"WWCM"}</definedName>
    <definedName name="hideCol" hidden="1">#REF!</definedName>
    <definedName name="High" hidden="1">{#N/A,#N/A,FALSE,"Pharm";#N/A,#N/A,FALSE,"WWCM"}</definedName>
    <definedName name="hj" hidden="1">{#N/A,#N/A,FALSE,"PMW Gruppe 99_98";#N/A,#N/A,FALSE,"PMW KG 98_99";#N/A,#N/A,FALSE,"PMW Inc. 99_98";#N/A,#N/A,FALSE,"PMW VTECH 99_98";#N/A,#N/A,FALSE,"PMW Thail. 99_98";#N/A,#N/A,FALSE,"PMW Canada 99_98";#N/A,#N/A,FALSE,"Währungsabw. 99_98"}</definedName>
    <definedName name="hj.k" hidden="1">{#N/A,#N/A,FALSE,"Produkte Erw.";#N/A,#N/A,FALSE,"Produkte Plan";#N/A,#N/A,FALSE,"Leistungen Erw.";#N/A,#N/A,FALSE,"Leistungen Plan";#N/A,#N/A,FALSE,"KA Allg.Kosten (2)";#N/A,#N/A,FALSE,"KA All.Kosten"}</definedName>
    <definedName name="hjd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jejwrt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jfgjghj" hidden="1">{"up stand alones",#N/A,FALSE,"Acquiror"}</definedName>
    <definedName name="hjgfh" hidden="1">{"Units A",#N/A,FALSE,"FY95SLS";"Units B",#N/A,FALSE,"FY95SLS"}</definedName>
    <definedName name="hjg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hhgyg" hidden="1">{"Polymers Details",#N/A,FALSE,"Current Yr";"Polymer Details",#N/A,FALSE,"Budget";"Polymer Details",#N/A,FALSE,"Prior Year"}</definedName>
    <definedName name="hjghjghjgh" hidden="1">{#N/A,#N/A,FALSE,"3";#N/A,#N/A,FALSE,"5";#N/A,#N/A,FALSE,"6";#N/A,#N/A,FALSE,"8";#N/A,#N/A,FALSE,"10";#N/A,#N/A,FALSE,"13";#N/A,#N/A,FALSE,"14";#N/A,#N/A,FALSE,"15";#N/A,#N/A,FALSE,"16"}</definedName>
    <definedName name="hjghjhgj" hidden="1">{#N/A,#N/A,FALSE,"Produkte Erw.";#N/A,#N/A,FALSE,"Produkte Plan";#N/A,#N/A,FALSE,"Leistungen Erw.";#N/A,#N/A,FALSE,"Leistungen Plan";#N/A,#N/A,FALSE,"KA Allg.Kosten (2)";#N/A,#N/A,FALSE,"KA All.Kosten"}</definedName>
    <definedName name="hjgk"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jh" hidden="1">{#N/A,#N/A,FALSE,"Produkte Erw.";#N/A,#N/A,FALSE,"Produkte Plan";#N/A,#N/A,FALSE,"Leistungen Erw.";#N/A,#N/A,FALSE,"Leistungen Plan";#N/A,#N/A,FALSE,"KA Allg.Kosten (2)";#N/A,#N/A,FALSE,"KA All.Kosten"}</definedName>
    <definedName name="hjhg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jhgkj" hidden="1">{#N/A,#N/A,FALSE,"3";#N/A,#N/A,FALSE,"5";#N/A,#N/A,FALSE,"6";#N/A,#N/A,FALSE,"8";#N/A,#N/A,FALSE,"10";#N/A,#N/A,FALSE,"13";#N/A,#N/A,FALSE,"14";#N/A,#N/A,FALSE,"15";#N/A,#N/A,FALSE,"16"}</definedName>
    <definedName name="hjhjffukfuk" hidden="1">{#N/A,#N/A,FALSE,"Pharm";#N/A,#N/A,FALSE,"WWCM"}</definedName>
    <definedName name="hjhjfkfukywrte" hidden="1">{#N/A,#N/A,FALSE,"Pharm";#N/A,#N/A,FALSE,"WWCM"}</definedName>
    <definedName name="hjhjhj" hidden="1">{#N/A,#N/A,FALSE,"Index";"Stmts_Qtrs",#N/A,FALSE,"Summary";"Stmts_24 mo",#N/A,FALSE,"Summary";"Summary_24",#N/A,FALSE,"Revenue";"Month_24",#N/A,FALSE,"Engineering";"Month_24",#N/A,FALSE,"Marketing";"Month_24",#N/A,FALSE,"G &amp; A";"Month_24",#N/A,FALSE,"Manufacturing"}</definedName>
    <definedName name="hjhjhjhjhjhj" hidden="1">{"Units A",#N/A,FALSE,"FY95SLS";"Units B",#N/A,FALSE,"FY95SLS"}</definedName>
    <definedName name="hjhkjkl" hidden="1">{#N/A,#N/A,FALSE,"Pharm";#N/A,#N/A,FALSE,"WWCM"}</definedName>
    <definedName name="hjhyjy" hidden="1">{"Pound Sterling",#N/A,TRUE,"PPD";"Pound Sterling",#N/A,TRUE,"Anaquest";"Pound Sterling",#N/A,TRUE,"Delta";"Pound Sterling",#N/A,TRUE,"INO"}</definedName>
    <definedName name="hjjhjh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jjjjjjjgh" hidden="1">{"trans assumptions",#N/A,FALSE,"Merger";"trans accretion",#N/A,FALSE,"Merger"}</definedName>
    <definedName name="hjjjkk" hidden="1">{#N/A,#N/A,FALSE,"REPORT"}</definedName>
    <definedName name="hjjkk" hidden="1">{#N/A,#N/A,FALSE,"Pharm";#N/A,#N/A,FALSE,"WWCM"}</definedName>
    <definedName name="hjk" hidden="1">{#N/A,#N/A,FALSE,"Umsatz 99";#N/A,#N/A,FALSE,"ER 99 "}</definedName>
    <definedName name="hjk.l" hidden="1">{#N/A,#N/A,FALSE,"Produkte Erw.";#N/A,#N/A,FALSE,"Produkte Plan";#N/A,#N/A,FALSE,"Leistungen Erw.";#N/A,#N/A,FALSE,"Leistungen Plan";#N/A,#N/A,FALSE,"KA Allg.Kosten (2)";#N/A,#N/A,FALSE,"KA All.Kosten"}</definedName>
    <definedName name="hjkf" hidden="1">{"Units A",#N/A,FALSE,"FY95SLS";"Units B",#N/A,FALSE,"FY95SLS"}</definedName>
    <definedName name="hjkh" hidden="1">{"assumption 50 50",#N/A,TRUE,"Merger";"has gets cash",#N/A,TRUE,"Merger";"accretion dilution",#N/A,TRUE,"Merger";"comparison credit stats",#N/A,TRUE,"Merger";"pf credit stats",#N/A,TRUE,"Merger";"pf sheets",#N/A,TRUE,"Merger"}</definedName>
    <definedName name="hjkhjk" hidden="1">{#N/A,#N/A,FALSE,"KA CH  (2)"}</definedName>
    <definedName name="hjkhjkhjk" hidden="1">{"equity comps",#N/A,FALSE,"CS Comps";"equity comps",#N/A,FALSE,"PS Comps";"equity comps",#N/A,FALSE,"GIC_Comps";"equity comps",#N/A,FALSE,"GIC2_Comps";"debt comps",#N/A,FALSE,"CS Comps";"debt comps",#N/A,FALSE,"PS Comps";"debt comps",#N/A,FALSE,"GIC_Comps";"debt comps",#N/A,FALSE,"GIC2_Comps"}</definedName>
    <definedName name="hjkiuy" hidden="1">{#N/A,#N/A,FALSE,"USD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hjkjhk" hidden="1">{#N/A,#N/A,FALSE,"Umsatz HM";#N/A,#N/A,FALSE,"ER HM";#N/A,#N/A,FALSE,"EA HM  (2)";#N/A,#N/A,FALSE,"EA HM ";#N/A,#N/A,FALSE,"EA HM  (4)";#N/A,#N/A,FALSE,"EA HM  (3)";#N/A,#N/A,FALSE,"KA HM  (2)";#N/A,#N/A,FALSE,"KA HM";#N/A,#N/A,FALSE,"KA HM  (3)";#N/A,#N/A,FALSE,"KA HM (4)"}</definedName>
    <definedName name="hjkjlk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jkk" hidden="1">{#N/A,#N/A,FALSE,"Pharm";#N/A,#N/A,FALSE,"WWCM"}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jl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jlhjlhjl" hidden="1">{#N/A,#N/A,FALSE,"3";#N/A,#N/A,FALSE,"5";#N/A,#N/A,FALSE,"6";#N/A,#N/A,FALSE,"8";#N/A,#N/A,FALSE,"10";#N/A,#N/A,FALSE,"13";#N/A,#N/A,FALSE,"14";#N/A,#N/A,FALSE,"15";#N/A,#N/A,FALSE,"16"}</definedName>
    <definedName name="hjyuk" hidden="1">{"Units A",#N/A,FALSE,"FY95SLS";"Units B",#N/A,FALSE,"FY95SLS"}</definedName>
    <definedName name="hkdfygc" hidden="1">{"US Dollars",#N/A,TRUE,"PPD";"US Dollar",#N/A,TRUE,"Anaquest";"US Dollar",#N/A,TRUE,"Delta";"US Dollar",#N/A,TRUE,"INO"}</definedName>
    <definedName name="hkh" hidden="1">{#N/A,#N/A,FALSE,"3";#N/A,#N/A,FALSE,"5";#N/A,#N/A,FALSE,"6";#N/A,#N/A,FALSE,"8";#N/A,#N/A,FALSE,"10";#N/A,#N/A,FALSE,"13";#N/A,#N/A,FALSE,"14";#N/A,#N/A,FALSE,"15";#N/A,#N/A,FALSE,"16"}</definedName>
    <definedName name="hkhjk" hidden="1">{#N/A,#N/A,FALSE,"Operations";#N/A,#N/A,FALSE,"Financials"}</definedName>
    <definedName name="hkhk" hidden="1">{#N/A,#N/A,FALSE,"3";#N/A,#N/A,FALSE,"5";#N/A,#N/A,FALSE,"6";#N/A,#N/A,FALSE,"8";#N/A,#N/A,FALSE,"10";#N/A,#N/A,FALSE,"13";#N/A,#N/A,FALSE,"14";#N/A,#N/A,FALSE,"15";#N/A,#N/A,FALSE,"16"}</definedName>
    <definedName name="hkjj" hidden="1">{"Line Efficiency",#N/A,FALSE,"Benchmarking"}</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k" hidden="1">{#N/A,#N/A,FALSE,"3";#N/A,#N/A,FALSE,"5";#N/A,#N/A,FALSE,"6";#N/A,#N/A,FALSE,"8";#N/A,#N/A,FALSE,"10";#N/A,#N/A,FALSE,"13";#N/A,#N/A,FALSE,"14";#N/A,#N/A,FALSE,"15";#N/A,#N/A,FALSE,"16"}</definedName>
    <definedName name="HKSH" hidden="1">{#N/A,#N/A,FALSE,"REPORT"}</definedName>
    <definedName name="hkyk" hidden="1">{"Pound Sterling",#N/A,TRUE,"PPD";"Pound Sterling",#N/A,TRUE,"Anaquest";"Pound Sterling",#N/A,TRUE,"Delta";"Pound Sterling",#N/A,TRUE,"INO"}</definedName>
    <definedName name="hkyukry" hidden="1">{"Units A",#N/A,FALSE,"FY95SLS";"Units B",#N/A,FALSE,"FY95SLS"}</definedName>
    <definedName name="hljlhjlhjl" hidden="1">{#N/A,#N/A,FALSE,"3";#N/A,#N/A,FALSE,"5";#N/A,#N/A,FALSE,"6";#N/A,#N/A,FALSE,"8";#N/A,#N/A,FALSE,"10";#N/A,#N/A,FALSE,"13";#N/A,#N/A,FALSE,"14";#N/A,#N/A,FALSE,"15";#N/A,#N/A,FALSE,"16"}</definedName>
    <definedName name="HMG" hidden="1">{#N/A,#N/A,FALSE,"REPORT"}</definedName>
    <definedName name="hmtyjh" hidden="1">{"Units A",#N/A,FALSE,"FY95SLS";"Units B",#N/A,FALSE,"FY95SLS"}</definedName>
    <definedName name="hn._I018" hidden="1">#REF!</definedName>
    <definedName name="hn._I030" hidden="1">#REF!</definedName>
    <definedName name="hn._I059" hidden="1">#REF!</definedName>
    <definedName name="hn._I075" hidden="1">#REF!</definedName>
    <definedName name="hn._P001" hidden="1">#REF!</definedName>
    <definedName name="hn._P016" hidden="1">#REF!</definedName>
    <definedName name="hn._P024"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definedName>
    <definedName name="hn.DZ_MultByFXRates" hidden="1">#REF!,#REF!,#REF!,#REF!</definedName>
    <definedName name="hn.ExtDb" hidden="1">FALSE()</definedName>
    <definedName name="hn.FromMain3" hidden="1">#REF!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rivateLTMYear" hidden="1">#REF!</definedName>
    <definedName name="hn.RolledForward" hidden="1">FALSE()</definedName>
    <definedName name="hnjgfjtrhju" hidden="1">{"Sum WW A",#N/A,FALSE,"FY95SLS";"Sum WW B",#N/A,FALSE,"FY95SLS";"Sum US A",#N/A,FALSE,"FY95SLS";"Sum US B",#N/A,FALSE,"FY95SLS";"Sum US Bocg",#N/A,FALSE,"FY95SLS";"Sum Can A",#N/A,FALSE,"FY95SLS";"Sum Can B",#N/A,FALSE,"FY95SLS";"Sum Europe",#N/A,FALSE,"FY95SLS";"Sum Row",#N/A,FALSE,"FY95SLS"}</definedName>
    <definedName name="HOLA" hidden="1">{"AR",#N/A,FALSE,"ASMGTSUM";"INV",#N/A,FALSE,"ASMGTSUM";"HCCOMP",#N/A,FALSE,"ASMGTSUM";"cap.depr",#N/A,FALSE,"ASMGTSUM"}</definedName>
    <definedName name="hsdfg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sdf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sdhdr" hidden="1">{"US Dollars",#N/A,TRUE,"PPD";"US Dollar",#N/A,TRUE,"Anaquest";"US Dollar",#N/A,TRUE,"Delta";"US Dollar",#N/A,TRUE,"INO"}</definedName>
    <definedName name="hs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s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thjtryu" hidden="1">{"Units A",#N/A,FALSE,"FY95SLS";"Units B",#N/A,FALSE,"FY95SLS"}</definedName>
    <definedName name="HTM" hidden="1">{"'Sample Status'!$A$1:$J$21"}</definedName>
    <definedName name="HTM_Control" hidden="1">{"'下期集計（10.27迄・速報値）'!$Q$16"}</definedName>
    <definedName name="ＨＴＭＬ" hidden="1">{"'コメント'!$A$1:$C$37"}</definedName>
    <definedName name="HTML_CodePage" hidden="1">1252</definedName>
    <definedName name="HTML_Control" hidden="1">{"'A'!$CL$1:$DB$170"}</definedName>
    <definedName name="HTML_Control1" hidden="1">{"'Cypris'!$A$1:$D$9"}</definedName>
    <definedName name="HTML_Control3" hidden="1">{"'Cypris'!$A$1:$D$9"}</definedName>
    <definedName name="HTML_Controlold" hidden="1">{"'Sheet1'!$A$1:$H$145"}</definedName>
    <definedName name="HTML_Description" hidden="1">""</definedName>
    <definedName name="HTML_Email" hidden="1">""</definedName>
    <definedName name="HTML_Header" hidden="1">"Local Currency to US Dollar"</definedName>
    <definedName name="HTML_LastUpdate" hidden="1">"2/23/98"</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"S:\shared\finrpt\fx\rates\mar98l.htm"</definedName>
    <definedName name="HTML_PathFileMac" hidden="1">"Macintosh HD:HomePageStuff:New_Home_Page:datafile:ctryprem.html"</definedName>
    <definedName name="HTML_Title" hidden="1">"Local Currency to US Dollar"</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0_10" hidden="1">""</definedName>
    <definedName name="HTML10_11" hidden="1">1</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0" hidden="1">""</definedName>
    <definedName name="HTML11_11" hidden="1">1</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0" hidden="1">""</definedName>
    <definedName name="HTML12_11" hidden="1">1</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0" hidden="1">""</definedName>
    <definedName name="HTML13_11" hidden="1">1</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0" hidden="1">""</definedName>
    <definedName name="HTML14_11" hidden="1">1</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0" hidden="1">""</definedName>
    <definedName name="HTML15_11" hidden="1">1</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0" hidden="1">""</definedName>
    <definedName name="HTML16_11" hidden="1">1</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0" hidden="1">""</definedName>
    <definedName name="HTML17_11" hidden="1">1</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0" hidden="1">""</definedName>
    <definedName name="HTML18_11" hidden="1">1</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0" hidden="1">""</definedName>
    <definedName name="HTML19_11" hidden="1">1</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 hidden="1">{"'Sample Status'!$A$1:$J$21"}</definedName>
    <definedName name="HTML2_10" hidden="1">""</definedName>
    <definedName name="HTML2_11" hidden="1">1</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"6/3/98"</definedName>
    <definedName name="HTML2_9" hidden="1">"James Grote"</definedName>
    <definedName name="HTML20_10" hidden="1">""</definedName>
    <definedName name="HTML20_11" hidden="1">1</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0" hidden="1">""</definedName>
    <definedName name="HTML21_11" hidden="1">1</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0" hidden="1">""</definedName>
    <definedName name="HTML22_11" hidden="1">1</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0" hidden="1">""</definedName>
    <definedName name="HTML23_11" hidden="1">1</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0" hidden="1">""</definedName>
    <definedName name="HTML24_11" hidden="1">1</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0" hidden="1">""</definedName>
    <definedName name="HTML25_11" hidden="1">1</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0" hidden="1">""</definedName>
    <definedName name="HTML26_11" hidden="1">1</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0" hidden="1">""</definedName>
    <definedName name="HTML27_11" hidden="1">1</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0" hidden="1">""</definedName>
    <definedName name="HTML28_11" hidden="1">1</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0" hidden="1">""</definedName>
    <definedName name="HTML29_11" hidden="1">1</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0" hidden="1">""</definedName>
    <definedName name="HTML3_11" hidden="1">1</definedName>
    <definedName name="HTML3_2" hidden="1">1</definedName>
    <definedName name="HTML3_3" hidden="1">"Weekly TRx Report"</definedName>
    <definedName name="HTML3_4" hidden="1">""</definedName>
    <definedName name="HTML3_5" hidden="1">""</definedName>
    <definedName name="HTML3_6" hidden="1">-4146</definedName>
    <definedName name="HTML3_7" hidden="1">-4146</definedName>
    <definedName name="HTML3_8" hidden="1">"6/4/98"</definedName>
    <definedName name="HTML3_9" hidden="1">"James Grote"</definedName>
    <definedName name="HTML30_10" hidden="1">""</definedName>
    <definedName name="HTML30_11" hidden="1">1</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0" hidden="1">""</definedName>
    <definedName name="HTML31_11" hidden="1">1</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0" hidden="1">""</definedName>
    <definedName name="HTML32_11" hidden="1">1</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0" hidden="1">""</definedName>
    <definedName name="HTML4_11" hidden="1">1</definedName>
    <definedName name="HTML4_2" hidden="1">1</definedName>
    <definedName name="HTML4_3" hidden="1">"Weekly New Prescription Report"</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5_10" hidden="1">""</definedName>
    <definedName name="HTML5_11" hidden="1">1</definedName>
    <definedName name="HTML5_2" hidden="1">1</definedName>
    <definedName name="HTML5_3" hidden="1">"Weekly Total Prescription Report"</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6_10" hidden="1">""</definedName>
    <definedName name="HTML6_11" hidden="1">1</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0" hidden="1">""</definedName>
    <definedName name="HTML7_11" hidden="1">1</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0" hidden="1">""</definedName>
    <definedName name="HTML8_11" hidden="1">1</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0" hidden="1">""</definedName>
    <definedName name="HTML9_11" hidden="1">1</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1</definedName>
    <definedName name="htmll2" hidden="1">{"'Sample Status'!$A$1:$J$21"}</definedName>
    <definedName name="htrhrw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twthjwrt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tyuityuiotio" hidden="1">{#N/A,#N/A,FALSE,"REPORT"}</definedName>
    <definedName name="hu" hidden="1">{"detail",#N/A,FALSE,"mfg";"summary",#N/A,FALSE,"mfg"}</definedName>
    <definedName name="hvuvv" hidden="1">{#N/A,#N/A,FALSE,"CONTENTS";#N/A,#N/A,FALSE,"DR";#N/A,#N/A,FALSE,"PL";#N/A,#N/A,FALSE,"BS";#N/A,#N/A,FALSE,"Cash Flow";#N/A,#N/A,FALSE,"NOTES";#N/A,#N/A,FALSE,"NOTES (FA)";#N/A,#N/A,FALSE,"Notes(3)";#N/A,#N/A,FALSE,"NOTES (4)";#N/A,#N/A,FALSE,"DP&amp;L";#N/A,#N/A,FALSE,"EXPENSES";#N/A,#N/A,FALSE,"EXPENSES-1"}</definedName>
    <definedName name="hw" hidden="1">{"sales growth",#N/A,FALSE,"summary";"oper income",#N/A,FALSE,"summary";"oros rank",#N/A,FALSE,"summary";"net assets",#N/A,FALSE,"summary";"asset turnover",#N/A,FALSE,"summary";"orona",#N/A,FALSE,"summary"}</definedName>
    <definedName name="hwrththuw"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wty" hidden="1">{"Units A",#N/A,FALSE,"FY95SLS";"Units B",#N/A,FALSE,"FY95SLS"}</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g" hidden="1">{#N/A,#N/A,FALSE,"Eastern";#N/A,#N/A,FALSE,"Western"}</definedName>
    <definedName name="Hyp"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Hypertention" hidden="1">{#N/A,#N/A,FALSE,"Pharm";#N/A,#N/A,FALSE,"WWCM"}</definedName>
    <definedName name="hypo" hidden="1">{#N/A,#N/A,FALSE,"Pharm";#N/A,#N/A,FALSE,"WWCM"}</definedName>
    <definedName name="hzsdbfvkzj" hidden="1">#REF!</definedName>
    <definedName name="iay" hidden="1">{#N/A,#N/A,FALSE,"DIR-REP";#N/A,#N/A,FALSE,"AUD-REPORT";#N/A,#N/A,FALSE,"P7L&amp;BS";#N/A,#N/A,FALSE,"NOTES";#N/A,#N/A,FALSE,"FA";#N/A,#N/A,FALSE,"NOTES (2)";#N/A,#N/A,FALSE,"Schedule  IV";#N/A,#N/A,FALSE,"Schedule V"}</definedName>
    <definedName name="ibnjks" hidden="1">{"detail",#N/A,FALSE,"mfg";"summary",#N/A,FALSE,"mfg"}</definedName>
    <definedName name="iColBBot" hidden="1">#REF!</definedName>
    <definedName name="iColBTop" hidden="1">#REF!</definedName>
    <definedName name="icolCcatgid" hidden="1">#REF!</definedName>
    <definedName name="icolDiv" hidden="1">#REF!</definedName>
    <definedName name="iColOperator" hidden="1">#REF!</definedName>
    <definedName name="iColPctBase" hidden="1">#REF!</definedName>
    <definedName name="iColSeq" hidden="1">#REF!</definedName>
    <definedName name="iColSumEnd" hidden="1">#REF!</definedName>
    <definedName name="iColSumStart" hidden="1">#REF!</definedName>
    <definedName name="iColTitle" hidden="1">#REF!</definedName>
    <definedName name="iColType" hidden="1">#REF!</definedName>
    <definedName name="ID_Dropdown" hidden="1">#REF!</definedName>
    <definedName name="IDL.Connector.UDF" hidden="1">0</definedName>
    <definedName name="IDL.Connector.Version" hidden="1">"14.0.2.0"</definedName>
    <definedName name="IDL.Connector.Version_1" hidden="1">"16.1.0.0"</definedName>
    <definedName name="IDL.Connector.Version2020" hidden="1">"19.0.0.0"</definedName>
    <definedName name="IDL1.Connector.Version" hidden="1">"19.0.0.0"</definedName>
    <definedName name="IEP" hidden="1">#N/A</definedName>
    <definedName name="IEPeXToEUR" hidden="1">1/eurextoiep</definedName>
    <definedName name="ii" hidden="1">{"Tariff Comparison",#N/A,FALSE,"Benchmarking";"Tariff Comparison 2",#N/A,FALSE,"Benchmarking";"Tariff Comparison 3",#N/A,FALSE,"Benchmarking"}</definedName>
    <definedName name="ii.oo" hidden="1">{#N/A,#N/A,FALSE,"Umsatz EO BP";#N/A,#N/A,FALSE,"Umsatz EO OP";#N/A,#N/A,FALSE,"ER EO BP";#N/A,#N/A,FALSE,"ER EO OP";#N/A,#N/A,FALSE,"EA EO (2)";#N/A,#N/A,FALSE,"EA EO";#N/A,#N/A,FALSE,"EA EO (3)";#N/A,#N/A,FALSE,"EA EO (4)";#N/A,#N/A,FALSE,"KA EO  (2)";#N/A,#N/A,FALSE,"KA EO";#N/A,#N/A,FALSE,"KA EO  (3)";#N/A,#N/A,FALSE,"KA EO (4)"}</definedName>
    <definedName name="iii" hidden="1">{"detail",#N/A,FALSE,"mfg";"summary",#N/A,FALSE,"mfg"}</definedName>
    <definedName name="iiiii" hidden="1">{#N/A,#N/A,FALSE,"Calc";#N/A,#N/A,FALSE,"Sensitivity";#N/A,#N/A,FALSE,"LT Earn.Dil.";#N/A,#N/A,FALSE,"Dil. AVP"}</definedName>
    <definedName name="ijoi" hidden="1">{#N/A,#N/A,FALSE,"Produkte Erw.";#N/A,#N/A,FALSE,"Produkte Plan";#N/A,#N/A,FALSE,"Leistungen Erw.";#N/A,#N/A,FALSE,"Leistungen Plan";#N/A,#N/A,FALSE,"KA Allg.Kosten (2)";#N/A,#N/A,FALSE,"KA All.Kosten"}</definedName>
    <definedName name="ik" hidden="1">{"detail",#N/A,FALSE,"mfg";"summary",#N/A,FALSE,"mfg"}</definedName>
    <definedName name="imeclosedthreads" hidden="1">41918.5692013889</definedName>
    <definedName name="Img_ML_1c3d1n6n" hidden="1">"IMG_10"</definedName>
    <definedName name="Img_ML_1t5s6u1f" hidden="1">"IMG_6"</definedName>
    <definedName name="Img_ML_1y7a6c1t" hidden="1">"IMG_10"</definedName>
    <definedName name="Img_ML_2b2b8h8h" hidden="1">"IMG_10"</definedName>
    <definedName name="Img_ML_2v6s9i5c" hidden="1">"IMG_6"</definedName>
    <definedName name="Img_ML_3b3j3x9k" hidden="1">"IMG_6"</definedName>
    <definedName name="Img_ML_3c6e9c4g" hidden="1">"IMG_10"</definedName>
    <definedName name="Img_ML_3c7g1a7g" hidden="1">"IMG_10"</definedName>
    <definedName name="Img_ML_3e2q4k7i" hidden="1">"IMG_10"</definedName>
    <definedName name="Img_ML_3h2n3p4v" hidden="1">"IMG_6"</definedName>
    <definedName name="Img_ML_3p5d9q5j" hidden="1">"IMG_10"</definedName>
    <definedName name="Img_ML_3y1j4m2m" hidden="1">"IMG_12"</definedName>
    <definedName name="Img_ML_4d2b6f6f" hidden="1">"IMG_10"</definedName>
    <definedName name="Img_ML_4m3p5r8j" hidden="1">"IMG_18"</definedName>
    <definedName name="Img_ML_5d3i8b5s" hidden="1">"IMG_3"</definedName>
    <definedName name="Img_ML_5e7g5e5e" hidden="1">"IMG_10"</definedName>
    <definedName name="Img_ML_5e7s6t2u" hidden="1">"IMG_6"</definedName>
    <definedName name="Img_ML_5f9d1i5x" hidden="1">"IMG_3"</definedName>
    <definedName name="Img_ML_5h6q3g8u" hidden="1">"IMG_10"</definedName>
    <definedName name="Img_ML_5k7e4n8n" hidden="1">"IMG_6"</definedName>
    <definedName name="Img_ML_5k8u7s9i" hidden="1">"IMG_18"</definedName>
    <definedName name="Img_ML_6f2p1m9g" hidden="1">"IMG_10"</definedName>
    <definedName name="Img_ML_6k9c9p4d" hidden="1">"IMG_10"</definedName>
    <definedName name="Img_ML_6r9u1n9k" hidden="1">"IMG_12"</definedName>
    <definedName name="Img_ML_6w6m7b7r" hidden="1">"IMG_3"</definedName>
    <definedName name="Img_ML_6y9f7y3n" hidden="1">"IMG_10"</definedName>
    <definedName name="Img_ML_7g5e5e2b" hidden="1">"IMG_12"</definedName>
    <definedName name="Img_ML_7m5m4k3b" hidden="1">"IMG_3"</definedName>
    <definedName name="Img_ML_7n6h3t1t" hidden="1">"IMG_6"</definedName>
    <definedName name="Img_ML_8b9j5t1p" hidden="1">"IMG_12"</definedName>
    <definedName name="Img_ML_8c2q5i2r" hidden="1">"IMG_6"</definedName>
    <definedName name="Img_ML_8h3m3i1m" hidden="1">"IMG_6"</definedName>
    <definedName name="Img_ML_8h5e9i3c" hidden="1">"IMG_10"</definedName>
    <definedName name="Img_ML_8h7g4d4d" hidden="1">"IMG_4"</definedName>
    <definedName name="Img_ML_8i9u7w8k" hidden="1">"IMG_10"</definedName>
    <definedName name="Img_ML_8j3w6p4c" hidden="1">"IMG_10"</definedName>
    <definedName name="Img_ML_8r1k8t4y" hidden="1">"IMG_6"</definedName>
    <definedName name="Img_ML_8s3q3c1i" hidden="1">"IMG_6"</definedName>
    <definedName name="Img_ML_9n1s4m5f" hidden="1">"IMG_6"</definedName>
    <definedName name="Img_Production_Breakdown" hidden="1">"IMG_3"</definedName>
    <definedName name="Imobilizado" hidden="1">{#N/A,#N/A,FALSE,"Cristal D'Oro (Tabela)";#N/A,#N/A,FALSE,"Cond Rio Tietê (Tabela)";#N/A,#N/A,FALSE,"Jacyr Leal (Tabela)";#N/A,#N/A,FALSE,"Paul Cézanne (Tabela)";#N/A,#N/A,FALSE,"Tom Jobim  (Tabela)"}</definedName>
    <definedName name="imobpontos" hidden="1">{#N/A,#N/A,FALSE,"Cristal D'Oro (Tabela)";#N/A,#N/A,FALSE,"Cond Rio Tietê (Tabela)";#N/A,#N/A,FALSE,"Jacyr Leal (Tabela)";#N/A,#N/A,FALSE,"Paul Cézanne (Tabela)";#N/A,#N/A,FALSE,"Tom Jobim  (Tabela)"}</definedName>
    <definedName name="Impairment" hidden="1">{#N/A,#N/A,FALSE,"TB";#N/A,#N/A,FALSE,"AR";#N/A,#N/A,FALSE,"BS";#N/A,#N/A,FALSE,"PL";#N/A,#N/A,FALSE,"NOTES";#N/A,#N/A,FALSE,"NOTES (2)";#N/A,#N/A,FALSE,"NOTES (3)";#N/A,#N/A,FALSE,"TAXC.INDEX";#N/A,#N/A,FALSE,"Schedule I";#N/A,#N/A,FALSE,"DPL";#N/A,#N/A,FALSE,"Schedule IV";#N/A,#N/A,FALSE,"Adjustments"}</definedName>
    <definedName name="INCOME" hidden="1">"10000..99999"</definedName>
    <definedName name="incr_piece" hidden="1">increment_piece</definedName>
    <definedName name="ines" hidden="1">{#N/A,#N/A,FALSE,"3";#N/A,#N/A,FALSE,"5";#N/A,#N/A,FALSE,"6";#N/A,#N/A,FALSE,"8";#N/A,#N/A,FALSE,"10";#N/A,#N/A,FALSE,"13";#N/A,#N/A,FALSE,"14";#N/A,#N/A,FALSE,"15";#N/A,#N/A,FALSE,"16"}</definedName>
    <definedName name="inflList" hidden="1">"00000000000000000000000000000000000000000000000000000000000000000000000000000000000000000000000000000000000000000000000000000000000000000000000000000000000000000000000000000000000000000000000000000000"</definedName>
    <definedName name="INFO_BI_EXE_NAME" hidden="1">"SAGEACCBI60.EXE"</definedName>
    <definedName name="INFO_INSTANCE_ID" hidden="1">"0"</definedName>
    <definedName name="INFO_INSTANCE_NAME" hidden="1">"Copy of Sales Master 3-0 (AE-SQL)_20160401_12_11_58_1111.xls"</definedName>
    <definedName name="INFO_REPORT_CODE" hidden="1">"AE-SQL-AR01-3-0-CUST"</definedName>
    <definedName name="INFO_REPORT_ID" hidden="1">"61"</definedName>
    <definedName name="INFO_REPORT_NAME" hidden="1">"Copy of Sales Master 3-0 (AE-SQL)"</definedName>
    <definedName name="INFO_RUN_USER" hidden="1">""</definedName>
    <definedName name="INFO_RUN_WORKSTATION" hidden="1">"BAMXA01"</definedName>
    <definedName name="ingjks" hidden="1">{"detail",#N/A,FALSE,"mfg";"summary",#N/A,FALSE,"mfg"}</definedName>
    <definedName name="iniske" hidden="1">{"detail",#N/A,FALSE,"mfg";"summary",#N/A,FALSE,"mfg"}</definedName>
    <definedName name="Initiale" hidden="1">#REF!</definedName>
    <definedName name="inksl" hidden="1">{"detail",#N/A,FALSE,"mfg";"summary",#N/A,FALSE,"mfg"}</definedName>
    <definedName name="Input_currency">#REF!</definedName>
    <definedName name="Input_get_simple_TopN">_xlfn.lambda(_xlpm.firsttopn,_xlpm.secondtopn,_xlpm.metric,_xlpm.fiscalperiodarray,_xlpm.fiscalrange,_xlpm.customerrange,_xlpm.metricnamerange,_xlpm.valuesrange,_xlop.showremaininginothers,     _xlfn.LET(         _xlpm.showremaining, IF(_xlfn.isomitted(_xlpm.showremaininginothers), "no", _xlpm.showremaininginothers),         _xlpm.gettopnlist, _xlfn.lambda(_xlpm.n, _xlfn.reduce("", _xlpm.fiscalperiodarray, _xlfn.lambda(_xlpm.x,_xlpm.fiscalperiod,             _xlfn.vstack(_xlpm.x, TopN_By_Fiscal_period(_xlpm.n, _xlpm.metric, _xlpm.fiscalperiod, _xlpm.fiscalrange, _xlpm.customerrange, _xlpm.metricnamerange, _xlpm.valuesrange))))),                  _xlpm.fulllist, _xlfn.UNIQUE(_xlpm.gettopnlist(MAX(_xlpm.firsttopn, _xlpm.secondtopn))),         _xlpm.topfirstlist, IF(ISBLANK(_xlpm.firsttopn), "", _xlfn.take(_xlfn._xlws.FILTER(_xlpm.fulllist, _xlpm.fulllist&lt;&gt;""), _xlpm.firsttopn)),                  _xlpm.topsecondlist, IF(OR(ISBLANK(_xlpm.secondtopn), _xlpm.secondtopn = 0), "",             _xlfn.take(_xlfn._xlws.FILTER(_xlpm.fulllist, ISNA(MATCH(_xlpm.fulllist, _xlpm.topfirstlist, 0))), _xlpm.secondtopn - _xlpm.firsttopn + 1)),                  _xlpm.otherslist, IF(OR(ISBLANK(_xlpm.showremaining), _xlpm.showremaining = "no"),             "Others",             IF(OR(ISBLANK(_xlpm.secondtopn), _xlpm.secondtopn = 0),                 _xlfn.UNIQUE(_xlfn._xlws.FILTER(_xlpm.customerrange, ISNA(MATCH(_xlpm.customerrange, _xlpm.topfirstlist, 0)) * (_xlpm.customerrange &lt;&gt; ""))),                 _xlfn.UNIQUE(_xlfn._xlws.FILTER(_xlpm.customerrange, ISNA(MATCH(_xlpm.customerrange, _xlfn.vstack(_xlpm.topfirstlist, _xlpm.topsecondlist), 0)) * (_xlpm.customerrange &lt;&gt; "")))             )         ),                  _xlpm.finallist, _xlfn.vstack(             _xlfn.UNIQUE(_xlfn._xlws.FILTER(_xlpm.topfirstlist, _xlpm.topfirstlist &lt;&gt; "")),             "Top " &amp; TEXT(_xlpm.firsttopn, "0"),             IF(AND(ISBLANK(_xlpm.secondtopn), _xlpm.showremaining = "no"), "Others",                 IF(OR(ISBLANK(_xlpm.secondtopn), _xlpm.secondtopn = 0),                     IF(_xlpm.showremaining = "yes", _xlpm.otherslist, "Others"),                     _xlfn.vstack(                         _xlfn.UNIQUE(_xlfn._xlws.FILTER(_xlpm.topsecondlist, _xlpm.topsecondlist &lt;&gt; "")),                         "Top " &amp; TEXT(_xlpm.firsttopn + 1, "0") &amp; " - " &amp; TEXT(_xlpm.secondtopn, "0"),                         IF(_xlpm.showremaining = "yes", _xlpm.otherslist, "Others")                     )                 )             )         ),         _xlpm.finallist     ) )</definedName>
    <definedName name="Input_Get_TopN_list">_xlfn.lambda(_xlpm.firsttopn,_xlpm.secondtopn,_xlpm.metric,_xlpm.fiscalperiodarray,_xlpm.fiscalrange,_xlpm.customerrange,_xlpm.metricnamerange,_xlpm.valuesrange,_xlop.showremaininginothers,     _xlfn.LET(         _xlpm.showremaining, IF(_xlfn.isomitted(_xlpm.showremaininginothers), "no", _xlpm.showremaininginothers),                  _xlpm.gettopnlist, _xlfn.lambda(_xlpm.n, _xlfn.reduce("", _xlpm.fiscalperiodarray, _xlfn.lambda(_xlpm.x,_xlpm.fiscalperiod,             _xlfn.vstack(_xlpm.x, TopN_By_Fiscal_period(_xlpm.n, _xlpm.metric, _xlpm.fiscalperiod, _xlpm.fiscalrange, _xlpm.customerrange, _xlpm.metricnamerange, _xlpm.valuesrange))))),          _xlpm.topfirstlist, IF(ISBLANK(_xlpm.firsttopn), "", _xlfn.UNIQUE(_xlpm.gettopnlist(_xlpm.firsttopn))),          _xlpm.topsecondlist, IF(OR(ISBLANK(_xlpm.secondtopn), _xlpm.secondtopn=0), "", _xlfn.UNIQUE(_xlfn._xlws.FILTER(_xlpm.gettopnlist(_xlpm.secondtopn), ISNA(MATCH(_xlpm.gettopnlist(_xlpm.secondtopn), _xlpm.topfirstlist, 0))))),          _xlpm.otherslist, IF(OR(ISBLANK(_xlpm.showremaining), _xlpm.showremaining="no"),             "Others",             IF(OR(ISBLANK(_xlpm.secondtopn), _xlpm.secondtopn=0),                 _xlfn.UNIQUE(_xlfn._xlws.FILTER(_xlpm.customerrange, ISNA(MATCH(_xlpm.customerrange, _xlpm.topfirstlist, 0)) * (_xlpm.customerrange&lt;&gt;""))),                 _xlfn.UNIQUE(_xlfn._xlws.FILTER(_xlpm.customerrange, ISNA(MATCH(_xlpm.customerrange, _xlfn.vstack(_xlpm.topfirstlist, _xlpm.topsecondlist), 0)) * (_xlpm.customerrange&lt;&gt;"")))             )         ),          _xlpm.finallist, _xlfn.vstack(             _xlfn.UNIQUE(_xlfn._xlws.FILTER(_xlpm.topfirstlist, _xlpm.topfirstlist&lt;&gt;"")),             "Top " &amp; TEXT(_xlpm.firsttopn, "0"),             IF(AND(ISBLANK(_xlpm.secondtopn), _xlpm.showremaining="no"), "Others",                 IF(OR(ISBLANK(_xlpm.secondtopn), _xlpm.secondtopn=0),                      IF(_xlpm.showremaining="yes", _xlpm.otherslist, "Others"),                     _xlfn.vstack(                         _xlfn.UNIQUE(_xlfn._xlws.FILTER(_xlpm.topsecondlist, _xlpm.topsecondlist&lt;&gt;"")),                         "Top " &amp; TEXT(_xlpm.firsttopn+1, "0") &amp; " - " &amp; TEXT(_xlpm.secondtopn, "0"),                         IF(_xlpm.showremaining="yes", _xlpm.otherslist, "Others")                     )                 )             )         ),         _xlpm.finallist     ) )</definedName>
    <definedName name="int_ext_sel" hidden="1">2</definedName>
    <definedName name="IntroPrintArea" hidden="1">#REF!</definedName>
    <definedName name="Inv" hidden="1">{#N/A,#N/A,FALSE,"Presentation by Unit";#N/A,#N/A,FALSE,"Presentation by BD";#N/A,#N/A,FALSE,"Presentation Split by Biggest U";#N/A,#N/A,FALSE,"Presentation Split by Area";#N/A,#N/A,FALSE,"Presentation Split by BD"}</definedName>
    <definedName name="Inventory" hidden="1">{"Summary analysis",#N/A,FALSE,"Total";"OCPH analysis",#N/A,FALSE,"Total";"detail analysis",#N/A,FALSE,"Total"}</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o" hidden="1">{"Performance Details",#N/A,FALSE,"Current Yr";"Performance Details",#N/A,FALSE,"Budget";"Performance Details",#N/A,FALSE,"Prior Year"}</definedName>
    <definedName name="io_2" hidden="1">{"Pound Sterling",#N/A,TRUE,"PPD";"Pound Sterling",#N/A,TRUE,"Anaquest";"Pound Sterling",#N/A,TRUE,"Delta";"Pound Sterling",#N/A,TRUE,"INO"}</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iuoiu" hidden="1">{#N/A,#N/A,FALSE,"3";#N/A,#N/A,FALSE,"5";#N/A,#N/A,FALSE,"6";#N/A,#N/A,FALSE,"8";#N/A,#N/A,FALSE,"10";#N/A,#N/A,FALSE,"13";#N/A,#N/A,FALSE,"14";#N/A,#N/A,FALSE,"15";#N/A,#N/A,FALSE,"16"}</definedName>
    <definedName name="ioiuouio" hidden="1">{#N/A,#N/A,FALSE,"3";#N/A,#N/A,FALSE,"5";#N/A,#N/A,FALSE,"6";#N/A,#N/A,FALSE,"8";#N/A,#N/A,FALSE,"10";#N/A,#N/A,FALSE,"13";#N/A,#N/A,FALSE,"14";#N/A,#N/A,FALSE,"15";#N/A,#N/A,FALSE,"16"}</definedName>
    <definedName name="iop" hidden="1">{#N/A,"PURCHM",FALSE,"Business Analysis";#N/A,"SPADD",FALSE,"Business Analysis"}</definedName>
    <definedName name="iotyud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iouiuouiooiu" hidden="1">{#N/A,#N/A,FALSE,"3";#N/A,#N/A,FALSE,"5";#N/A,#N/A,FALSE,"6";#N/A,#N/A,FALSE,"8";#N/A,#N/A,FALSE,"10";#N/A,#N/A,FALSE,"13";#N/A,#N/A,FALSE,"14";#N/A,#N/A,FALSE,"15";#N/A,#N/A,FALSE,"16"}</definedName>
    <definedName name="IP" hidden="1">{#N/A,#N/A,FALSE,"Pharm";#N/A,#N/A,FALSE,"WWCM"}</definedName>
    <definedName name="IPD" hidden="1">{#N/A,#N/A,FALSE,"Presentation by Unit";#N/A,#N/A,FALSE,"Presentation by BD";#N/A,#N/A,FALSE,"Presentation Split by Biggest U";#N/A,#N/A,FALSE,"Presentation Split by Area";#N/A,#N/A,FALSE,"Presentation Split by BD"}</definedName>
    <definedName name="ipou" hidden="1">{#N/A,#N/A,FALSE,"TAXC.INDEX";#N/A,#N/A,FALSE,"Schedule I";#N/A,#N/A,FALSE,"Schedule  II";#N/A,#N/A,FALSE,"Schedule III";#N/A,#N/A,FALSE,"Schedule IV";#N/A,#N/A,FALSE,"Schedule IV (Cont'd)";#N/A,#N/A,FALSE,"Schedule V";#N/A,#N/A,FALSE,"Schedule VI";#N/A,#N/A,FALSE,"Schedule VII"}</definedName>
    <definedName name="IPS" hidden="1">{#N/A,#N/A,FALSE,"Presentation by Unit";#N/A,#N/A,FALSE,"Presentation by BD";#N/A,#N/A,FALSE,"Presentation Split by Biggest U";#N/A,#N/A,FALSE,"Presentation Split by Area";#N/A,#N/A,FALSE,"Presentation Split by BD"}</definedName>
    <definedName name="IQ_" hidden="1">"c59"</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NNUAL_DIVIDEND" hidden="1">"c229"</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_FAX" hidden="1">"c2100"</definedName>
    <definedName name="IQ_BOARD_MEMBER_OFFICE" hidden="1">"c2098"</definedName>
    <definedName name="IQ_BOARD_MEMBER_PHONE" hidden="1">"c2099"</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_EST_REUT" hidden="1">"c6800"</definedName>
    <definedName name="IQ_CAL_Y_EST_REUT" hidden="1">"c6801"</definedName>
    <definedName name="IQ_CAP_INT" hidden="1">"c3460"</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SH_DIVIDENDS_NET_INCOME_FDIC" hidden="1">"c6738"</definedName>
    <definedName name="IQ_CASH_IN_PROCESS_FDIC" hidden="1">"c6386"</definedName>
    <definedName name="IQ_CASH2" hidden="1">"c116"</definedName>
    <definedName name="IQ_CCE_FDIC" hidden="1">"c6296"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RT_DEBT" hidden="1">"c224"</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FEE" hidden="1">"c231"</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FF_LASTCLOSE_TARGET_PRICE_REUT" hidden="1">"c5436"</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"c157"</definedName>
    <definedName name="IQ_EBIT_GROWTH_2" hidden="1">"c161"</definedName>
    <definedName name="IQ_EBIT_HIGH_EST_REUT" hidden="1">"c5335"</definedName>
    <definedName name="IQ_EBIT_LOW_EST_REUT" hidden="1">"c5336"</definedName>
    <definedName name="IQ_EBIT_MEDIAN_EST_REUT" hidden="1">"c5334"</definedName>
    <definedName name="IQ_EBIT_NET_INT" hidden="1">"c360"</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CAPEX_NET_INT" hidden="1">"c368"</definedName>
    <definedName name="IQ_EBITDA_EST_REUT" hidden="1">"c3640"</definedName>
    <definedName name="IQ_EBITDA_GROWTH_1" hidden="1">"c156"</definedName>
    <definedName name="IQ_EBITDA_GROWTH_2" hidden="1">"c160"</definedName>
    <definedName name="IQ_EBITDA_HIGH_EST_REUT" hidden="1">"c3642"</definedName>
    <definedName name="IQ_EBITDA_LOW_EST_REUT" hidden="1">"c3643"</definedName>
    <definedName name="IQ_EBITDA_MEDIAN_EST_REUT" hidden="1">"c3641"</definedName>
    <definedName name="IQ_EBITDA_NET_INT" hidden="1">"c373"</definedName>
    <definedName name="IQ_EBITDA_NO_EST" hidden="1">"c267"</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_EST" hidden="1">"c271"</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PRIMARY" hidden="1">"c2232"</definedName>
    <definedName name="IQ_EST_ACT_EPS_REPORTED_REUT" hidden="1">"c5402"</definedName>
    <definedName name="IQ_EST_ACT_EPS_REUT" hidden="1">"c5457"</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GW_THOM" hidden="1">"c5139"</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DIFF_THOM" hidden="1">"c5200"</definedName>
    <definedName name="IQ_EST_NI_GW_SURPRISE_PERCENT_REUT" hidden="1">"c5426"</definedName>
    <definedName name="IQ_EST_NI_GW_SURPRISE_PERCENT_THOM" hidden="1">"c5201"</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UT_ACT_CAPEX" hidden="1">"c3975"</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XP_RETTRN_PENSION_FOREIGN" hidden="1">"c408"</definedName>
    <definedName name="IQ_EXPENSE_CODE_">1360</definedName>
    <definedName name="IQ_EXPENSE_CODE__1" hidden="1">"032"</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ATEMS_BR" hidden="1">"c412"</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HIGH_EST_CIQ" hidden="1">"c4977"</definedName>
    <definedName name="IQ_FFO_HIGH_EST_REUT" hidden="1">"c3839"</definedName>
    <definedName name="IQ_FFO_HIGH_EST_THOM" hidden="1">"c4001"</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O_EST" hidden="1">"c276"</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CIQ" hidden="1">"c12267"</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CIQ" hidden="1">"c12395"</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CIQ" hidden="1">"c12720"</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_CIQ" hidden="1">"c4981"</definedName>
    <definedName name="IQ_FFO_STDDEV_EST_REUT" hidden="1">"c3842"</definedName>
    <definedName name="IQ_FFO_STDDEV_EST_THOM" hidden="1">"c4004"</definedName>
    <definedName name="IQ_FH">100000</definedName>
    <definedName name="IQ_FHLB_ADVANCES_FDIC" hidden="1">"c6366"</definedName>
    <definedName name="IQ_FHLB_DUE_AFTER_FIVE" hidden="1">"c2086"</definedName>
    <definedName name="IQ_FHLB_DUE_NEXTV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SCAL_Q_EST_REUT" hidden="1">"c6798"</definedName>
    <definedName name="IQ_FISCAL_Y_EST_REUT" hidden="1">"c6799"</definedName>
    <definedName name="IQ_FIVE_PERCENT_AMOUNT" hidden="1">"c240"</definedName>
    <definedName name="IQ_FIVE_YEAR_FIXED_AND_FLOATING_RATE_FDIC" hidden="1">"c6422"</definedName>
    <definedName name="IQ_FIVE_YEAR_MORTGAGE_PASS_THROUGHS_FDIC" hidden="1">"c6414"</definedName>
    <definedName name="IQ_FIVEPERCENT_OWNER" hidden="1">"c239"</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V_BR" hidden="1">"c474"</definedName>
    <definedName name="IQ_GAIN_INVEST_BR" hidden="1">"c1464"</definedName>
    <definedName name="IQ_GAIN_INVEST_CF_BR" hidden="1">"c482"</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ROSS_INTAN" hidden="1">"c520"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AMOUNT" hidden="1">"c238"</definedName>
    <definedName name="IQ_INSIDER_LOANS_FDIC" hidden="1">"c6365"</definedName>
    <definedName name="IQ_INSTITUTIONAL_AMOUNT" hidden="1">"c236"</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INC_10K" hidden="1">"IQ_INTEREST_INC_10K"</definedName>
    <definedName name="IQ_INTEREST_INC_10Q" hidden="1">"IQ_INTEREST_INC_10Q"</definedName>
    <definedName name="IQ_INTEREST_INC_10Q1" hidden="1">"IQ_INTEREST_INC_10Q1"</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ST_EBIT_MARGIN" hidden="1">"c151"</definedName>
    <definedName name="IQ_LAST_EBITDA_MARGIN" hidden="1">"c150"</definedName>
    <definedName name="IQ_LAST_GROSS_MARGIN" hidden="1">"c149"</definedName>
    <definedName name="IQ_LAST_NET_INC_MARGIN" hidden="1">"c152"</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2000</definedName>
    <definedName name="IQ_LTM_DATE" hidden="1">"IQ_LTM_DATE"</definedName>
    <definedName name="IQ_LTMMONTH" hidden="1">120000</definedName>
    <definedName name="IQ_MACRO_SURVEY_CONSUMER_SENTIMENT" hidden="1">"c20808"</definedName>
    <definedName name="IQ_MARKTCAP" hidden="1">"c258"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46029.2608912037</definedName>
    <definedName name="IQ_NAMES_REVISION_DATE__1" hidden="1">42016.828287037</definedName>
    <definedName name="IQ_NAMES_REVISION_DATE__2" hidden="1">42121.6723611111</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 hidden="1">"c6641"</definedName>
    <definedName name="IQ_NET_CHARGE_OFFS_LOANS_FDIC" hidden="1">"c6751"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I_ACT_OR_EST_REUT" hidden="1">"c5468"</definedName>
    <definedName name="IQ_NI_EST_REUT" hidden="1">"c5368"</definedName>
    <definedName name="IQ_NI_GW_EST_REUT" hidden="1">"c5375"</definedName>
    <definedName name="IQ_NI_GW_EST_THOM" hidden="1">"c5133"</definedName>
    <definedName name="IQ_NI_GW_HIGH_EST_REUT" hidden="1">"c5377"</definedName>
    <definedName name="IQ_NI_GW_HIGH_EST_THOM" hidden="1">"c5135"</definedName>
    <definedName name="IQ_NI_GW_LOW_EST_REUT" hidden="1">"c5378"</definedName>
    <definedName name="IQ_NI_GW_LOW_EST_THOM" hidden="1">"c5136"</definedName>
    <definedName name="IQ_NI_GW_MEDIAN_EST_REUT" hidden="1">"c5376"</definedName>
    <definedName name="IQ_NI_GW_MEDIAN_EST_THOM" hidden="1">"c5134"</definedName>
    <definedName name="IQ_NI_GW_NUM_EST_REUT" hidden="1">"c5379"</definedName>
    <definedName name="IQ_NI_GW_NUM_EST_THOM" hidden="1">"c5137"</definedName>
    <definedName name="IQ_NI_GW_STDDEV_EST_REUT" hidden="1">"c5380"</definedName>
    <definedName name="IQ_NI_GW_STDDEV_EST_THOM" hidden="1">"c5138"</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3" hidden="1">"c1000"</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UAL_BR" hidden="1">"c1561"</definedName>
    <definedName name="IQ_OTHER_UNUSUAL_SUPPL_BR" hidden="1">"c1496"</definedName>
    <definedName name="IQ_OUT2"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_FDIC" hidden="1">"c13646"</definedName>
    <definedName name="IQ_PLEDGED_SECURITIES_FDIC" hidden="1">"c6401"</definedName>
    <definedName name="IQ_POTENTIAL_UPSIDE_REUT" hidden="1">"c3968"</definedName>
    <definedName name="IQ_PRE_TAX_ACT_OR_EST_REUT" hidden="1">"c5467"</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EPS_EST" hidden="1">"c174"</definedName>
    <definedName name="IQ_PRICE_OVER_EPS_EST_1" hidden="1">"c175"</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ACT_OR_EST_REUT" hidden="1">"c5475"</definedName>
    <definedName name="IQ_RETURN_ASSETS_BROK" hidden="1">"c1115"</definedName>
    <definedName name="IQ_RETURN_ASSETS_EST_REUT" hidden="1">"c3990"</definedName>
    <definedName name="IQ_RETURN_ASSETS_FDIC" hidden="1">"c6730"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 hidden="1">"c6732"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STDDEV_EST_REUT" hidden="1">"c3639"</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_REUT" hidden="1">"c3636"</definedName>
    <definedName name="IQ_REVENUE_LOW_EST_REUT" hidden="1">"c3637"</definedName>
    <definedName name="IQ_REVENUE_MEDIAN_EST_REUT" hidden="1">"c3635"</definedName>
    <definedName name="IQ_REVENUE_NO_EST" hidden="1">"c263"</definedName>
    <definedName name="IQ_REVENUE_NUM_EST_REUT" hidden="1">"c3638"</definedName>
    <definedName name="IQ_REVISION_DATE__1" hidden="1">39384.6306134259</definedName>
    <definedName name="IQ_REVISION_DATE_2" hidden="1">39624.5825925926</definedName>
    <definedName name="IQ_REVISION_DATE_3" hidden="1">39624.5825925926</definedName>
    <definedName name="IQ_REVISION_DATE_4" hidden="1">39624.5825925926</definedName>
    <definedName name="IQ_REVISION_DATE_Flagler" hidden="1">39113.8943055556</definedName>
    <definedName name="IQ_REVOLVING_SECURED_1_–4_NON_ACCRUAL_FFIEC" hidden="1">"c15565"</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"c83"</definedName>
    <definedName name="IQ_SHORT_INTEREST_VOLUME" hidden="1">"c228"</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TOCK_BASED_COGS_FIN" hidden="1">"c2998"</definedName>
    <definedName name="IQ_STOCK_BASED_COGS_UTIL" hidden="1">"c2997"</definedName>
    <definedName name="IQ_SUB_DEBT_FDIC" hidden="1">"c6346"</definedName>
    <definedName name="IQ_SURPLUS_FDIC" hidden="1">"c6351"</definedName>
    <definedName name="IQ_TARGET_PRICE_LASTCLOSE" hidden="1">"c1855"</definedName>
    <definedName name="IQ_TARGET_PRICE_NUM_REUT" hidden="1">"c5319"</definedName>
    <definedName name="IQ_TARGET_PRICE_STDDEV_REUT" hidden="1">"c5320"</definedName>
    <definedName name="IQ_TEMPLATE_BS" hidden="1">"c1211"</definedName>
    <definedName name="IQ_TEMPLATE_CF" hidden="1">"c1212"</definedName>
    <definedName name="IQ_TEMPLATE_IS" hidden="1">"c1213"</definedName>
    <definedName name="IQ_TEV_EBIT_FWD_REUT" hidden="1">"c4054"</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AL" hidden="1">"c1308"</definedName>
    <definedName name="IQ_TOTAL_UNUSED_COMMITMENTS_FDIC" hidden="1">"c6536"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QB_BOOKMARK_COUNT" hidden="1">2</definedName>
    <definedName name="IQB_BOOKMARK_COUNT_1" hidden="1">1</definedName>
    <definedName name="IQB_BOOKMARK_COUNT_1_1" hidden="1">2</definedName>
    <definedName name="IQB_BOOKMARK_LOCATION_1" hidden="1">'Reported Financials'!#REF!</definedName>
    <definedName name="IQB_BOOKMARK_LOCATION_10" hidden="1">#REF!</definedName>
    <definedName name="IQB_BOOKMARK_LOCATION_11" hidden="1">#REF!</definedName>
    <definedName name="IQB_BOOKMARK_LOCATION_12" hidden="1">#REF!</definedName>
    <definedName name="IQB_BOOKMARK_LOCATION_13" hidden="1">#REF!</definedName>
    <definedName name="IQB_BOOKMARK_LOCATION_14" hidden="1">#REF!</definedName>
    <definedName name="IQB_BOOKMARK_LOCATION_15"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6" hidden="1">#REF!</definedName>
    <definedName name="IQB_BOOKMARK_LOCATION_7" hidden="1">#REF!</definedName>
    <definedName name="IQB_BOOKMARK_LOCATION_8" hidden="1">#REF!</definedName>
    <definedName name="IQB_BOOKMARK_LOCATION_9" hidden="1">#REF!</definedName>
    <definedName name="IQB_CURRENT_BOOKMARK" hidden="1">0</definedName>
    <definedName name="IQR102AP16" hidden="1">#REF!</definedName>
    <definedName name="IQR102AQ16" hidden="1">#REF!</definedName>
    <definedName name="IQR102AX16" hidden="1">#REF!</definedName>
    <definedName name="IQR102AY16" hidden="1">#REF!</definedName>
    <definedName name="IQR102X85" hidden="1">#REF!</definedName>
    <definedName name="IQR10AD127" hidden="1">#REF!</definedName>
    <definedName name="IQR10AE127" hidden="1">#REF!</definedName>
    <definedName name="IQR10AP16" hidden="1">#REF!</definedName>
    <definedName name="IQR10AQ16" hidden="1">#REF!</definedName>
    <definedName name="IQR10AX16" hidden="1">#REF!</definedName>
    <definedName name="IQR10AY16" hidden="1">#REF!</definedName>
    <definedName name="IQR10V110" hidden="1">#REF!</definedName>
    <definedName name="IQR10V127" hidden="1">#REF!</definedName>
    <definedName name="IQR10W127" hidden="1">#REF!</definedName>
    <definedName name="IQR10X85" hidden="1">#REF!</definedName>
    <definedName name="IQR110AD127" hidden="1">#REF!</definedName>
    <definedName name="IQR110AE127" hidden="1">#REF!</definedName>
    <definedName name="IQR110V110" hidden="1">#REF!</definedName>
    <definedName name="IQR110V127" hidden="1">#REF!</definedName>
    <definedName name="IQR110W127" hidden="1">#REF!</definedName>
    <definedName name="IQR111AD127" hidden="1">#REF!</definedName>
    <definedName name="IQR111AE127" hidden="1">#REF!</definedName>
    <definedName name="IQR111V110" hidden="1">#REF!</definedName>
    <definedName name="IQR111V127" hidden="1">#REF!</definedName>
    <definedName name="IQR111W127" hidden="1">#REF!</definedName>
    <definedName name="IQR112AD127" hidden="1">#REF!</definedName>
    <definedName name="IQR112AE127" hidden="1">#REF!</definedName>
    <definedName name="IQR112V110" hidden="1">#REF!</definedName>
    <definedName name="IQR112V127" hidden="1">#REF!</definedName>
    <definedName name="IQR112W127" hidden="1">#REF!</definedName>
    <definedName name="IQR11AD127" hidden="1">#REF!</definedName>
    <definedName name="IQR11AE127" hidden="1">#REF!</definedName>
    <definedName name="IQR11AP16" hidden="1">#REF!</definedName>
    <definedName name="IQR11AQ16" hidden="1">#REF!</definedName>
    <definedName name="IQR11AX16" hidden="1">#REF!</definedName>
    <definedName name="IQR11AY16" hidden="1">#REF!</definedName>
    <definedName name="IQR11V110" hidden="1">#REF!</definedName>
    <definedName name="IQR11V127" hidden="1">#REF!</definedName>
    <definedName name="IQR11W127" hidden="1">#REF!</definedName>
    <definedName name="IQR11X85" hidden="1">#REF!</definedName>
    <definedName name="IQR122AP16" hidden="1">#REF!</definedName>
    <definedName name="IQR122AQ16" hidden="1">#REF!</definedName>
    <definedName name="IQR122AX16" hidden="1">#REF!</definedName>
    <definedName name="IQR122AY16" hidden="1">#REF!</definedName>
    <definedName name="IQR122V110" hidden="1">#REF!</definedName>
    <definedName name="IQR122X85" hidden="1">#REF!</definedName>
    <definedName name="IQR12AD127" hidden="1">#REF!</definedName>
    <definedName name="IQR12AE127" hidden="1">#REF!</definedName>
    <definedName name="IQR12AP16" hidden="1">#REF!</definedName>
    <definedName name="IQR12AQ16" hidden="1">#REF!</definedName>
    <definedName name="IQR12AX16" hidden="1">#REF!</definedName>
    <definedName name="IQR12AY16" hidden="1">#REF!</definedName>
    <definedName name="IQR12bAP16" hidden="1">#REF!</definedName>
    <definedName name="IQR12bAQ16" hidden="1">#REF!</definedName>
    <definedName name="IQR12bAX16" hidden="1">#REF!</definedName>
    <definedName name="IQR12bAY16" hidden="1">#REF!</definedName>
    <definedName name="IQR12bX85" hidden="1">#REF!</definedName>
    <definedName name="IQR12V110" hidden="1">#REF!</definedName>
    <definedName name="IQR12V127" hidden="1">#REF!</definedName>
    <definedName name="IQR12W127" hidden="1">#REF!</definedName>
    <definedName name="IQR12X85" hidden="1">#REF!</definedName>
    <definedName name="IQR132AD127" hidden="1">#REF!</definedName>
    <definedName name="IQR132AE127" hidden="1">#REF!</definedName>
    <definedName name="IQR132V110" hidden="1">#REF!</definedName>
    <definedName name="IQR132V127" hidden="1">#REF!</definedName>
    <definedName name="IQR132W127" hidden="1">#REF!</definedName>
    <definedName name="IQR13AD127" hidden="1">#REF!</definedName>
    <definedName name="IQR13AE127" hidden="1">#REF!</definedName>
    <definedName name="IQR13AP16" hidden="1">#REF!</definedName>
    <definedName name="IQR13AQ16" hidden="1">#REF!</definedName>
    <definedName name="IQR13AX16" hidden="1">#REF!</definedName>
    <definedName name="IQR13AY16" hidden="1">#REF!</definedName>
    <definedName name="IQR13bAP16" hidden="1">#REF!</definedName>
    <definedName name="IQR13bAQ16" hidden="1">#REF!</definedName>
    <definedName name="IQR13bAX16" hidden="1">#REF!</definedName>
    <definedName name="IQR13bAY16" hidden="1">#REF!</definedName>
    <definedName name="IQR13bX85" hidden="1">#REF!</definedName>
    <definedName name="IQR13V110" hidden="1">#REF!</definedName>
    <definedName name="IQR13V127" hidden="1">#REF!</definedName>
    <definedName name="IQR13W127" hidden="1">#REF!</definedName>
    <definedName name="IQR13X85" hidden="1">#REF!</definedName>
    <definedName name="IQR142AD127" hidden="1">#REF!</definedName>
    <definedName name="IQR142AE127" hidden="1">#REF!</definedName>
    <definedName name="IQR142V110" hidden="1">#REF!</definedName>
    <definedName name="IQR142V127" hidden="1">#REF!</definedName>
    <definedName name="IQR142W127" hidden="1">#REF!</definedName>
    <definedName name="IQR14AD127" hidden="1">#REF!</definedName>
    <definedName name="IQR14AE127" hidden="1">#REF!</definedName>
    <definedName name="IQR14AP16" hidden="1">#REF!</definedName>
    <definedName name="IQR14AQ16" hidden="1">#REF!</definedName>
    <definedName name="IQR14AX16" hidden="1">#REF!</definedName>
    <definedName name="IQR14AY16" hidden="1">#REF!</definedName>
    <definedName name="IQR14bAP16" hidden="1">#REF!</definedName>
    <definedName name="IQR14bAQ16" hidden="1">#REF!</definedName>
    <definedName name="IQR14bAX16" hidden="1">#REF!</definedName>
    <definedName name="IQR14bAY16" hidden="1">#REF!</definedName>
    <definedName name="IQR14bX85" hidden="1">#REF!</definedName>
    <definedName name="IQR14V110" hidden="1">#REF!</definedName>
    <definedName name="IQR14V127" hidden="1">#REF!</definedName>
    <definedName name="IQR14W127" hidden="1">#REF!</definedName>
    <definedName name="IQR14X85" hidden="1">#REF!</definedName>
    <definedName name="IQR152AD127" hidden="1">#REF!</definedName>
    <definedName name="IQR152AE127" hidden="1">#REF!</definedName>
    <definedName name="IQR152AP16" hidden="1">#REF!</definedName>
    <definedName name="IQR152AQ16" hidden="1">#REF!</definedName>
    <definedName name="IQR152AX16" hidden="1">#REF!</definedName>
    <definedName name="IQR152AY16" hidden="1">#REF!</definedName>
    <definedName name="IQR152V110" hidden="1">#REF!</definedName>
    <definedName name="IQR152V127" hidden="1">#REF!</definedName>
    <definedName name="IQR152W127" hidden="1">#REF!</definedName>
    <definedName name="IQR152X85" hidden="1">#REF!</definedName>
    <definedName name="IQR15AD127" hidden="1">#REF!</definedName>
    <definedName name="IQR15AE127" hidden="1">#REF!</definedName>
    <definedName name="IQR15AP16" hidden="1">#REF!</definedName>
    <definedName name="IQR15AQ16" hidden="1">#REF!</definedName>
    <definedName name="IQR15AX16" hidden="1">#REF!</definedName>
    <definedName name="IQR15AY16" hidden="1">#REF!</definedName>
    <definedName name="IQR15V110" hidden="1">#REF!</definedName>
    <definedName name="IQR15V127" hidden="1">#REF!</definedName>
    <definedName name="IQR15W127" hidden="1">#REF!</definedName>
    <definedName name="IQR15X85" hidden="1">#REF!</definedName>
    <definedName name="IQR162AD127" hidden="1">#REF!</definedName>
    <definedName name="IQR162AE127" hidden="1">#REF!</definedName>
    <definedName name="IQR162V110" hidden="1">#REF!</definedName>
    <definedName name="IQR162V127" hidden="1">#REF!</definedName>
    <definedName name="IQR162W127" hidden="1">#REF!</definedName>
    <definedName name="IQR16AD127" hidden="1">#REF!</definedName>
    <definedName name="IQR16AE127" hidden="1">#REF!</definedName>
    <definedName name="IQR16V110" hidden="1">#REF!</definedName>
    <definedName name="IQR16V127" hidden="1">#REF!</definedName>
    <definedName name="IQR16W127" hidden="1">#REF!</definedName>
    <definedName name="IQR17AD127" hidden="1">#REF!</definedName>
    <definedName name="IQR17AE127" hidden="1">#REF!</definedName>
    <definedName name="IQR17V110" hidden="1">#REF!</definedName>
    <definedName name="IQR17V127" hidden="1">#REF!</definedName>
    <definedName name="IQR17W127" hidden="1">#REF!</definedName>
    <definedName name="IQR182AD127" hidden="1">#REF!</definedName>
    <definedName name="IQR182AE127" hidden="1">#REF!</definedName>
    <definedName name="IQR182V110" hidden="1">#REF!</definedName>
    <definedName name="IQR182V127" hidden="1">#REF!</definedName>
    <definedName name="IQR182W127" hidden="1">#REF!</definedName>
    <definedName name="IQR18AD127" hidden="1">#REF!</definedName>
    <definedName name="IQR18AE127" hidden="1">#REF!</definedName>
    <definedName name="IQR18V110" hidden="1">#REF!</definedName>
    <definedName name="IQR18V127" hidden="1">#REF!</definedName>
    <definedName name="IQR18W127" hidden="1">#REF!</definedName>
    <definedName name="IQR192AD127" hidden="1">#REF!</definedName>
    <definedName name="IQR192AE127" hidden="1">#REF!</definedName>
    <definedName name="IQR192V110" hidden="1">#REF!</definedName>
    <definedName name="IQR192V127" hidden="1">#REF!</definedName>
    <definedName name="IQR192W127" hidden="1">#REF!</definedName>
    <definedName name="IQR19AD127" hidden="1">#REF!</definedName>
    <definedName name="IQR19AE127" hidden="1">#REF!</definedName>
    <definedName name="IQR19V110" hidden="1">#REF!</definedName>
    <definedName name="IQR19V127" hidden="1">#REF!</definedName>
    <definedName name="IQR19W127" hidden="1">#REF!</definedName>
    <definedName name="IQR1AD127" hidden="1">#REF!</definedName>
    <definedName name="IQR1AD128" hidden="1">#REF!</definedName>
    <definedName name="IQR1AE127" hidden="1">#REF!</definedName>
    <definedName name="IQR1AE128" hidden="1">#REF!</definedName>
    <definedName name="IQR1AP15" hidden="1">#REF!</definedName>
    <definedName name="IQR1AP16" hidden="1">#REF!</definedName>
    <definedName name="IQR1AQ15" hidden="1">#REF!</definedName>
    <definedName name="IQR1AQ16" hidden="1">#REF!</definedName>
    <definedName name="IQR1AX15" hidden="1">#REF!</definedName>
    <definedName name="IQR1AX16" hidden="1">#REF!</definedName>
    <definedName name="IQR1AY15" hidden="1">#REF!</definedName>
    <definedName name="IQR1AY16" hidden="1">#REF!</definedName>
    <definedName name="IQR1V110" hidden="1">#REF!</definedName>
    <definedName name="IQR1V111" hidden="1">#REF!</definedName>
    <definedName name="IQR1V127" hidden="1">#REF!</definedName>
    <definedName name="IQR1V128" hidden="1">#REF!</definedName>
    <definedName name="IQR1W127" hidden="1">#REF!</definedName>
    <definedName name="IQR1W128" hidden="1">#REF!</definedName>
    <definedName name="IQR1W85" hidden="1">#REF!</definedName>
    <definedName name="IQR1X85" hidden="1">#REF!</definedName>
    <definedName name="IQR202AD127" hidden="1">#REF!</definedName>
    <definedName name="IQR202AE127" hidden="1">#REF!</definedName>
    <definedName name="IQR202V110" hidden="1">#REF!</definedName>
    <definedName name="IQR202V127" hidden="1">#REF!</definedName>
    <definedName name="IQR202W127" hidden="1">#REF!</definedName>
    <definedName name="IQR20AD127" hidden="1">#REF!</definedName>
    <definedName name="IQR20AE127" hidden="1">#REF!</definedName>
    <definedName name="IQR20V110" hidden="1">#REF!</definedName>
    <definedName name="IQR20V127" hidden="1">#REF!</definedName>
    <definedName name="IQR20W127" hidden="1">#REF!</definedName>
    <definedName name="IQR212AD127" hidden="1">#REF!</definedName>
    <definedName name="IQR212AE127" hidden="1">#REF!</definedName>
    <definedName name="IQR212V110" hidden="1">#REF!</definedName>
    <definedName name="IQR212V127" hidden="1">#REF!</definedName>
    <definedName name="IQR212W127" hidden="1">#REF!</definedName>
    <definedName name="IQR21AD127" hidden="1">#REF!</definedName>
    <definedName name="IQR21AE127" hidden="1">#REF!</definedName>
    <definedName name="IQR21V110" hidden="1">#REF!</definedName>
    <definedName name="IQR21V127" hidden="1">#REF!</definedName>
    <definedName name="IQR21W127" hidden="1">#REF!</definedName>
    <definedName name="IQR22AD127" hidden="1">#REF!</definedName>
    <definedName name="IQR22AE127" hidden="1">#REF!</definedName>
    <definedName name="IQR22V110" hidden="1">#REF!</definedName>
    <definedName name="IQR22V127" hidden="1">#REF!</definedName>
    <definedName name="IQR22W127" hidden="1">#REF!</definedName>
    <definedName name="IQR232AD127" hidden="1">#REF!</definedName>
    <definedName name="IQR232AE127" hidden="1">#REF!</definedName>
    <definedName name="IQR232V110" hidden="1">#REF!</definedName>
    <definedName name="IQR232V127" hidden="1">#REF!</definedName>
    <definedName name="IQR232W127" hidden="1">#REF!</definedName>
    <definedName name="IQR23AD127" hidden="1">#REF!</definedName>
    <definedName name="IQR23AE127" hidden="1">#REF!</definedName>
    <definedName name="IQR23V110" hidden="1">#REF!</definedName>
    <definedName name="IQR23V127" hidden="1">#REF!</definedName>
    <definedName name="IQR23W127" hidden="1">#REF!</definedName>
    <definedName name="IQR24AD127" hidden="1">#REF!</definedName>
    <definedName name="IQR24AE127" hidden="1">#REF!</definedName>
    <definedName name="IQR24V110" hidden="1">#REF!</definedName>
    <definedName name="IQR24V127" hidden="1">#REF!</definedName>
    <definedName name="IQR24W127" hidden="1">#REF!</definedName>
    <definedName name="IQR2AD127" hidden="1">#REF!</definedName>
    <definedName name="IQR2AD128" hidden="1">#REF!</definedName>
    <definedName name="IQR2AE127" hidden="1">#REF!</definedName>
    <definedName name="IQR2AE128" hidden="1">#REF!</definedName>
    <definedName name="IQR2AP16" hidden="1">#REF!</definedName>
    <definedName name="IQR2AQ16" hidden="1">#REF!</definedName>
    <definedName name="IQR2AX16" hidden="1">#REF!</definedName>
    <definedName name="IQR2AY16" hidden="1">#REF!</definedName>
    <definedName name="IQR2V110" hidden="1">#REF!</definedName>
    <definedName name="IQR2V111" hidden="1">#REF!</definedName>
    <definedName name="IQR2V127" hidden="1">#REF!</definedName>
    <definedName name="IQR2V128" hidden="1">#REF!</definedName>
    <definedName name="IQR2W127" hidden="1">#REF!</definedName>
    <definedName name="IQR2W128" hidden="1">#REF!</definedName>
    <definedName name="IQR2X85" hidden="1">#REF!</definedName>
    <definedName name="IQR32AD127" hidden="1">#REF!</definedName>
    <definedName name="IQR32AE127" hidden="1">#REF!</definedName>
    <definedName name="IQR32V110" hidden="1">#REF!</definedName>
    <definedName name="IQR32V127" hidden="1">#REF!</definedName>
    <definedName name="IQR32W127" hidden="1">#REF!</definedName>
    <definedName name="IQR3AD127" hidden="1">#REF!</definedName>
    <definedName name="IQR3AD128" hidden="1">#REF!</definedName>
    <definedName name="IQR3AE127" hidden="1">#REF!</definedName>
    <definedName name="IQR3AE128" hidden="1">#REF!</definedName>
    <definedName name="IQR3AP16" hidden="1">#REF!</definedName>
    <definedName name="IQR3AQ16" hidden="1">#REF!</definedName>
    <definedName name="IQR3AX16" hidden="1">#REF!</definedName>
    <definedName name="IQR3AY16" hidden="1">#REF!</definedName>
    <definedName name="IQR3V110" hidden="1">#REF!</definedName>
    <definedName name="IQR3V111" hidden="1">#REF!</definedName>
    <definedName name="IQR3V127" hidden="1">#REF!</definedName>
    <definedName name="IQR3V128" hidden="1">#REF!</definedName>
    <definedName name="IQR3W127" hidden="1">#REF!</definedName>
    <definedName name="IQR3W128" hidden="1">#REF!</definedName>
    <definedName name="IQR3X85" hidden="1">#REF!</definedName>
    <definedName name="IQR42AD127" hidden="1">#REF!</definedName>
    <definedName name="IQR42AE127" hidden="1">#REF!</definedName>
    <definedName name="IQR42V110" hidden="1">#REF!</definedName>
    <definedName name="IQR42V127" hidden="1">#REF!</definedName>
    <definedName name="IQR42W127" hidden="1">#REF!</definedName>
    <definedName name="IQR4AD127" hidden="1">#REF!</definedName>
    <definedName name="IQR4AD128" hidden="1">#REF!</definedName>
    <definedName name="IQR4AE127" hidden="1">#REF!</definedName>
    <definedName name="IQR4AE128" hidden="1">#REF!</definedName>
    <definedName name="IQR4AP16" hidden="1">#REF!</definedName>
    <definedName name="IQR4AQ16" hidden="1">#REF!</definedName>
    <definedName name="IQR4AX16" hidden="1">#REF!</definedName>
    <definedName name="IQR4AY16" hidden="1">#REF!</definedName>
    <definedName name="IQR4V110" hidden="1">#REF!</definedName>
    <definedName name="IQR4V111" hidden="1">#REF!</definedName>
    <definedName name="IQR4V127" hidden="1">#REF!</definedName>
    <definedName name="IQR4V128" hidden="1">#REF!</definedName>
    <definedName name="IQR4W127" hidden="1">#REF!</definedName>
    <definedName name="IQR4W128" hidden="1">#REF!</definedName>
    <definedName name="IQR4X85" hidden="1">#REF!</definedName>
    <definedName name="IQR52AD127" hidden="1">#REF!</definedName>
    <definedName name="IQR52AE127" hidden="1">#REF!</definedName>
    <definedName name="IQR52V110" hidden="1">#REF!</definedName>
    <definedName name="IQR52V127" hidden="1">#REF!</definedName>
    <definedName name="IQR52W127" hidden="1">#REF!</definedName>
    <definedName name="IQR5AD127" hidden="1">#REF!</definedName>
    <definedName name="IQR5AD128" hidden="1">#REF!</definedName>
    <definedName name="IQR5AE127" hidden="1">#REF!</definedName>
    <definedName name="IQR5AE128" hidden="1">#REF!</definedName>
    <definedName name="IQR5AP16" hidden="1">#REF!</definedName>
    <definedName name="IQR5AQ16" hidden="1">#REF!</definedName>
    <definedName name="IQR5AX16" hidden="1">#REF!</definedName>
    <definedName name="IQR5AY16" hidden="1">#REF!</definedName>
    <definedName name="IQR5V110" hidden="1">#REF!</definedName>
    <definedName name="IQR5V111" hidden="1">#REF!</definedName>
    <definedName name="IQR5V127" hidden="1">#REF!</definedName>
    <definedName name="IQR5V128" hidden="1">#REF!</definedName>
    <definedName name="IQR5W127" hidden="1">#REF!</definedName>
    <definedName name="IQR5W128" hidden="1">#REF!</definedName>
    <definedName name="IQR5X85" hidden="1">#REF!</definedName>
    <definedName name="IQR62AD127" hidden="1">#REF!</definedName>
    <definedName name="IQR62AE127" hidden="1">#REF!</definedName>
    <definedName name="IQR62V110" hidden="1">#REF!</definedName>
    <definedName name="IQR62V127" hidden="1">#REF!</definedName>
    <definedName name="IQR62W127" hidden="1">#REF!</definedName>
    <definedName name="IQR6AD127" hidden="1">#REF!</definedName>
    <definedName name="IQR6AD128" hidden="1">#REF!</definedName>
    <definedName name="IQR6AE127" hidden="1">#REF!</definedName>
    <definedName name="IQR6AE128" hidden="1">#REF!</definedName>
    <definedName name="IQR6AP16" hidden="1">#REF!</definedName>
    <definedName name="IQR6AQ16" hidden="1">#REF!</definedName>
    <definedName name="IQR6AX16" hidden="1">#REF!</definedName>
    <definedName name="IQR6AY16" hidden="1">#REF!</definedName>
    <definedName name="IQR6V110" hidden="1">#REF!</definedName>
    <definedName name="IQR6V111" hidden="1">#REF!</definedName>
    <definedName name="IQR6V127" hidden="1">#REF!</definedName>
    <definedName name="IQR6V128" hidden="1">#REF!</definedName>
    <definedName name="IQR6W127" hidden="1">#REF!</definedName>
    <definedName name="IQR6W128" hidden="1">#REF!</definedName>
    <definedName name="IQR6X85" hidden="1">#REF!</definedName>
    <definedName name="IQR7AD127" hidden="1">#REF!</definedName>
    <definedName name="IQR7AD128" hidden="1">#REF!</definedName>
    <definedName name="IQR7AE127" hidden="1">#REF!</definedName>
    <definedName name="IQR7AE128" hidden="1">#REF!</definedName>
    <definedName name="IQR7AP16" hidden="1">#REF!</definedName>
    <definedName name="IQR7AQ16" hidden="1">#REF!</definedName>
    <definedName name="IQR7AX16" hidden="1">#REF!</definedName>
    <definedName name="IQR7AY16" hidden="1">#REF!</definedName>
    <definedName name="IQR7V110" hidden="1">#REF!</definedName>
    <definedName name="IQR7V111" hidden="1">#REF!</definedName>
    <definedName name="IQR7V127" hidden="1">#REF!</definedName>
    <definedName name="IQR7V128" hidden="1">#REF!</definedName>
    <definedName name="IQR7W127" hidden="1">#REF!</definedName>
    <definedName name="IQR7W128" hidden="1">#REF!</definedName>
    <definedName name="IQR7X85" hidden="1">#REF!</definedName>
    <definedName name="IQR8AD127" hidden="1">#REF!</definedName>
    <definedName name="IQR8AD128" hidden="1">#REF!</definedName>
    <definedName name="IQR8AE127" hidden="1">#REF!</definedName>
    <definedName name="IQR8AE128" hidden="1">#REF!</definedName>
    <definedName name="IQR8AP16" hidden="1">#REF!</definedName>
    <definedName name="IQR8AQ16" hidden="1">#REF!</definedName>
    <definedName name="IQR8AX16" hidden="1">#REF!</definedName>
    <definedName name="IQR8AY16" hidden="1">#REF!</definedName>
    <definedName name="IQR8V110" hidden="1">#REF!</definedName>
    <definedName name="IQR8V111" hidden="1">#REF!</definedName>
    <definedName name="IQR8V127" hidden="1">#REF!</definedName>
    <definedName name="IQR8V128" hidden="1">#REF!</definedName>
    <definedName name="IQR8W127" hidden="1">#REF!</definedName>
    <definedName name="IQR8W128" hidden="1">#REF!</definedName>
    <definedName name="IQR8X85" hidden="1">#REF!</definedName>
    <definedName name="IQR9AD127" hidden="1">#REF!</definedName>
    <definedName name="IQR9AE127" hidden="1">#REF!</definedName>
    <definedName name="IQR9AP16" hidden="1">#REF!</definedName>
    <definedName name="IQR9AQ16" hidden="1">#REF!</definedName>
    <definedName name="IQR9AX16" hidden="1">#REF!</definedName>
    <definedName name="IQR9AY16" hidden="1">#REF!</definedName>
    <definedName name="IQR9V110" hidden="1">#REF!</definedName>
    <definedName name="IQR9V127" hidden="1">#REF!</definedName>
    <definedName name="IQR9W127" hidden="1">#REF!</definedName>
    <definedName name="IQR9X85" hidden="1">#REF!</definedName>
    <definedName name="IQRA10" hidden="1">"$A$11:$A$262"</definedName>
    <definedName name="IQRA2AA8" hidden="1">#REF!</definedName>
    <definedName name="IQRA2AP1" hidden="1">#REF!</definedName>
    <definedName name="IQRA2AP16" hidden="1">#REF!</definedName>
    <definedName name="IQRA2AQ1" hidden="1">#REF!</definedName>
    <definedName name="IQRA2AQ16" hidden="1">#REF!</definedName>
    <definedName name="IQRA2AX1" hidden="1">#REF!</definedName>
    <definedName name="IQRA2AX16" hidden="1">#REF!</definedName>
    <definedName name="IQRA2AY1" hidden="1">#REF!</definedName>
    <definedName name="IQRA2AY16" hidden="1">#REF!</definedName>
    <definedName name="IQRA2B82" hidden="1">#REF!</definedName>
    <definedName name="IQRA2V82" hidden="1">#REF!</definedName>
    <definedName name="IQRA2W6" hidden="1">#REF!</definedName>
    <definedName name="IQRA2W8" hidden="1">#REF!</definedName>
    <definedName name="IQRA2W82" hidden="1">#REF!</definedName>
    <definedName name="IQRA2X10" hidden="1">#REF!</definedName>
    <definedName name="IQRA2X11" hidden="1">#REF!</definedName>
    <definedName name="IQRA2X12" hidden="1">#REF!</definedName>
    <definedName name="IQRA2X13" hidden="1">#REF!</definedName>
    <definedName name="IQRA2X14" hidden="1">#REF!</definedName>
    <definedName name="IQRA2X15" hidden="1">#REF!</definedName>
    <definedName name="IQRA2X16" hidden="1">#REF!</definedName>
    <definedName name="IQRA2X17" hidden="1">#REF!</definedName>
    <definedName name="IQRA2X18" hidden="1">#REF!</definedName>
    <definedName name="IQRA2X19" hidden="1">#REF!</definedName>
    <definedName name="IQRA2X20" hidden="1">#REF!</definedName>
    <definedName name="IQRA2X21" hidden="1">#REF!</definedName>
    <definedName name="IQRA2X23" hidden="1">#REF!</definedName>
    <definedName name="IQRA2X24" hidden="1">#REF!</definedName>
    <definedName name="IQRA2X25" hidden="1">#REF!</definedName>
    <definedName name="IQRA2X26" hidden="1">#REF!</definedName>
    <definedName name="IQRA2X6" hidden="1">#REF!</definedName>
    <definedName name="IQRA2X7" hidden="1">#REF!</definedName>
    <definedName name="IQRA2X8" hidden="1">#REF!</definedName>
    <definedName name="IQRA2X82" hidden="1">#REF!</definedName>
    <definedName name="IQRA2X83" hidden="1">#REF!</definedName>
    <definedName name="IQRA2X85" hidden="1">#REF!</definedName>
    <definedName name="IQRA2X9" hidden="1">#REF!</definedName>
    <definedName name="IQRA2Y8" hidden="1">#REF!</definedName>
    <definedName name="IQRA2Z8" hidden="1">#REF!</definedName>
    <definedName name="IQRA3" hidden="1">"$A$4:$A$23"</definedName>
    <definedName name="IQRA38" hidden="1">"$A$39:$A$48"</definedName>
    <definedName name="IQRA3AP1" hidden="1">#REF!</definedName>
    <definedName name="IQRA3AQ1" hidden="1">#REF!</definedName>
    <definedName name="IQRA3X82" hidden="1">#REF!</definedName>
    <definedName name="IQRA4AP1" hidden="1">#REF!</definedName>
    <definedName name="IQRA4AQ1" hidden="1">#REF!</definedName>
    <definedName name="IQRA4X82" hidden="1">#REF!</definedName>
    <definedName name="IQRA5" hidden="1">"$A$6:$A$20"</definedName>
    <definedName name="IQRA5AP1" hidden="1">#REF!</definedName>
    <definedName name="IQRA5AQ1" hidden="1">#REF!</definedName>
    <definedName name="IQRA5X82" hidden="1">#REF!</definedName>
    <definedName name="IQRA6" hidden="1">"$A$7:$A$21"</definedName>
    <definedName name="IQRA60" hidden="1">"$A$61:$A$75"</definedName>
    <definedName name="IQRA7" hidden="1">"$A$8:$A$21"</definedName>
    <definedName name="IQRA8" hidden="1">"$A$9:$A$19"</definedName>
    <definedName name="IQRAAP1" hidden="1">#REF!</definedName>
    <definedName name="IQRAAP16" hidden="1">#REF!</definedName>
    <definedName name="IQRAAP2" hidden="1">#REF!</definedName>
    <definedName name="IQRAAP3" hidden="1">#REF!</definedName>
    <definedName name="IQRAAP4" hidden="1">#REF!</definedName>
    <definedName name="IQRAAP5" hidden="1">#REF!</definedName>
    <definedName name="IQRAAP6" hidden="1">#REF!</definedName>
    <definedName name="IQRAAP7" hidden="1">#REF!</definedName>
    <definedName name="IQRAAP8" hidden="1">#REF!</definedName>
    <definedName name="IQRAAP9" hidden="1">#REF!</definedName>
    <definedName name="IQRAAQ1" hidden="1">#REF!</definedName>
    <definedName name="IQRAAQ16" hidden="1">#REF!</definedName>
    <definedName name="IQRAAQ2" hidden="1">#REF!</definedName>
    <definedName name="IQRAAQ3" hidden="1">#REF!</definedName>
    <definedName name="IQRAAQ4" hidden="1">#REF!</definedName>
    <definedName name="IQRAAQ5" hidden="1">#REF!</definedName>
    <definedName name="IQRAAQ6" hidden="1">#REF!</definedName>
    <definedName name="IQRAAQ7" hidden="1">#REF!</definedName>
    <definedName name="IQRAAQ8" hidden="1">#REF!</definedName>
    <definedName name="IQRAAQ9" hidden="1">#REF!</definedName>
    <definedName name="IQRAAX1" hidden="1">#REF!</definedName>
    <definedName name="IQRAAX16" hidden="1">#REF!</definedName>
    <definedName name="IQRAAX2" hidden="1">#REF!</definedName>
    <definedName name="IQRAAX3" hidden="1">#REF!</definedName>
    <definedName name="IQRAAX4" hidden="1">#REF!</definedName>
    <definedName name="IQRAAX5" hidden="1">#REF!</definedName>
    <definedName name="IQRAAX6" hidden="1">#REF!</definedName>
    <definedName name="IQRAAX7" hidden="1">#REF!</definedName>
    <definedName name="IQRAAX8" hidden="1">#REF!</definedName>
    <definedName name="IQRAAX9" hidden="1">#REF!</definedName>
    <definedName name="IQRAAY1" hidden="1">#REF!</definedName>
    <definedName name="IQRAAY16" hidden="1">#REF!</definedName>
    <definedName name="IQRAAY2" hidden="1">#REF!</definedName>
    <definedName name="IQRAAY3" hidden="1">#REF!</definedName>
    <definedName name="IQRAAY4" hidden="1">#REF!</definedName>
    <definedName name="IQRAAY5" hidden="1">#REF!</definedName>
    <definedName name="IQRAAY6" hidden="1">#REF!</definedName>
    <definedName name="IQRAAY7" hidden="1">#REF!</definedName>
    <definedName name="IQRAAY8" hidden="1">#REF!</definedName>
    <definedName name="IQRAAY9" hidden="1">#REF!</definedName>
    <definedName name="IQRAD17" hidden="1">"$AD$18:$AD$268"</definedName>
    <definedName name="IQRAecomS13" hidden="1">#REF!</definedName>
    <definedName name="IQRAF17" hidden="1">"$AF$18:$AF$269"</definedName>
    <definedName name="IQRAF53" hidden="1">"$AF$54:$AF$60"</definedName>
    <definedName name="IQRAF96" hidden="1">"$AF$97"</definedName>
    <definedName name="IQRAH53" hidden="1">"$AH$54:$AH$60"</definedName>
    <definedName name="IQRAH96" hidden="1">"$AH$97"</definedName>
    <definedName name="IQRAJ53" hidden="1">"$AJ$54:$AJ$58"</definedName>
    <definedName name="IQRAK53" hidden="1">"$AK$54:$AK$58"</definedName>
    <definedName name="IQRAK96" hidden="1">"$AK$97"</definedName>
    <definedName name="IQRAnalyseducours2C15" hidden="1">#REF!</definedName>
    <definedName name="IQRAnalyseducours2C18" hidden="1">#REF!</definedName>
    <definedName name="IQRAnalyseducours2C19" hidden="1">#REF!</definedName>
    <definedName name="IQRAnalyseducours2D15" hidden="1">#REF!</definedName>
    <definedName name="IQRAnalyseducours2D18" hidden="1">#REF!</definedName>
    <definedName name="IQRAnalyseducours2D19" hidden="1">#REF!</definedName>
    <definedName name="IQRAnalyseducours2E15" hidden="1">#REF!</definedName>
    <definedName name="IQRAnalyseducours2E18" hidden="1">#REF!</definedName>
    <definedName name="IQRAnalyseducours2E19" hidden="1">#REF!</definedName>
    <definedName name="IQRAnalyseducours2F19" hidden="1">#REF!</definedName>
    <definedName name="IQRAnalyseducours2I19" hidden="1">#REF!</definedName>
    <definedName name="IQRAnalyseducours2J20" hidden="1">#REF!</definedName>
    <definedName name="IQRAnalyseducours2K20" hidden="1">#REF!</definedName>
    <definedName name="IQRAnalyseducours2M20" hidden="1">#REF!</definedName>
    <definedName name="IQRAnalyseducoursAA59" hidden="1">#REF!</definedName>
    <definedName name="IQRAnalyseducoursAA60" hidden="1">#REF!</definedName>
    <definedName name="IQRAnalyseducoursAB59" hidden="1">#REF!</definedName>
    <definedName name="IQRAnalyseducoursAB60" hidden="1">#REF!</definedName>
    <definedName name="IQRAnalyseducoursAC56" hidden="1">#REF!</definedName>
    <definedName name="IQRAnalyseducoursAC57" hidden="1">#REF!</definedName>
    <definedName name="IQRAnalyseducoursAC58" hidden="1">#REF!</definedName>
    <definedName name="IQRAnalyseducoursAC59" hidden="1">#REF!</definedName>
    <definedName name="IQRAnalyseducoursAC60" hidden="1">#REF!</definedName>
    <definedName name="IQRAnalyseducoursAD56" hidden="1">#REF!</definedName>
    <definedName name="IQRAnalyseducoursAD57" hidden="1">#REF!</definedName>
    <definedName name="IQRAnalyseducoursAD58" hidden="1">#REF!</definedName>
    <definedName name="IQRAnalyseducoursAD59" hidden="1">#REF!</definedName>
    <definedName name="IQRAnalyseducoursAE56" hidden="1">#REF!</definedName>
    <definedName name="IQRAnalyseducoursAE57" hidden="1">#REF!</definedName>
    <definedName name="IQRAnalyseducoursAE58" hidden="1">#REF!</definedName>
    <definedName name="IQRAnalyseducoursAE59" hidden="1">#REF!</definedName>
    <definedName name="IQRAnalyseducoursAF59" hidden="1">#REF!</definedName>
    <definedName name="IQRAnalyseducoursAF60" hidden="1">#REF!</definedName>
    <definedName name="IQRAnalyseducoursAG59" hidden="1">#REF!</definedName>
    <definedName name="IQRAnalyseducoursAG60" hidden="1">#REF!</definedName>
    <definedName name="IQRAnalyseducoursAH59" hidden="1">#REF!</definedName>
    <definedName name="IQRAnalyseducoursAH60" hidden="1">#REF!</definedName>
    <definedName name="IQRAnalyseducoursAI59" hidden="1">#REF!</definedName>
    <definedName name="IQRAnalyseducoursAI60" hidden="1">#REF!</definedName>
    <definedName name="IQRAnalyseducoursAJ60" hidden="1">#REF!</definedName>
    <definedName name="IQRAnalyseducoursC49" hidden="1">#REF!</definedName>
    <definedName name="IQRAnalyseducoursD49" hidden="1">#REF!</definedName>
    <definedName name="IQRAnalyseducoursE49" hidden="1">#REF!</definedName>
    <definedName name="IQRAnalyseducoursH49" hidden="1">#REF!</definedName>
    <definedName name="IQRAnalyseducoursI49" hidden="1">#REF!</definedName>
    <definedName name="IQRAnalyseducoursJ49" hidden="1">#REF!</definedName>
    <definedName name="IQRAnalyseducoursK53" hidden="1">#REF!</definedName>
    <definedName name="IQRAnalyseducoursK56" hidden="1">#REF!</definedName>
    <definedName name="IQRAnalyseducoursK57" hidden="1">#REF!</definedName>
    <definedName name="IQRAnalyseducoursK58" hidden="1">#REF!</definedName>
    <definedName name="IQRAnalyseducoursK59" hidden="1">#REF!</definedName>
    <definedName name="IQRAnalyseducoursK60" hidden="1">#REF!</definedName>
    <definedName name="IQRAnalyseducoursL53" hidden="1">#REF!</definedName>
    <definedName name="IQRAnalyseducoursL56" hidden="1">#REF!</definedName>
    <definedName name="IQRAnalyseducoursL57" hidden="1">#REF!</definedName>
    <definedName name="IQRAnalyseducoursL58" hidden="1">#REF!</definedName>
    <definedName name="IQRAnalyseducoursL59" hidden="1">#REF!</definedName>
    <definedName name="IQRAnalyseducoursL60" hidden="1">#REF!</definedName>
    <definedName name="IQRAnalyseducoursM53" hidden="1">#REF!</definedName>
    <definedName name="IQRAnalyseducoursM56" hidden="1">#REF!</definedName>
    <definedName name="IQRAnalyseducoursM57" hidden="1">#REF!</definedName>
    <definedName name="IQRAnalyseducoursM58" hidden="1">#REF!</definedName>
    <definedName name="IQRAnalyseducoursM59" hidden="1">#REF!</definedName>
    <definedName name="IQRAnalyseducoursM60" hidden="1">#REF!</definedName>
    <definedName name="IQRAnalyseducoursN59" hidden="1">#REF!</definedName>
    <definedName name="IQRAnalyseducoursN60" hidden="1">#REF!</definedName>
    <definedName name="IQRAnalyseducoursO60" hidden="1">#REF!</definedName>
    <definedName name="IQRAnalyseducoursP56" hidden="1">#REF!</definedName>
    <definedName name="IQRAnalyseducoursQ56" hidden="1">#REF!</definedName>
    <definedName name="IQRAnalyseducoursQ57" hidden="1">#REF!</definedName>
    <definedName name="IQRAnalyseducoursQ58" hidden="1">#REF!</definedName>
    <definedName name="IQRAnalyseducoursQ59" hidden="1">#REF!</definedName>
    <definedName name="IQRAnalyseducoursR56" hidden="1">#REF!</definedName>
    <definedName name="IQRAnalyseducoursR57" hidden="1">#REF!</definedName>
    <definedName name="IQRAnalyseducoursR58" hidden="1">#REF!</definedName>
    <definedName name="IQRAnalyseducoursR59" hidden="1">#REF!</definedName>
    <definedName name="IQRAnalyseducoursR60" hidden="1">#REF!</definedName>
    <definedName name="IQRAnalyseducoursS56" hidden="1">#REF!</definedName>
    <definedName name="IQRAnalyseducoursS57" hidden="1">#REF!</definedName>
    <definedName name="IQRAnalyseducoursS58" hidden="1">#REF!</definedName>
    <definedName name="IQRAnalyseducoursS59" hidden="1">#REF!</definedName>
    <definedName name="IQRAnalyseducoursS60" hidden="1">#REF!</definedName>
    <definedName name="IQRAnalyseducoursT59" hidden="1">#REF!</definedName>
    <definedName name="IQRAnalyseducoursT60" hidden="1">#REF!</definedName>
    <definedName name="IQRAnalyseducoursU59" hidden="1">#REF!</definedName>
    <definedName name="IQRAnalyseducoursU60" hidden="1">#REF!</definedName>
    <definedName name="IQRAnalyseducoursV60" hidden="1">#REF!</definedName>
    <definedName name="IQRAnalyseducoursW56" hidden="1">#REF!</definedName>
    <definedName name="IQRAnalyseducoursW57" hidden="1">#REF!</definedName>
    <definedName name="IQRAnalyseducoursW58" hidden="1">#REF!</definedName>
    <definedName name="IQRAnalyseducoursW59" hidden="1">#REF!</definedName>
    <definedName name="IQRAnalyseducoursX56" hidden="1">#REF!</definedName>
    <definedName name="IQRAnalyseducoursX57" hidden="1">#REF!</definedName>
    <definedName name="IQRAnalyseducoursX58" hidden="1">#REF!</definedName>
    <definedName name="IQRAnalyseducoursX59" hidden="1">#REF!</definedName>
    <definedName name="IQRAnalyseducoursY56" hidden="1">#REF!</definedName>
    <definedName name="IQRAnalyseducoursY57" hidden="1">#REF!</definedName>
    <definedName name="IQRAnalyseducoursY58" hidden="1">#REF!</definedName>
    <definedName name="IQRAnalyseducoursY59" hidden="1">#REF!</definedName>
    <definedName name="IQRAnalyseducoursY60" hidden="1">#REF!</definedName>
    <definedName name="IQRAnalyseducoursZ59" hidden="1">#REF!</definedName>
    <definedName name="IQRAnalyseducoursZ60" hidden="1">#REF!</definedName>
    <definedName name="IQRArcadisM13" hidden="1">#REF!</definedName>
    <definedName name="IQRArcadisS13" hidden="1">#REF!</definedName>
    <definedName name="IQRAssumptionsC49" hidden="1">#REF!</definedName>
    <definedName name="IQRAT8" hidden="1">#REF!</definedName>
    <definedName name="IQRAU8" hidden="1">#REF!</definedName>
    <definedName name="IQRAX82" hidden="1">#REF!</definedName>
    <definedName name="IQRAX83" hidden="1">#REF!</definedName>
    <definedName name="IQRAX85" hidden="1">#REF!</definedName>
    <definedName name="IQRB1" hidden="1">"$B$2:$B$1023"</definedName>
    <definedName name="IQRB14" hidden="1">"$B$15:$B$518"</definedName>
    <definedName name="IQRB15" hidden="1">"$B$16:$B$17"</definedName>
    <definedName name="IQRB16" hidden="1">"$B$17:$B$520"</definedName>
    <definedName name="IQRB17" hidden="1">"$B$18:$B$22"</definedName>
    <definedName name="IQRB18" hidden="1">"$B$19:$B$23"</definedName>
    <definedName name="IQRB19" hidden="1">"$B$20:$B$24"</definedName>
    <definedName name="IQRB2" hidden="1">"$B$3:$B$64"</definedName>
    <definedName name="IQRB20" hidden="1">"$B$21:$B$25"</definedName>
    <definedName name="IQRB21" hidden="1">"$B$22:$B$26"</definedName>
    <definedName name="IQRB22" hidden="1">"$B$23:$B$27"</definedName>
    <definedName name="IQRB23" hidden="1">"$B$24:$B$28"</definedName>
    <definedName name="IQRB24" hidden="1">"$B$25:$B$29"</definedName>
    <definedName name="IQRB2AP1" hidden="1">#REF!</definedName>
    <definedName name="IQRB2AQ1" hidden="1">#REF!</definedName>
    <definedName name="IQRB2AX1" hidden="1">#REF!</definedName>
    <definedName name="IQRB2AY1" hidden="1">#REF!</definedName>
    <definedName name="IQRB2X83" hidden="1">#REF!</definedName>
    <definedName name="IQRB32" hidden="1">"$B$33:$B$37"</definedName>
    <definedName name="IQRB33" hidden="1">"$B$34:$B$38"</definedName>
    <definedName name="IQRB34" hidden="1">"$B$35:$B$39"</definedName>
    <definedName name="IQRB38" hidden="1">"$B$39:$B$48"</definedName>
    <definedName name="IQRB39" hidden="1">"$B$40:$B$61"</definedName>
    <definedName name="IQRB5" hidden="1">"$B$6:$B$20"</definedName>
    <definedName name="IQRB6" hidden="1">"$B$7:$B$21"</definedName>
    <definedName name="IQRB8" hidden="1">"$B$9:$B$19"</definedName>
    <definedName name="IQRBAP1" hidden="1">#REF!</definedName>
    <definedName name="IQRBAP16" hidden="1">#REF!</definedName>
    <definedName name="IQRBAQ1" hidden="1">#REF!</definedName>
    <definedName name="IQRBAQ16" hidden="1">#REF!</definedName>
    <definedName name="IQRBAX1" hidden="1">#REF!</definedName>
    <definedName name="IQRBAX16" hidden="1">#REF!</definedName>
    <definedName name="IQRBAY1" hidden="1">#REF!</definedName>
    <definedName name="IQRBAY16" hidden="1">#REF!</definedName>
    <definedName name="IQRBB17" hidden="1">"$BB$18:$BB$1299"</definedName>
    <definedName name="IQRBB40" hidden="1">"$BB$41:$BB$45"</definedName>
    <definedName name="IQRBourse2B6" hidden="1">#REF!</definedName>
    <definedName name="IQRBourseB6" hidden="1">#REF!</definedName>
    <definedName name="IQRBourseC6" hidden="1">#REF!</definedName>
    <definedName name="IQRBourseD6" hidden="1">#REF!</definedName>
    <definedName name="IQRBX85" hidden="1">#REF!</definedName>
    <definedName name="IQRC14" hidden="1">"$C$15:$C$119"</definedName>
    <definedName name="IQRC15" hidden="1">"$C$16:$C$20"</definedName>
    <definedName name="IQRC24" hidden="1">"$C$25:$C$29"</definedName>
    <definedName name="IQRC30" hidden="1">"$C$31:$C$50"</definedName>
    <definedName name="IQRC32" hidden="1">"$C$33:$C$52"</definedName>
    <definedName name="IQRC5" hidden="1">"$C$6:$C$20"</definedName>
    <definedName name="IQRC6" hidden="1">"$C$7:$C$21"</definedName>
    <definedName name="IQRC60" hidden="1">"$C$61:$C$69"</definedName>
    <definedName name="IQRC8" hidden="1">"$C$9:$C$19"</definedName>
    <definedName name="IQRCAP16" hidden="1">#REF!</definedName>
    <definedName name="IQRCAQ16" hidden="1">#REF!</definedName>
    <definedName name="IQRCAX16" hidden="1">#REF!</definedName>
    <definedName name="IQRCAY16" hidden="1">#REF!</definedName>
    <definedName name="IQRCMPVjdb2C54" hidden="1">#REF!</definedName>
    <definedName name="IQRCMPVjdb2G54" hidden="1">#REF!</definedName>
    <definedName name="IQRCMPVjdb2K54" hidden="1">#REF!</definedName>
    <definedName name="IQRCMPVjdb2O54" hidden="1">#REF!</definedName>
    <definedName name="IQRCMPVjdnC54" hidden="1">#REF!</definedName>
    <definedName name="IQRCMPVjdnG54" hidden="1">#REF!</definedName>
    <definedName name="IQRCMPVjdnK54" hidden="1">#REF!</definedName>
    <definedName name="IQRCMPVjdnO54" hidden="1">#REF!</definedName>
    <definedName name="IQRCMPVMEDC54" hidden="1">#REF!</definedName>
    <definedName name="IQRCMPVMEDG54" hidden="1">#REF!</definedName>
    <definedName name="IQRCMPVMEDK54" hidden="1">#REF!</definedName>
    <definedName name="IQRCMPVMEDO54" hidden="1">#REF!</definedName>
    <definedName name="IQRCMPVngociationC66" hidden="1">#REF!</definedName>
    <definedName name="IQRCMPVngociationG66" hidden="1">#REF!</definedName>
    <definedName name="IQRCMPVngociationK66" hidden="1">#REF!</definedName>
    <definedName name="IQRCMPVngociationO66" hidden="1">#REF!</definedName>
    <definedName name="IQRCompAA5" hidden="1">#REF!</definedName>
    <definedName name="IQRCompAB5" hidden="1">#REF!</definedName>
    <definedName name="IQRCompAC5" hidden="1">#REF!</definedName>
    <definedName name="IQRCompAD5" hidden="1">#REF!</definedName>
    <definedName name="IQRCompAE5" hidden="1">#REF!</definedName>
    <definedName name="IQRCompAF5" hidden="1">#REF!</definedName>
    <definedName name="IQRCompAG5" hidden="1">#REF!</definedName>
    <definedName name="IQRCompAH5" hidden="1">#REF!</definedName>
    <definedName name="IQRCompAI5" hidden="1">#REF!</definedName>
    <definedName name="IQRCompAJ5" hidden="1">#REF!</definedName>
    <definedName name="IQRCompAK5" hidden="1">#REF!</definedName>
    <definedName name="IQRCompAL5" hidden="1">#REF!</definedName>
    <definedName name="IQRCompAM5" hidden="1">#REF!</definedName>
    <definedName name="IQRCompAN5" hidden="1">#REF!</definedName>
    <definedName name="IQRCompaniesH12"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N12"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O5" hidden="1">#REF!</definedName>
    <definedName name="IQRCompAP5" hidden="1">#REF!</definedName>
    <definedName name="IQRCompAQ5" hidden="1">#REF!</definedName>
    <definedName name="IQRCompFAA5" hidden="1">#REF!</definedName>
    <definedName name="IQRCompFAB5" hidden="1">#REF!</definedName>
    <definedName name="IQRCompFAC5" hidden="1">#REF!</definedName>
    <definedName name="IQRCompFAF5" hidden="1">#REF!</definedName>
    <definedName name="IQRCompFAG5" hidden="1">#REF!</definedName>
    <definedName name="IQRCompFAH5" hidden="1">#REF!</definedName>
    <definedName name="IQRCompFAI5" hidden="1">#REF!</definedName>
    <definedName name="IQRCompFAJ5" hidden="1">#REF!</definedName>
    <definedName name="IQRCompFAK5" hidden="1">#REF!</definedName>
    <definedName name="IQRCompFAL5" hidden="1">#REF!</definedName>
    <definedName name="IQRCompFAM5" hidden="1">#REF!</definedName>
    <definedName name="IQRCompFAN5" hidden="1">#REF!</definedName>
    <definedName name="IQRCompFAO5" hidden="1">#REF!</definedName>
    <definedName name="IQRCompFAP5" hidden="1">#REF!</definedName>
    <definedName name="IQRCompFAQ5" hidden="1">#REF!</definedName>
    <definedName name="IQRCompFAR5" hidden="1">#REF!</definedName>
    <definedName name="IQRCompFAS5" hidden="1">#REF!</definedName>
    <definedName name="IQRCompFF5" hidden="1">#REF!</definedName>
    <definedName name="IQRCompFG5" hidden="1">#REF!</definedName>
    <definedName name="IQRCompFH5" hidden="1">#REF!</definedName>
    <definedName name="IQRCompFJ5" hidden="1">#REF!</definedName>
    <definedName name="IQRCompFK5" hidden="1">#REF!</definedName>
    <definedName name="IQRCompFL5" hidden="1">#REF!</definedName>
    <definedName name="IQRCompFM5" hidden="1">#REF!</definedName>
    <definedName name="IQRCompFN5" hidden="1">#REF!</definedName>
    <definedName name="IQRCompFO5" hidden="1">#REF!</definedName>
    <definedName name="IQRCompFP5" hidden="1">#REF!</definedName>
    <definedName name="IQRCompFQ5" hidden="1">#REF!</definedName>
    <definedName name="IQRCompFR5" hidden="1">#REF!</definedName>
    <definedName name="IQRCompFS5" hidden="1">#REF!</definedName>
    <definedName name="IQRCompFT5" hidden="1">#REF!</definedName>
    <definedName name="IQRCompFU5" hidden="1">#REF!</definedName>
    <definedName name="IQRCompFW5" hidden="1">#REF!</definedName>
    <definedName name="IQRCompFX5" hidden="1">#REF!</definedName>
    <definedName name="IQRCompFY5" hidden="1">#REF!</definedName>
    <definedName name="IQRCompFZ5" hidden="1">#REF!</definedName>
    <definedName name="IQRCompJ5" hidden="1">#REF!</definedName>
    <definedName name="IQRCompL5" hidden="1">#REF!</definedName>
    <definedName name="IQRCompM5" hidden="1">#REF!</definedName>
    <definedName name="IQRCompN5" hidden="1">#REF!</definedName>
    <definedName name="IQRCompO5" hidden="1">#REF!</definedName>
    <definedName name="IQRCompP5" hidden="1">#REF!</definedName>
    <definedName name="IQRCompQ5" hidden="1">#REF!</definedName>
    <definedName name="IQRCompR5" hidden="1">#REF!</definedName>
    <definedName name="IQRCompRAA5" hidden="1">#REF!</definedName>
    <definedName name="IQRCompRAB5" hidden="1">#REF!</definedName>
    <definedName name="IQRCompRAC5" hidden="1">#REF!</definedName>
    <definedName name="IQRCompRAF5" hidden="1">#REF!</definedName>
    <definedName name="IQRCompRAG5" hidden="1">#REF!</definedName>
    <definedName name="IQRCompRAH5" hidden="1">#REF!</definedName>
    <definedName name="IQRCompRAI5" hidden="1">#REF!</definedName>
    <definedName name="IQRCompRAJ5" hidden="1">#REF!</definedName>
    <definedName name="IQRCompRAK5" hidden="1">#REF!</definedName>
    <definedName name="IQRCompRAL5" hidden="1">#REF!</definedName>
    <definedName name="IQRCompRAM5" hidden="1">#REF!</definedName>
    <definedName name="IQRCompRAN5" hidden="1">#REF!</definedName>
    <definedName name="IQRCompRAO5" hidden="1">#REF!</definedName>
    <definedName name="IQRCompRAP5" hidden="1">#REF!</definedName>
    <definedName name="IQRCompRAQ5" hidden="1">#REF!</definedName>
    <definedName name="IQRCompRAR5" hidden="1">#REF!</definedName>
    <definedName name="IQRCompRAS5" hidden="1">#REF!</definedName>
    <definedName name="IQRCompRF5" hidden="1">#REF!</definedName>
    <definedName name="IQRCompRG5" hidden="1">#REF!</definedName>
    <definedName name="IQRCompRH5" hidden="1">#REF!</definedName>
    <definedName name="IQRCompRJ5" hidden="1">#REF!</definedName>
    <definedName name="IQRCompRK5" hidden="1">#REF!</definedName>
    <definedName name="IQRCompRL5" hidden="1">#REF!</definedName>
    <definedName name="IQRCompRM5" hidden="1">#REF!</definedName>
    <definedName name="IQRCompRN5" hidden="1">#REF!</definedName>
    <definedName name="IQRCompRO5" hidden="1">#REF!</definedName>
    <definedName name="IQRCompRP5" hidden="1">#REF!</definedName>
    <definedName name="IQRCompRQ5" hidden="1">#REF!</definedName>
    <definedName name="IQRCompRR5" hidden="1">#REF!</definedName>
    <definedName name="IQRCompRS5" hidden="1">#REF!</definedName>
    <definedName name="IQRCompRT5" hidden="1">#REF!</definedName>
    <definedName name="IQRCompRU5" hidden="1">#REF!</definedName>
    <definedName name="IQRCompRW5" hidden="1">#REF!</definedName>
    <definedName name="IQRCompRX5" hidden="1">#REF!</definedName>
    <definedName name="IQRCompRY5" hidden="1">#REF!</definedName>
    <definedName name="IQRCompRZ5" hidden="1">#REF!</definedName>
    <definedName name="IQRCompS5" hidden="1">#REF!</definedName>
    <definedName name="IQRCompT5" hidden="1">#REF!</definedName>
    <definedName name="IQRCompU5" hidden="1">#REF!</definedName>
    <definedName name="IQRCompV5" hidden="1">#REF!</definedName>
    <definedName name="IQRCompW5" hidden="1">#REF!</definedName>
    <definedName name="IQRCompX5" hidden="1">#REF!</definedName>
    <definedName name="IQRCompY5" hidden="1">#REF!</definedName>
    <definedName name="IQRCompZ5" hidden="1">#REF!</definedName>
    <definedName name="IQRCX85" hidden="1">#REF!</definedName>
    <definedName name="IQRD14" hidden="1">"$D$15:$D$38"</definedName>
    <definedName name="IQRD15" hidden="1">"$D$16:$D$17"</definedName>
    <definedName name="IQRD2" hidden="1">"$D$3:$D$126"</definedName>
    <definedName name="IQRD3" hidden="1">"$D$4:$D$23"</definedName>
    <definedName name="IQRD39" hidden="1">"$D$40:$D$61"</definedName>
    <definedName name="IQRD4" hidden="1">"$D$5:$D$1262"</definedName>
    <definedName name="IQRD5" hidden="1">"$D$6:$D$10"</definedName>
    <definedName name="IQRD6" hidden="1">"$D$7:$D$10"</definedName>
    <definedName name="IQRD60" hidden="1">"$D$61:$D$69"</definedName>
    <definedName name="IQRD8" hidden="1">"$D$9:$D$19"</definedName>
    <definedName name="IQRD9" hidden="1">"$E$9:$F$9"</definedName>
    <definedName name="IQRDAP16" hidden="1">#REF!</definedName>
    <definedName name="IQRDAQ16" hidden="1">#REF!</definedName>
    <definedName name="IQRDAX16" hidden="1">#REF!</definedName>
    <definedName name="IQRDAY16" hidden="1">#REF!</definedName>
    <definedName name="IQRDiv2C11" hidden="1">#REF!</definedName>
    <definedName name="IQRDiv2D11" hidden="1">#REF!</definedName>
    <definedName name="IQRDiv2E11" hidden="1">#REF!</definedName>
    <definedName name="IQRDiv2F11" hidden="1">#REF!</definedName>
    <definedName name="IQRDiv2G11" hidden="1">#REF!</definedName>
    <definedName name="IQRDX85" hidden="1">#REF!</definedName>
    <definedName name="IQRE2AP16" hidden="1">#REF!</definedName>
    <definedName name="IQRE2AQ16" hidden="1">#REF!</definedName>
    <definedName name="IQRE2AX16" hidden="1">#REF!</definedName>
    <definedName name="IQRE2AY16" hidden="1">#REF!</definedName>
    <definedName name="IQRE2X85" hidden="1">#REF!</definedName>
    <definedName name="IQRE6" hidden="1">"$E$7:$E$739"</definedName>
    <definedName name="IQRE8" hidden="1">"$E$9:$E$19"</definedName>
    <definedName name="IQREAP16" hidden="1">#REF!</definedName>
    <definedName name="IQREAQ16" hidden="1">#REF!</definedName>
    <definedName name="IQREAX16" hidden="1">#REF!</definedName>
    <definedName name="IQREAY16" hidden="1">#REF!</definedName>
    <definedName name="IQREUC20" hidden="1">#REF!</definedName>
    <definedName name="IQREVEBITDAtrailingM5" hidden="1">#REF!</definedName>
    <definedName name="IQREVEBITDAtrailingN5" hidden="1">#REF!</definedName>
    <definedName name="IQREVEBITDAtrailingO5" hidden="1">#REF!</definedName>
    <definedName name="IQREVEBITDAtrailingP5" hidden="1">#REF!</definedName>
    <definedName name="IQREVEBITDAtrailingQ5" hidden="1">#REF!</definedName>
    <definedName name="IQREVEBITDAtrailingR5" hidden="1">#REF!</definedName>
    <definedName name="IQREVEBITDAtrailingS5" hidden="1">#REF!</definedName>
    <definedName name="IQREVEBITDAtrailingT5" hidden="1">#REF!</definedName>
    <definedName name="IQREVEBITDAtrailingU5" hidden="1">#REF!</definedName>
    <definedName name="IQREX85" hidden="1">#REF!</definedName>
    <definedName name="IQRF23" hidden="1">"$F$24:$F$87"</definedName>
    <definedName name="IQRF30" hidden="1">"$F$31:$F$120"</definedName>
    <definedName name="IQRF34" hidden="1">"$F$35:$F$126"</definedName>
    <definedName name="IQRF35" hidden="1">"$F$36:$F$124"</definedName>
    <definedName name="IQRF39" hidden="1">"$F$40:$F$61"</definedName>
    <definedName name="IQRF60" hidden="1">"$F$61:$F$70"</definedName>
    <definedName name="IQRFAP16" hidden="1">#REF!</definedName>
    <definedName name="IQRFAQ16" hidden="1">#REF!</definedName>
    <definedName name="IQRFAX16" hidden="1">#REF!</definedName>
    <definedName name="IQRFAY16" hidden="1">#REF!</definedName>
    <definedName name="IQRFeuil1C6" hidden="1">#REF!</definedName>
    <definedName name="IQRFeuil1C7" hidden="1">#REF!</definedName>
    <definedName name="IQRFeuil1C8" hidden="1">#REF!</definedName>
    <definedName name="IQRFeuil1I6" hidden="1">#REF!</definedName>
    <definedName name="IQRFeuil1J6" hidden="1">#REF!</definedName>
    <definedName name="IQRFeuil1K6" hidden="1">#REF!</definedName>
    <definedName name="IQRFeuil1L6" hidden="1">#REF!</definedName>
    <definedName name="IQRFeuil2AA5" hidden="1">#REF!</definedName>
    <definedName name="IQRFeuil2AB5" hidden="1">#REF!</definedName>
    <definedName name="IQRFeuil2AC5" hidden="1">#REF!</definedName>
    <definedName name="IQRFeuil2AD5" hidden="1">#REF!</definedName>
    <definedName name="IQRFeuil2AE5" hidden="1">#REF!</definedName>
    <definedName name="IQRFeuil2AF5" hidden="1">#REF!</definedName>
    <definedName name="IQRFeuil2AG5" hidden="1">#REF!</definedName>
    <definedName name="IQRFeuil2AH5" hidden="1">#REF!</definedName>
    <definedName name="IQRFeuil2AI5" hidden="1">#REF!</definedName>
    <definedName name="IQRFeuil2AJ5" hidden="1">#REF!</definedName>
    <definedName name="IQRFeuil2AK5" hidden="1">#REF!</definedName>
    <definedName name="IQRFeuil2AL5" hidden="1">#REF!</definedName>
    <definedName name="IQRFeuil2AM5" hidden="1">#REF!</definedName>
    <definedName name="IQRFeuil2AN5" hidden="1">#REF!</definedName>
    <definedName name="IQRFeuil2AO5" hidden="1">#REF!</definedName>
    <definedName name="IQRFeuil2AP5" hidden="1">#REF!</definedName>
    <definedName name="IQRFeuil2AQ5" hidden="1">#REF!</definedName>
    <definedName name="IQRFeuil2K5" hidden="1">#REF!</definedName>
    <definedName name="IQRFeuil2L5" hidden="1">#REF!</definedName>
    <definedName name="IQRFeuil2M5" hidden="1">#REF!</definedName>
    <definedName name="IQRFeuil2N5" hidden="1">#REF!</definedName>
    <definedName name="IQRFeuil2O5" hidden="1">#REF!</definedName>
    <definedName name="IQRFeuil2P5" hidden="1">#REF!</definedName>
    <definedName name="IQRFeuil2Q5" hidden="1">#REF!</definedName>
    <definedName name="IQRFeuil2R5" hidden="1">#REF!</definedName>
    <definedName name="IQRFeuil2S5" hidden="1">#REF!</definedName>
    <definedName name="IQRFeuil2T5" hidden="1">#REF!</definedName>
    <definedName name="IQRFeuil2U5" hidden="1">#REF!</definedName>
    <definedName name="IQRFeuil2V5" hidden="1">#REF!</definedName>
    <definedName name="IQRFeuil2W5" hidden="1">#REF!</definedName>
    <definedName name="IQRFeuil2X5" hidden="1">#REF!</definedName>
    <definedName name="IQRFeuil2Y5" hidden="1">#REF!</definedName>
    <definedName name="IQRFeuil2Z5" hidden="1">#REF!</definedName>
    <definedName name="IQRFX85" hidden="1">#REF!</definedName>
    <definedName name="IQRG2AP16" hidden="1">#REF!</definedName>
    <definedName name="IQRG2AQ16" hidden="1">#REF!</definedName>
    <definedName name="IQRG2AX16" hidden="1">#REF!</definedName>
    <definedName name="IQRG2AY16" hidden="1">#REF!</definedName>
    <definedName name="IQRG2X85" hidden="1">#REF!</definedName>
    <definedName name="IQRG37" hidden="1">"$G$38:$G$45"</definedName>
    <definedName name="IQRG60" hidden="1">"$G$61:$G$70"</definedName>
    <definedName name="IQRGAP16" hidden="1">#REF!</definedName>
    <definedName name="IQRGAQ16" hidden="1">#REF!</definedName>
    <definedName name="IQRGAX16" hidden="1">#REF!</definedName>
    <definedName name="IQRGAY16" hidden="1">#REF!</definedName>
    <definedName name="IQRGrontmijM13" hidden="1">#REF!</definedName>
    <definedName name="IQRGrontmijS13" hidden="1">#REF!</definedName>
    <definedName name="IQRGSKH20" hidden="1">#REF!</definedName>
    <definedName name="IQRGX85" hidden="1">#REF!</definedName>
    <definedName name="IQRH12" hidden="1">"$H$13"</definedName>
    <definedName name="IQRH14" hidden="1">"$H$15"</definedName>
    <definedName name="IQRH18" hidden="1">"$H$19"</definedName>
    <definedName name="IQRH28" hidden="1">"$H$29"</definedName>
    <definedName name="IQRH2AP16" hidden="1">#REF!</definedName>
    <definedName name="IQRH2AQ16" hidden="1">#REF!</definedName>
    <definedName name="IQRH2AX16" hidden="1">#REF!</definedName>
    <definedName name="IQRH2AY16" hidden="1">#REF!</definedName>
    <definedName name="IQRH2X85" hidden="1">#REF!</definedName>
    <definedName name="IQRH30" hidden="1">"$H$31"</definedName>
    <definedName name="IQRH33" hidden="1">"$H$34:$H$123"</definedName>
    <definedName name="IQRH59" hidden="1">"$H$60"</definedName>
    <definedName name="IQRH6" hidden="1">"$H$7:$H$112"</definedName>
    <definedName name="IQRH64" hidden="1">"$H$65"</definedName>
    <definedName name="IQRH8" hidden="1">"$H$9"</definedName>
    <definedName name="IQRHAP16" hidden="1">#REF!</definedName>
    <definedName name="IQRHAQ16" hidden="1">#REF!</definedName>
    <definedName name="IQRHAX16" hidden="1">#REF!</definedName>
    <definedName name="IQRHAY16" hidden="1">#REF!</definedName>
    <definedName name="IQRHX85" hidden="1">#REF!</definedName>
    <definedName name="IQRHyderconsultingM13" hidden="1">#REF!</definedName>
    <definedName name="IQRHyderconsultingS13" hidden="1">#REF!</definedName>
    <definedName name="IQRI10" hidden="1">"$I$11:$I$14"</definedName>
    <definedName name="IQRI2" hidden="1">"$I$3:$I$66"</definedName>
    <definedName name="IQRI39" hidden="1">"$I$40:$I$61"</definedName>
    <definedName name="IQRI47" hidden="1">"$I$48:$I$52"</definedName>
    <definedName name="IQRI6" hidden="1">"$I$7:$I$112"</definedName>
    <definedName name="IQRI60" hidden="1">"$I$61:$I$80"</definedName>
    <definedName name="IQRI8" hidden="1">"$I$9:$I$13"</definedName>
    <definedName name="IQRIAP16" hidden="1">#REF!</definedName>
    <definedName name="IQRIAQ16" hidden="1">#REF!</definedName>
    <definedName name="IQRIAX16" hidden="1">#REF!</definedName>
    <definedName name="IQRIAY16" hidden="1">#REF!</definedName>
    <definedName name="IQRIHSM13" hidden="1">#REF!</definedName>
    <definedName name="IQRIHSS13" hidden="1">#REF!</definedName>
    <definedName name="IQRIntertekM13" hidden="1">#REF!</definedName>
    <definedName name="IQRIntertekS13" hidden="1">#REF!</definedName>
    <definedName name="IQRIX85" hidden="1">#REF!</definedName>
    <definedName name="IQRJ3" hidden="1">"$J$4:$J$67"</definedName>
    <definedName name="IQRJ47" hidden="1">"$J$48:$J$52"</definedName>
    <definedName name="IQRJ59" hidden="1">"$J$60:$J$79"</definedName>
    <definedName name="IQRJ6" hidden="1">"$J$7:$J$112"</definedName>
    <definedName name="IQRJacobsS13" hidden="1">#REF!</definedName>
    <definedName name="IQRJAP16" hidden="1">#REF!</definedName>
    <definedName name="IQRJAQ16" hidden="1">#REF!</definedName>
    <definedName name="IQRJAX16" hidden="1">#REF!</definedName>
    <definedName name="IQRJAY16" hidden="1">#REF!</definedName>
    <definedName name="IQRJX85" hidden="1">#REF!</definedName>
    <definedName name="IQRK2AP16" hidden="1">#REF!</definedName>
    <definedName name="IQRK2AQ16" hidden="1">#REF!</definedName>
    <definedName name="IQRK2AX16" hidden="1">#REF!</definedName>
    <definedName name="IQRK2AY16" hidden="1">#REF!</definedName>
    <definedName name="IQRK2X85" hidden="1">#REF!</definedName>
    <definedName name="IQRKAP16" hidden="1">#REF!</definedName>
    <definedName name="IQRKAQ16" hidden="1">#REF!</definedName>
    <definedName name="IQRKAX16" hidden="1">#REF!</definedName>
    <definedName name="IQRKAY16" hidden="1">#REF!</definedName>
    <definedName name="IQRKBCM13" hidden="1">#REF!</definedName>
    <definedName name="IQRKBCS13" hidden="1">#REF!</definedName>
    <definedName name="IQRKX85" hidden="1">#REF!</definedName>
    <definedName name="IQRL16" hidden="1">"$L$17:$L$21"</definedName>
    <definedName name="IQRL2AP16" hidden="1">#REF!</definedName>
    <definedName name="IQRL2AQ16" hidden="1">#REF!</definedName>
    <definedName name="IQRL2AX16" hidden="1">#REF!</definedName>
    <definedName name="IQRL2AY16" hidden="1">#REF!</definedName>
    <definedName name="IQRL2X85" hidden="1">#REF!</definedName>
    <definedName name="IQRL39" hidden="1">"$L$40:$L$61"</definedName>
    <definedName name="IQRL59" hidden="1">"$L$60:$L$66"</definedName>
    <definedName name="IQRLAP16" hidden="1">#REF!</definedName>
    <definedName name="IQRLAQ16" hidden="1">#REF!</definedName>
    <definedName name="IQRLatchwaysM13" hidden="1">#REF!</definedName>
    <definedName name="IQRLatchwaysS13" hidden="1">#REF!</definedName>
    <definedName name="IQRLAX16" hidden="1">#REF!</definedName>
    <definedName name="IQRLAY16" hidden="1">#REF!</definedName>
    <definedName name="IQRListofdealsC7" hidden="1">#REF!</definedName>
    <definedName name="IQRListofdealsE7" hidden="1">#REF!</definedName>
    <definedName name="IQRLX85" hidden="1">#REF!</definedName>
    <definedName name="IQRM106" hidden="1">"$M$107:$M$357"</definedName>
    <definedName name="IQRM107" hidden="1">"$M$108:$M$358"</definedName>
    <definedName name="IQRM108" hidden="1">"$M$109:$M$359"</definedName>
    <definedName name="IQRM109" hidden="1">"$M$110:$M$359"</definedName>
    <definedName name="IQRM110" hidden="1">"$M$111:$M$361"</definedName>
    <definedName name="IQRM111" hidden="1">"$M$112:$M$362"</definedName>
    <definedName name="IQRM112" hidden="1">"$M$113:$M$363"</definedName>
    <definedName name="IQRM113" hidden="1">"$M$114:$M$364"</definedName>
    <definedName name="IQRM15" hidden="1">"$M$16"</definedName>
    <definedName name="IQRM16" hidden="1">"$N$16"</definedName>
    <definedName name="IQRM17" hidden="1">"$M$18:$M$22"</definedName>
    <definedName name="IQRM2AP16" hidden="1">#REF!</definedName>
    <definedName name="IQRM2AQ16" hidden="1">#REF!</definedName>
    <definedName name="IQRM2AX16" hidden="1">#REF!</definedName>
    <definedName name="IQRM2AY16" hidden="1">#REF!</definedName>
    <definedName name="IQRM2X85" hidden="1">#REF!</definedName>
    <definedName name="IQRM39" hidden="1">"$M$40:$M$61"</definedName>
    <definedName name="IQRM59" hidden="1">"$M$60:$M$66"</definedName>
    <definedName name="IQRMAP16" hidden="1">#REF!</definedName>
    <definedName name="IQRMAQ16" hidden="1">#REF!</definedName>
    <definedName name="IQRMAX16" hidden="1">#REF!</definedName>
    <definedName name="IQRMAY16" hidden="1">#REF!</definedName>
    <definedName name="IQRMSASafetyM13" hidden="1">#REF!</definedName>
    <definedName name="IQRMSASafetyS13" hidden="1">#REF!</definedName>
    <definedName name="IQRMultiplesbourB31" hidden="1">#REF!</definedName>
    <definedName name="IQRMultiplesbourC31" hidden="1">#REF!</definedName>
    <definedName name="IQRMultiplesD7" hidden="1">#REF!</definedName>
    <definedName name="IQRN33" hidden="1">"$N$34:$N$123"</definedName>
    <definedName name="IQRN34" hidden="1">"$N$35:$N$36"</definedName>
    <definedName name="IQRN35" hidden="1">"$N$36:$N$124"</definedName>
    <definedName name="IQRNAP16" hidden="1">#REF!</definedName>
    <definedName name="IQRNAQ16" hidden="1">#REF!</definedName>
    <definedName name="IQRNAX16" hidden="1">#REF!</definedName>
    <definedName name="IQRNAY16" hidden="1">#REF!</definedName>
    <definedName name="IQRNVGNH20" hidden="1">#REF!</definedName>
    <definedName name="IQRNYSESYKH20" hidden="1">#REF!</definedName>
    <definedName name="IQRO39" hidden="1">"$O$40:$O$61"</definedName>
    <definedName name="IQRO59" hidden="1">"$O$60:$O$68"</definedName>
    <definedName name="IQROAP16" hidden="1">#REF!</definedName>
    <definedName name="IQROAQ16" hidden="1">#REF!</definedName>
    <definedName name="IQROAX16" hidden="1">#REF!</definedName>
    <definedName name="IQROAY16" hidden="1">#REF!</definedName>
    <definedName name="IQROranjewoudM13" hidden="1">#REF!</definedName>
    <definedName name="IQROranjewoudS13" hidden="1">#REF!</definedName>
    <definedName name="IQROX85" hidden="1">#REF!</definedName>
    <definedName name="IQRP39" hidden="1">"$P$40:$P$61"</definedName>
    <definedName name="IQRP59" hidden="1">"$P$60:$P$68"</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PoyryS13" hidden="1">#REF!</definedName>
    <definedName name="IQRPrimesC26" hidden="1">#REF!</definedName>
    <definedName name="IQRPrimesC37" hidden="1">#REF!</definedName>
    <definedName name="IQRPrimesC38" hidden="1">#REF!</definedName>
    <definedName name="IQRPrimesC46" hidden="1">#REF!</definedName>
    <definedName name="IQRPrimesG26" hidden="1">#REF!</definedName>
    <definedName name="IQRPrimesG37" hidden="1">#REF!</definedName>
    <definedName name="IQRPrimesG38" hidden="1">#REF!</definedName>
    <definedName name="IQRPrimesK26" hidden="1">#REF!</definedName>
    <definedName name="IQRPrimesK37" hidden="1">#REF!</definedName>
    <definedName name="IQRPrimesK38" hidden="1">#REF!</definedName>
    <definedName name="IQRPrimesO26" hidden="1">#REF!</definedName>
    <definedName name="IQRPrimesO37" hidden="1">#REF!</definedName>
    <definedName name="IQRPrimesO38" hidden="1">#REF!</definedName>
    <definedName name="IQRPSBBKK2C13" hidden="1">#REF!</definedName>
    <definedName name="IQRR5" hidden="1">"$R$6:$R$147"</definedName>
    <definedName name="IQRR59" hidden="1">"$R$60:$R$79"</definedName>
    <definedName name="IQRS59" hidden="1">"$S$60:$S$79"</definedName>
    <definedName name="IQRS6" hidden="1">"$S$7:$S$259"</definedName>
    <definedName name="IQRSNClavalinM13" hidden="1">#REF!</definedName>
    <definedName name="IQRSNClavalinS13" hidden="1">#REF!</definedName>
    <definedName name="IQRSPPAA52" hidden="1">#REF!</definedName>
    <definedName name="IQRSPPAA54" hidden="1">#REF!</definedName>
    <definedName name="IQRSPPAA59" hidden="1">#REF!</definedName>
    <definedName name="IQRSPPAA60" hidden="1">#REF!</definedName>
    <definedName name="IQRSPPAB52" hidden="1">#REF!</definedName>
    <definedName name="IQRSPPAB54" hidden="1">#REF!</definedName>
    <definedName name="IQRSPPAB59" hidden="1">#REF!</definedName>
    <definedName name="IQRSPPAB60" hidden="1">#REF!</definedName>
    <definedName name="IQRSPPAC52" hidden="1">#REF!</definedName>
    <definedName name="IQRSPPAC59" hidden="1">#REF!</definedName>
    <definedName name="IQRSPPAC60" hidden="1">#REF!</definedName>
    <definedName name="IQRSPPAG59" hidden="1">#REF!</definedName>
    <definedName name="IQRSPPAG60" hidden="1">#REF!</definedName>
    <definedName name="IQRSPPAH59" hidden="1">#REF!</definedName>
    <definedName name="IQRSPPAH60" hidden="1">#REF!</definedName>
    <definedName name="IQRSPPAI59" hidden="1">#REF!</definedName>
    <definedName name="IQRSPPAI60" hidden="1">#REF!</definedName>
    <definedName name="IQRSPPAJ59" hidden="1">#REF!</definedName>
    <definedName name="IQRSPPAJ60" hidden="1">#REF!</definedName>
    <definedName name="IQRSPPC26" hidden="1">#REF!</definedName>
    <definedName name="IQRSPPC27" hidden="1">#REF!</definedName>
    <definedName name="IQRSPPC29" hidden="1">#REF!</definedName>
    <definedName name="IQRSPPC40" hidden="1">#REF!</definedName>
    <definedName name="IQRSPPC48" hidden="1">#REF!</definedName>
    <definedName name="IQRSPPC49" hidden="1">#REF!</definedName>
    <definedName name="IQRSPPC52" hidden="1">#REF!</definedName>
    <definedName name="IQRSPPC54" hidden="1">#REF!</definedName>
    <definedName name="IQRSPPC60" hidden="1">#REF!</definedName>
    <definedName name="IQRSPPD27" hidden="1">#REF!</definedName>
    <definedName name="IQRSPPD29" hidden="1">#REF!</definedName>
    <definedName name="IQRSPPD48" hidden="1">#REF!</definedName>
    <definedName name="IQRSPPD52" hidden="1">#REF!</definedName>
    <definedName name="IQRSPPD54" hidden="1">#REF!</definedName>
    <definedName name="IQRSPPD60" hidden="1">#REF!</definedName>
    <definedName name="IQRSPPE17" hidden="1">#REF!</definedName>
    <definedName name="IQRSPPE27" hidden="1">#REF!</definedName>
    <definedName name="IQRSPPE29" hidden="1">#REF!</definedName>
    <definedName name="IQRSPPE48" hidden="1">#REF!</definedName>
    <definedName name="IQRSPPE52" hidden="1">#REF!</definedName>
    <definedName name="IQRSPPE54" hidden="1">#REF!</definedName>
    <definedName name="IQRSPPE60" hidden="1">#REF!</definedName>
    <definedName name="IQRSPPF52" hidden="1">#REF!</definedName>
    <definedName name="IQRSPPF54" hidden="1">#REF!</definedName>
    <definedName name="IQRSPPF60" hidden="1">#REF!</definedName>
    <definedName name="IQRSPPG26" hidden="1">#REF!</definedName>
    <definedName name="IQRSPPG27" hidden="1">#REF!</definedName>
    <definedName name="IQRSPPG60" hidden="1">#REF!</definedName>
    <definedName name="IQRSPPH27" hidden="1">#REF!</definedName>
    <definedName name="IQRSPPI27" hidden="1">#REF!</definedName>
    <definedName name="IQRSPPJ60" hidden="1">#REF!</definedName>
    <definedName name="IQRSPPK154" hidden="1">#REF!</definedName>
    <definedName name="IQRSPPK26" hidden="1">#REF!</definedName>
    <definedName name="IQRSPPK27" hidden="1">#REF!</definedName>
    <definedName name="IQRSPPK52" hidden="1">#REF!</definedName>
    <definedName name="IQRSPPK54" hidden="1">#REF!</definedName>
    <definedName name="IQRSPPK60" hidden="1">#REF!</definedName>
    <definedName name="IQRSPPL148" hidden="1">#REF!</definedName>
    <definedName name="IQRSPPL27" hidden="1">#REF!</definedName>
    <definedName name="IQRSPPL52" hidden="1">#REF!</definedName>
    <definedName name="IQRSPPL54" hidden="1">#REF!</definedName>
    <definedName name="IQRSPPL59" hidden="1">#REF!</definedName>
    <definedName name="IQRSPPL60" hidden="1">#REF!</definedName>
    <definedName name="IQRSPPM27" hidden="1">#REF!</definedName>
    <definedName name="IQRSPPM52" hidden="1">#REF!</definedName>
    <definedName name="IQRSPPM54" hidden="1">#REF!</definedName>
    <definedName name="IQRSPPM59" hidden="1">#REF!</definedName>
    <definedName name="IQRSPPM60" hidden="1">#REF!</definedName>
    <definedName name="IQRSPPN52" hidden="1">#REF!</definedName>
    <definedName name="IQRSPPN54" hidden="1">#REF!</definedName>
    <definedName name="IQRSPPN59" hidden="1">#REF!</definedName>
    <definedName name="IQRSPPN60" hidden="1">#REF!</definedName>
    <definedName name="IQRSPPO26" hidden="1">#REF!</definedName>
    <definedName name="IQRSPPO27" hidden="1">#REF!</definedName>
    <definedName name="IQRSPPO52" hidden="1">#REF!</definedName>
    <definedName name="IQRSPPO59" hidden="1">#REF!</definedName>
    <definedName name="IQRSPPO60" hidden="1">#REF!</definedName>
    <definedName name="IQRSPPP154" hidden="1">#REF!</definedName>
    <definedName name="IQRSPPP27" hidden="1">#REF!</definedName>
    <definedName name="IQRSPPQ27" hidden="1">#REF!</definedName>
    <definedName name="IQRSPPQ60" hidden="1">#REF!</definedName>
    <definedName name="IQRSPPR52" hidden="1">#REF!</definedName>
    <definedName name="IQRSPPR54" hidden="1">#REF!</definedName>
    <definedName name="IQRSPPR60" hidden="1">#REF!</definedName>
    <definedName name="IQRSPPS52" hidden="1">#REF!</definedName>
    <definedName name="IQRSPPS54" hidden="1">#REF!</definedName>
    <definedName name="IQRSPPS59" hidden="1">#REF!</definedName>
    <definedName name="IQRSPPS60" hidden="1">#REF!</definedName>
    <definedName name="IQRSPPT52" hidden="1">#REF!</definedName>
    <definedName name="IQRSPPT54" hidden="1">#REF!</definedName>
    <definedName name="IQRSPPT59" hidden="1">#REF!</definedName>
    <definedName name="IQRSPPT60" hidden="1">#REF!</definedName>
    <definedName name="IQRSPPU52" hidden="1">#REF!</definedName>
    <definedName name="IQRSPPU54" hidden="1">#REF!</definedName>
    <definedName name="IQRSPPU59" hidden="1">#REF!</definedName>
    <definedName name="IQRSPPU60" hidden="1">#REF!</definedName>
    <definedName name="IQRSPPV52" hidden="1">#REF!</definedName>
    <definedName name="IQRSPPV59" hidden="1">#REF!</definedName>
    <definedName name="IQRSPPV60" hidden="1">#REF!</definedName>
    <definedName name="IQRSPPX60" hidden="1">#REF!</definedName>
    <definedName name="IQRSPPY52" hidden="1">#REF!</definedName>
    <definedName name="IQRSPPY54" hidden="1">#REF!</definedName>
    <definedName name="IQRSPPY60" hidden="1">#REF!</definedName>
    <definedName name="IQRSPPZ52" hidden="1">#REF!</definedName>
    <definedName name="IQRSPPZ54" hidden="1">#REF!</definedName>
    <definedName name="IQRSPPZ59" hidden="1">#REF!</definedName>
    <definedName name="IQRSPPZ60" hidden="1">#REF!</definedName>
    <definedName name="IQRSwecoS13" hidden="1">#REF!</definedName>
    <definedName name="IQRTabC11" hidden="1">#REF!</definedName>
    <definedName name="IQRTabD11" hidden="1">#REF!</definedName>
    <definedName name="IQRTabE11" hidden="1">#REF!</definedName>
    <definedName name="IQRTabF11" hidden="1">#REF!</definedName>
    <definedName name="IQRTabG11" hidden="1">#REF!</definedName>
    <definedName name="IQRTAC20" hidden="1">#REF!</definedName>
    <definedName name="IQRTemplateM13" hidden="1">#REF!</definedName>
    <definedName name="IQRTemplateS13" hidden="1">#REF!</definedName>
    <definedName name="IQRTradingF47" hidden="1">#REF!</definedName>
    <definedName name="IQRTradingH33" hidden="1">#REF!</definedName>
    <definedName name="IQRTradingH35" hidden="1">#REF!</definedName>
    <definedName name="IQRU11" hidden="1">"$U$12:$U$264"</definedName>
    <definedName name="IQRU14" hidden="1">"$U$15:$U$266"</definedName>
    <definedName name="IQRU59" hidden="1">"$U$60:$U$68"</definedName>
    <definedName name="IQRURSM13" hidden="1">#REF!</definedName>
    <definedName name="IQRURSS13" hidden="1">#REF!</definedName>
    <definedName name="IQRUS2C20" hidden="1">#REF!</definedName>
    <definedName name="IQRV11" hidden="1">"$V$12:$V$264"</definedName>
    <definedName name="IQRV59" hidden="1">"$V$60:$V$68"</definedName>
    <definedName name="IQRValorisationK28" hidden="1">#REF!</definedName>
    <definedName name="IQRValorisationL28" hidden="1">#REF!</definedName>
    <definedName name="IQRValorisationL29" hidden="1">#REF!</definedName>
    <definedName name="IQRValorisationL34" hidden="1">#REF!</definedName>
    <definedName name="IQRValorisationL39" hidden="1">#REF!</definedName>
    <definedName name="IQRValorisationL44" hidden="1">#REF!</definedName>
    <definedName name="IQRValorisationL48" hidden="1">#REF!</definedName>
    <definedName name="IQRValorisationL51" hidden="1">#REF!</definedName>
    <definedName name="IQRValorisationL52" hidden="1">#REF!</definedName>
    <definedName name="IQRValorisationM28" hidden="1">#REF!</definedName>
    <definedName name="IQRValorisationM29" hidden="1">#REF!</definedName>
    <definedName name="IQRValorisationM34" hidden="1">#REF!</definedName>
    <definedName name="IQRValorisationM39" hidden="1">#REF!</definedName>
    <definedName name="IQRValorisationM44" hidden="1">#REF!</definedName>
    <definedName name="IQRValorisationM48" hidden="1">#REF!</definedName>
    <definedName name="IQRValorisationM51" hidden="1">#REF!</definedName>
    <definedName name="IQRValorisationM52" hidden="1">#REF!</definedName>
    <definedName name="IQRValorisationQ29" hidden="1">#REF!</definedName>
    <definedName name="IQRValorisationQ30" hidden="1">#REF!</definedName>
    <definedName name="IQRValorisationQ34" hidden="1">#REF!</definedName>
    <definedName name="IQRValorisationQ39" hidden="1">#REF!</definedName>
    <definedName name="IQRValorisationQ44" hidden="1">#REF!</definedName>
    <definedName name="IQRValorisationQ48" hidden="1">#REF!</definedName>
    <definedName name="IQRValorisationQ51" hidden="1">#REF!</definedName>
    <definedName name="IQRValorisationQ52" hidden="1">#REF!</definedName>
    <definedName name="IQRValorisationY6" hidden="1">#REF!</definedName>
    <definedName name="IQRValorisationZ6" hidden="1">#REF!</definedName>
    <definedName name="IQRVide2AP16" hidden="1">#REF!</definedName>
    <definedName name="IQRVide2AQ16" hidden="1">#REF!</definedName>
    <definedName name="IQRVide2AX16" hidden="1">#REF!</definedName>
    <definedName name="IQRVide2AY16" hidden="1">#REF!</definedName>
    <definedName name="IQRVide2X85" hidden="1">#REF!</definedName>
    <definedName name="IQRVideAP16" hidden="1">#REF!</definedName>
    <definedName name="IQRVideAQ16" hidden="1">#REF!</definedName>
    <definedName name="IQRVideAX16" hidden="1">#REF!</definedName>
    <definedName name="IQRVideAY16" hidden="1">#REF!</definedName>
    <definedName name="IQRVideX85" hidden="1">#REF!</definedName>
    <definedName name="IQRWatermanS13" hidden="1">#REF!</definedName>
    <definedName name="IQRWSAtkinsM13" hidden="1">#REF!</definedName>
    <definedName name="IQRWSAtkinsS13" hidden="1">#REF!</definedName>
    <definedName name="IQRWSPGlobalM13" hidden="1">#REF!</definedName>
    <definedName name="IQRWSPGlobalS13" hidden="1">#REF!</definedName>
    <definedName name="IQRWYGM13" hidden="1">#REF!</definedName>
    <definedName name="IQRWYGS13" hidden="1">#REF!</definedName>
    <definedName name="IQRX53" hidden="1">"$X$54:$X$63"</definedName>
    <definedName name="IQRX96" hidden="1">"$X$97"</definedName>
    <definedName name="IQRZ53" hidden="1">"$Z$54:$Z$63"</definedName>
    <definedName name="IQRZ96" hidden="1">"$Z$97"</definedName>
    <definedName name="iQShowHideColumns" hidden="1">"iQShowAll"</definedName>
    <definedName name="IQSTransactionsC16" hidden="1">#REF!</definedName>
    <definedName name="Irbe" hidden="1">{#N/A,#N/A,FALSE,"Pharm";#N/A,#N/A,FALSE,"WWCM"}</definedName>
    <definedName name="Ireland" hidden="1">{#N/A,#N/A,TRUE,"Summary";#N/A,#N/A,TRUE,"Assumptions";#N/A,#N/A,TRUE,"Economic Assumptions";#N/A,#N/A,TRUE,"Technical Assumptions";#N/A,#N/A,TRUE,"Construction Phase";#N/A,#N/A,TRUE,"VAT";#N/A,#N/A,TRUE,"Rev. &amp; Costs - Op. Y";#N/A,#N/A,TRUE,"Rev. &amp; Costs - Cal. Y";#N/A,#N/A,TRUE,"Debt Op. Year";#N/A,#N/A,TRUE,"Debt Cal. Year";#N/A,#N/A,TRUE,"Tax";#N/A,#N/A,TRUE,"Cashflow-Op. Y";#N/A,#N/A,TRUE,"Cashflow Cal. Y";#N/A,#N/A,TRUE,"IRR ";#N/A,#N/A,TRUE,"Notes"}</definedName>
    <definedName name="IRI_WorkspaceId" hidden="1">"146bb25c84d144c0b75582745baef5e1"</definedName>
    <definedName name="irkr" hidden="1">{"Units A",#N/A,FALSE,"FY95SLS";"Units B",#N/A,FALSE,"FY95SLS"}</definedName>
    <definedName name="IsColHidden" hidden="1">FALSE()</definedName>
    <definedName name="IsLTMColHidden" hidden="1">FALSE()</definedName>
    <definedName name="issco" hidden="1">{#N/A,#N/A,FALSE,"3";#N/A,#N/A,FALSE,"5";#N/A,#N/A,FALSE,"6";#N/A,#N/A,FALSE,"8";#N/A,#N/A,FALSE,"10";#N/A,#N/A,FALSE,"13";#N/A,#N/A,FALSE,"14";#N/A,#N/A,FALSE,"15";#N/A,#N/A,FALSE,"16"}</definedName>
    <definedName name="issco2" hidden="1">{#N/A,#N/A,FALSE,"3";#N/A,#N/A,FALSE,"5";#N/A,#N/A,FALSE,"6";#N/A,#N/A,FALSE,"8";#N/A,#N/A,FALSE,"10";#N/A,#N/A,FALSE,"13";#N/A,#N/A,FALSE,"14";#N/A,#N/A,FALSE,"15";#N/A,#N/A,FALSE,"16"}</definedName>
    <definedName name="Issue" hidden="1">"BL7FKFTY6NDALOTZZF8PFRAS6"</definedName>
    <definedName name="isto2" hidden="1">{"up stand alones",#N/A,FALSE,"Acquiror"}</definedName>
    <definedName name="itjo" hidden="1">{#N/A,#N/A,FALSE,"TB";#N/A,#N/A,FALSE,"AR";#N/A,#N/A,FALSE,"BS";#N/A,#N/A,FALSE,"PL";#N/A,#N/A,FALSE,"NOTES";#N/A,#N/A,FALSE,"NOTES (2)";#N/A,#N/A,FALSE,"NOTES (3)";#N/A,#N/A,FALSE,"TAXC.INDEX";#N/A,#N/A,FALSE,"Schedule I";#N/A,#N/A,FALSE,"DPL";#N/A,#N/A,FALSE,"Schedule IV";#N/A,#N/A,FALSE,"Adjustments"}</definedName>
    <definedName name="ITLeXToEUR" hidden="1">1/eurextoitl</definedName>
    <definedName name="IU_Dropdown">#REF!</definedName>
    <definedName name="iuiuiu" hidden="1">#REF!</definedName>
    <definedName name="iultuio"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iungds" hidden="1">{"detail",#N/A,FALSE,"mfg";"summary",#N/A,FALSE,"mfg"}</definedName>
    <definedName name="iuoiuoiu" hidden="1">{#N/A,#N/A,FALSE,"3";#N/A,#N/A,FALSE,"5";#N/A,#N/A,FALSE,"6";#N/A,#N/A,FALSE,"8";#N/A,#N/A,FALSE,"10";#N/A,#N/A,FALSE,"13";#N/A,#N/A,FALSE,"14";#N/A,#N/A,FALSE,"15";#N/A,#N/A,FALSE,"16"}</definedName>
    <definedName name="iuoiuouio" hidden="1">{#N/A,#N/A,FALSE,"3";#N/A,#N/A,FALSE,"5";#N/A,#N/A,FALSE,"6";#N/A,#N/A,FALSE,"8";#N/A,#N/A,FALSE,"10";#N/A,#N/A,FALSE,"13";#N/A,#N/A,FALSE,"14";#N/A,#N/A,FALSE,"15";#N/A,#N/A,FALSE,"16"}</definedName>
    <definedName name="iuoiuouiouiou" hidden="1">{#N/A,#N/A,FALSE,"3";#N/A,#N/A,FALSE,"5";#N/A,#N/A,FALSE,"6";#N/A,#N/A,FALSE,"8";#N/A,#N/A,FALSE,"10";#N/A,#N/A,FALSE,"13";#N/A,#N/A,FALSE,"14";#N/A,#N/A,FALSE,"15";#N/A,#N/A,FALSE,"16"}</definedName>
    <definedName name="iuouiouio" hidden="1">{#N/A,#N/A,FALSE,"3";#N/A,#N/A,FALSE,"5";#N/A,#N/A,FALSE,"6";#N/A,#N/A,FALSE,"8";#N/A,#N/A,FALSE,"10";#N/A,#N/A,FALSE,"13";#N/A,#N/A,FALSE,"14";#N/A,#N/A,FALSE,"15";#N/A,#N/A,FALSE,"16"}</definedName>
    <definedName name="iuouiouiouio" hidden="1">{#N/A,#N/A,FALSE,"3";#N/A,#N/A,FALSE,"5";#N/A,#N/A,FALSE,"6";#N/A,#N/A,FALSE,"8";#N/A,#N/A,FALSE,"10";#N/A,#N/A,FALSE,"13";#N/A,#N/A,FALSE,"14";#N/A,#N/A,FALSE,"15";#N/A,#N/A,FALSE,"16"}</definedName>
    <definedName name="iuyt" hidden="1">{"AS REP",#N/A,FALSE,"EEFSNAP2";"PROP",#N/A,FALSE,"EEFSNAP2";"RISKS",#N/A,FALSE,"EEFSNAP2";"VIEW ALL",#N/A,FALSE,"EEFSNAP2"}</definedName>
    <definedName name="ixa" hidden="1">{#N/A,#N/A,FALSE,"Cristal D'Oro (Tabela)";#N/A,#N/A,FALSE,"Cond Rio Tietê (Tabela)";#N/A,#N/A,FALSE,"Jacyr Leal (Tabela)";#N/A,#N/A,FALSE,"Paul Cézanne (Tabela)";#N/A,#N/A,FALSE,"Tom Jobim  (Tabela)"}</definedName>
    <definedName name="iy" hidden="1">{"AS REP",#N/A,FALSE,"EEFSNAP2";"PROP",#N/A,FALSE,"EEFSNAP2";"RISKS",#N/A,FALSE,"EEFSNAP2";"VIEW ALL",#N/A,FALSE,"EEFSNAP2"}</definedName>
    <definedName name="iyiy" hidden="1">{#N/A,#N/A,FALSE,"3";#N/A,#N/A,FALSE,"5";#N/A,#N/A,FALSE,"6";#N/A,#N/A,FALSE,"8";#N/A,#N/A,FALSE,"10";#N/A,#N/A,FALSE,"13";#N/A,#N/A,FALSE,"14";#N/A,#N/A,FALSE,"15";#N/A,#N/A,FALSE,"16"}</definedName>
    <definedName name="iyuid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 hidden="1">{#N/A,#N/A,FALSE,"REPORT"}</definedName>
    <definedName name="jafjeofja" hidden="1">{#N/A,#N/A,FALSE,"TB";#N/A,#N/A,FALSE,"AR";#N/A,#N/A,FALSE,"BS";#N/A,#N/A,FALSE,"PL";#N/A,#N/A,FALSE,"NOTES";#N/A,#N/A,FALSE,"NOTES (2)";#N/A,#N/A,FALSE,"NOTES (3)";#N/A,#N/A,FALSE,"TAXC.INDEX";#N/A,#N/A,FALSE,"Schedule I";#N/A,#N/A,FALSE,"DPL";#N/A,#N/A,FALSE,"Schedule IV";#N/A,#N/A,FALSE,"Adjustments"}</definedName>
    <definedName name="jafo" hidden="1">{#N/A,#N/A,FALSE,"TB";#N/A,#N/A,FALSE,"DR";#N/A,#N/A,FALSE,"AR";#N/A,#N/A,FALSE,"BS";#N/A,#N/A,FALSE,"PL";#N/A,#N/A,FALSE,"NOTES";#N/A,#N/A,FALSE,"NOTES (2)";#N/A,#N/A,FALSE,"NOTES (3)";#N/A,#N/A,FALSE,"DPL";#N/A,#N/A,FALSE,"DPL"}</definedName>
    <definedName name="jal" hidden="1">{#N/A,#N/A,FALSE,"TAXC.INDEX";#N/A,#N/A,FALSE,"Schedule I";#N/A,#N/A,FALSE,"Schedule  II";#N/A,#N/A,FALSE,"Schedule III"}</definedName>
    <definedName name="jam"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aos" hidden="1">{#N/A,#N/A,FALSE,"DIR-REP";#N/A,#N/A,FALSE,"AUD-REPORT";#N/A,#N/A,FALSE,"P7L&amp;BS";#N/A,#N/A,FALSE,"NOTES";#N/A,#N/A,FALSE,"FA";#N/A,#N/A,FALSE,"NOTES (2)";#N/A,#N/A,FALSE,"Schedule  IV";#N/A,#N/A,FALSE,"Schedule V"}</definedName>
    <definedName name="japoe" hidden="1">{#N/A,#N/A,FALSE,"TB";#N/A,#N/A,FALSE,"DR";#N/A,#N/A,FALSE,"AR";#N/A,#N/A,FALSE,"PL";#N/A,#N/A,FALSE,"BS";#N/A,#N/A,FALSE,"NOTES";#N/A,#N/A,FALSE,"NOTES (2)";#N/A,#N/A,FALSE,"NOTES (3)";#N/A,#N/A,FALSE,"DPL";#N/A,#N/A,FALSE,"TAXC.INDEX";#N/A,#N/A,FALSE,"Schedule I";#N/A,#N/A,FALSE,"Adjustments"}</definedName>
    <definedName name="jaso" hidden="1">{#N/A,#N/A,FALSE,"TB";#N/A,#N/A,FALSE,"DR";#N/A,#N/A,FALSE,"AR";#N/A,#N/A,FALSE,"BS";#N/A,#N/A,FALSE,"PL";#N/A,#N/A,FALSE,"NOTES";#N/A,#N/A,FALSE,"NOTES (2)";#N/A,#N/A,FALSE,"NOTES (3)";#N/A,#N/A,FALSE,"DPL";#N/A,#N/A,FALSE,"DPL"}</definedName>
    <definedName name="jay" hidden="1">{#N/A,#N/A,FALSE,"TB";#N/A,#N/A,FALSE,"AR";#N/A,#N/A,FALSE,"BS";#N/A,#N/A,FALSE,"PL";#N/A,#N/A,FALSE,"NOTES";#N/A,#N/A,FALSE,"NOTES (2)";#N/A,#N/A,FALSE,"NOTES (3)";#N/A,#N/A,FALSE,"TAXC.INDEX";#N/A,#N/A,FALSE,"Schedule I";#N/A,#N/A,FALSE,"DPL";#N/A,#N/A,FALSE,"Schedule IV";#N/A,#N/A,FALSE,"Adjustments"}</definedName>
    <definedName name="jazz" hidden="1">{#N/A,#N/A,FALSE,"Spain MKT";#N/A,#N/A,FALSE,"Assumptions";#N/A,#N/A,FALSE,"Adve";#N/A,#N/A,FALSE,"E-Commerce";#N/A,#N/A,FALSE,"Opex";#N/A,#N/A,FALSE,"P&amp;L";#N/A,#N/A,FALSE,"FCF &amp; DCF"}</definedName>
    <definedName name="jb" hidden="1">{#N/A,#N/A,FALSE,"USD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jbaoe" hidden="1">{#N/A,#N/A,FALSE,"TB";#N/A,#N/A,FALSE,"DR";#N/A,#N/A,FALSE,"AR";#N/A,#N/A,FALSE,"PL";#N/A,#N/A,FALSE,"BS";#N/A,#N/A,FALSE,"NOTES";#N/A,#N/A,FALSE,"NOTES (2)";#N/A,#N/A,FALSE,"NOTES (3)";#N/A,#N/A,FALSE,"DPL";#N/A,#N/A,FALSE,"TAXC.INDEX";#N/A,#N/A,FALSE,"Schedule I";#N/A,#N/A,FALSE,"Adjustments"}</definedName>
    <definedName name="jbaofe" hidden="1">{#N/A,#N/A,FALSE,"TAXC.INDEX";#N/A,#N/A,FALSE,"Schedule I";#N/A,#N/A,FALSE,"Schedule  II";#N/A,#N/A,FALSE,"Schedule III"}</definedName>
    <definedName name="jbo" hidden="1">{#N/A,#N/A,FALSE,"TAXC.INDEX";#N/A,#N/A,FALSE,"Schedule I";#N/A,#N/A,FALSE,"Schedule  II";#N/A,#N/A,FALSE,"Schedule III";#N/A,#N/A,FALSE,"Schedule IV";#N/A,#N/A,FALSE,"Schedule IV (Cont'd)";#N/A,#N/A,FALSE,"Schedule V";#N/A,#N/A,FALSE,"Schedule VI";#N/A,#N/A,FALSE,"Schedule VII"}</definedName>
    <definedName name="jboejaf" hidden="1">{#N/A,#N/A,FALSE,"DIR-REP";#N/A,#N/A,FALSE,"AUD-REPORT";#N/A,#N/A,FALSE,"P7L&amp;BS";#N/A,#N/A,FALSE,"NOTES";#N/A,#N/A,FALSE,"FA";#N/A,#N/A,FALSE,"NOTES (2)";#N/A,#N/A,FALSE,"Schedule  IV";#N/A,#N/A,FALSE,"Schedule V"}</definedName>
    <definedName name="jbos" hidden="1">{#N/A,#N/A,FALSE,"TB";#N/A,#N/A,FALSE,"DR";#N/A,#N/A,FALSE,"AR";#N/A,#N/A,FALSE,"PL";#N/A,#N/A,FALSE,"BS";#N/A,#N/A,FALSE,"NOTES";#N/A,#N/A,FALSE,"NOTES (2)";#N/A,#N/A,FALSE,"NOTES (3)";#N/A,#N/A,FALSE,"DPL";#N/A,#N/A,FALSE,"TAXC.INDEX";#N/A,#N/A,FALSE,"Schedule I";#N/A,#N/A,FALSE,"Adjustments"}</definedName>
    <definedName name="jbvod" hidden="1">{#N/A,#N/A,FALSE,"TB";#N/A,#N/A,FALSE,"DR";#N/A,#N/A,FALSE,"AR";#N/A,#N/A,FALSE,"PL";#N/A,#N/A,FALSE,"BS";#N/A,#N/A,FALSE,"NOTES";#N/A,#N/A,FALSE,"NOTES (2)";#N/A,#N/A,FALSE,"NOTES (3)";#N/A,#N/A,FALSE,"DPL";#N/A,#N/A,FALSE,"TAXC.INDEX";#N/A,#N/A,FALSE,"Schedule I";#N/A,#N/A,FALSE,"Adjustments"}</definedName>
    <definedName name="jco" hidden="1">{#N/A,#N/A,FALSE,"TAXC.INDEX";#N/A,#N/A,FALSE,"Schedule I";#N/A,#N/A,FALSE,"Schedule  II";#N/A,#N/A,FALSE,"Schedule III";#N/A,#N/A,FALSE,"Schedule IV";#N/A,#N/A,FALSE,"Schedule IV (Cont'd)";#N/A,#N/A,FALSE,"Schedule V";#N/A,#N/A,FALSE,"Schedule VI";#N/A,#N/A,FALSE,"Schedule VII"}</definedName>
    <definedName name="jcof" hidden="1">{#N/A,#N/A,FALSE,"TB";#N/A,#N/A,FALSE,"DR";#N/A,#N/A,FALSE,"AR";#N/A,#N/A,FALSE,"PL";#N/A,#N/A,FALSE,"BS";#N/A,#N/A,FALSE,"NOTES";#N/A,#N/A,FALSE,"NOTES (2)";#N/A,#N/A,FALSE,"NOTES (3)";#N/A,#N/A,FALSE,"DPL";#N/A,#N/A,FALSE,"TAXC.INDEX";#N/A,#N/A,FALSE,"Schedule I";#N/A,#N/A,FALSE,"Adjustments"}</definedName>
    <definedName name="jcog" hidden="1">{#N/A,#N/A,FALSE,"TB";#N/A,#N/A,FALSE,"AR";#N/A,#N/A,FALSE,"BS";#N/A,#N/A,FALSE,"PL";#N/A,#N/A,FALSE,"NOTES";#N/A,#N/A,FALSE,"NOTES (2)";#N/A,#N/A,FALSE,"NOTES (3)";#N/A,#N/A,FALSE,"TAXC.INDEX";#N/A,#N/A,FALSE,"Schedule I";#N/A,#N/A,FALSE,"DPL";#N/A,#N/A,FALSE,"Schedule IV";#N/A,#N/A,FALSE,"Adjustments"}</definedName>
    <definedName name="jdghjdyt" hidden="1">{"Sum WW A",#N/A,FALSE,"FY95SLS";"Sum WW B",#N/A,FALSE,"FY95SLS";"Sum US A",#N/A,FALSE,"FY95SLS";"Sum US B",#N/A,FALSE,"FY95SLS";"Sum US Bocg",#N/A,FALSE,"FY95SLS";"Sum Can A",#N/A,FALSE,"FY95SLS";"Sum Can B",#N/A,FALSE,"FY95SLS";"Sum Europe",#N/A,FALSE,"FY95SLS";"Sum Row",#N/A,FALSE,"FY95SLS"}</definedName>
    <definedName name="jdsf" hidden="1">{#N/A,#N/A,FALSE,"FAB VENDORS";"BUD SUM",#N/A,FALSE,"BUD SUM WO TEX"}</definedName>
    <definedName name="je" hidden="1">{#N/A,#N/A,FALSE,"3";#N/A,#N/A,FALSE,"5";#N/A,#N/A,FALSE,"6";#N/A,#N/A,FALSE,"8";#N/A,#N/A,FALSE,"10";#N/A,#N/A,FALSE,"13";#N/A,#N/A,FALSE,"14";#N/A,#N/A,FALSE,"15";#N/A,#N/A,FALSE,"16"}</definedName>
    <definedName name="jeanne" hidden="1">{#N/A,#N/A,FALSE,"Eastern";#N/A,#N/A,FALSE,"Western"}</definedName>
    <definedName name="jfaoej" hidden="1">{#N/A,#N/A,FALSE,"CONTENTS";#N/A,#N/A,FALSE,"DR";#N/A,#N/A,FALSE,"PL";#N/A,#N/A,FALSE,"BS";#N/A,#N/A,FALSE,"Cash Flow";#N/A,#N/A,FALSE,"NOTES";#N/A,#N/A,FALSE,"NOTES (FA)";#N/A,#N/A,FALSE,"Notes(3)";#N/A,#N/A,FALSE,"NOTES (4)";#N/A,#N/A,FALSE,"DP&amp;L";#N/A,#N/A,FALSE,"EXPENSES";#N/A,#N/A,FALSE,"EXPENSES-1"}</definedName>
    <definedName name="jfdsir" hidden="1">{"YTD",#N/A,FALSE,"SUM"}</definedName>
    <definedName name="jfgjfgj" hidden="1">{"Units A",#N/A,FALSE,"FY95SLS";"Units B",#N/A,FALSE,"FY95SLS"}</definedName>
    <definedName name="jfjfj" hidden="1">{#N/A,#N/A,TRUE,"Cover sheet";#N/A,#N/A,TRUE,"DCF analysis";#N/A,#N/A,TRUE,"WACC calculation"}</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aoejf" hidden="1">{#N/A,#N/A,FALSE,"TAXC.INDEX";#N/A,#N/A,FALSE,"Schedule I";#N/A,#N/A,FALSE,"Schedule  II";#N/A,#N/A,FALSE,"Schedule III"}</definedName>
    <definedName name="jgaoejfa" hidden="1">{#N/A,#N/A,FALSE,"TB";#N/A,#N/A,FALSE,"AR";#N/A,#N/A,FALSE,"BS";#N/A,#N/A,FALSE,"PL";#N/A,#N/A,FALSE,"NOTES";#N/A,#N/A,FALSE,"NOTES (2)";#N/A,#N/A,FALSE,"NOTES (3)";#N/A,#N/A,FALSE,"TAXC.INDEX";#N/A,#N/A,FALSE,"Schedule I";#N/A,#N/A,FALSE,"DPL";#N/A,#N/A,FALSE,"Schedule IV";#N/A,#N/A,FALSE,"Adjustments"}</definedName>
    <definedName name="jgaof" hidden="1">{#N/A,#N/A,FALSE,"TAXC.INDEX";#N/A,#N/A,FALSE,"Schedule I";#N/A,#N/A,FALSE,"Schedule  II";#N/A,#N/A,FALSE,"Schedule III";#N/A,#N/A,FALSE,"Schedule IV";#N/A,#N/A,FALSE,"Schedule IV (Cont'd)";#N/A,#N/A,FALSE,"Schedule V";#N/A,#N/A,FALSE,"Schedule VI";#N/A,#N/A,FALSE,"Schedule VII"}</definedName>
    <definedName name="jgaofen" hidden="1">{#N/A,#N/A,FALSE,"DIR-REP";#N/A,#N/A,FALSE,"AUD-REPORT";#N/A,#N/A,FALSE,"P7L&amp;BS";#N/A,#N/A,FALSE,"NOTES";#N/A,#N/A,FALSE,"FA";#N/A,#N/A,FALSE,"NOTES (2)";#N/A,#N/A,FALSE,"Schedule  IV";#N/A,#N/A,FALSE,"Schedule V"}</definedName>
    <definedName name="jgaofje" hidden="1">{#N/A,#N/A,FALSE,"DIR-REP";#N/A,#N/A,FALSE,"AUD-REPORT";#N/A,#N/A,FALSE,"P7L&amp;BS";#N/A,#N/A,FALSE,"NOTES";#N/A,#N/A,FALSE,"FA";#N/A,#N/A,FALSE,"NOTES (2)";#N/A,#N/A,FALSE,"Schedule  IV";#N/A,#N/A,FALSE,"Schedule V"}</definedName>
    <definedName name="jgaojef" hidden="1">{#N/A,#N/A,FALSE,"TAXC.INDEX";#N/A,#N/A,FALSE,"Schedule I";#N/A,#N/A,FALSE,"Schedule  II";#N/A,#N/A,FALSE,"Schedule III"}</definedName>
    <definedName name="jgfhtr" hidden="1">{"Units A",#N/A,FALSE,"FY95SLS";"Units B",#N/A,FALSE,"FY95SLS"}</definedName>
    <definedName name="jgfjgfj" hidden="1">{"Sum WW A",#N/A,FALSE,"FY95SLS";"Sum WW B",#N/A,FALSE,"FY95SLS";"Sum US A",#N/A,FALSE,"FY95SLS";"Sum US B",#N/A,FALSE,"FY95SLS";"Sum US Bocg",#N/A,FALSE,"FY95SLS";"Sum Can A",#N/A,FALSE,"FY95SLS";"Sum Can B",#N/A,FALSE,"FY95SLS";"Sum Europe",#N/A,FALSE,"FY95SLS";"Sum Row",#N/A,FALSE,"FY95SLS"}</definedName>
    <definedName name="jgh" hidden="1">{"Units A",#N/A,FALSE,"FY95SLS";"Units B",#N/A,FALSE,"FY95SLS"}</definedName>
    <definedName name="jghjg" hidden="1">{#N/A,#N/A,FALSE,"Produkte Erw.";#N/A,#N/A,FALSE,"Produkte Plan";#N/A,#N/A,FALSE,"Leistungen Erw.";#N/A,#N/A,FALSE,"Leistungen Plan";#N/A,#N/A,FALSE,"KA Allg.Kosten (2)";#N/A,#N/A,FALSE,"KA All.Kosten"}</definedName>
    <definedName name="jghjghjghj" hidden="1">{#N/A,#N/A,FALSE,"3";#N/A,#N/A,FALSE,"5";#N/A,#N/A,FALSE,"6";#N/A,#N/A,FALSE,"8";#N/A,#N/A,FALSE,"10";#N/A,#N/A,FALSE,"13";#N/A,#N/A,FALSE,"14";#N/A,#N/A,FALSE,"15";#N/A,#N/A,FALSE,"16"}</definedName>
    <definedName name="jghjghjhg" hidden="1">{"Sum WW A",#N/A,FALSE,"FY95SLS";"Sum WW B",#N/A,FALSE,"FY95SLS";"Sum US A",#N/A,FALSE,"FY95SLS";"Sum US B",#N/A,FALSE,"FY95SLS";"Sum US Bocg",#N/A,FALSE,"FY95SLS";"Sum Can A",#N/A,FALSE,"FY95SLS";"Sum Can B",#N/A,FALSE,"FY95SLS";"Sum Europe",#N/A,FALSE,"FY95SLS";"Sum Row",#N/A,FALSE,"FY95SLS"}</definedName>
    <definedName name="jghjgyhjgh" hidden="1">{#N/A,#N/A,FALSE,"3";#N/A,#N/A,FALSE,"5";#N/A,#N/A,FALSE,"6";#N/A,#N/A,FALSE,"8";#N/A,#N/A,FALSE,"10";#N/A,#N/A,FALSE,"13";#N/A,#N/A,FALSE,"14";#N/A,#N/A,FALSE,"15";#N/A,#N/A,FALSE,"16"}</definedName>
    <definedName name="jghjhlldc" hidden="1">{#N/A,#N/A,FALSE,"Umsatz CH";#N/A,#N/A,FALSE,"ER CH";#N/A,#N/A,FALSE,"EA CH (2) ";#N/A,#N/A,FALSE,"EA CH";#N/A,#N/A,FALSE,"EA CH (3) ";#N/A,#N/A,FALSE,"EA CH (4)";#N/A,#N/A,FALSE,"KA CH";#N/A,#N/A,FALSE,"KA CH  (2)";#N/A,#N/A,FALSE,"KA CH  (3)";#N/A,#N/A,FALSE,"KA CH (4)"}</definedName>
    <definedName name="jghjudtyu" hidden="1">{"Units A",#N/A,FALSE,"FY95SLS";"Units B",#N/A,FALSE,"FY95SLS"}</definedName>
    <definedName name="jgj" hidden="1">{"Pound Sterling",#N/A,TRUE,"PPD";"Pound Sterling",#N/A,TRUE,"Anaquest";"Pound Sterling",#N/A,TRUE,"Delta";"Pound Sterling",#N/A,TRUE,"INO"}</definedName>
    <definedName name="jh" hidden="1">{#N/A,#N/A,FALSE,"CreditStat";#N/A,#N/A,FALSE,"SPbrkup";#N/A,#N/A,FALSE,"MerSPsyn";#N/A,#N/A,FALSE,"MerSPwKCsyn";#N/A,#N/A,FALSE,"MerSPwKCsyn (2)";#N/A,#N/A,FALSE,"CreditStat (2)"}</definedName>
    <definedName name="jhe"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hg" hidden="1">{#N/A,#N/A,FALSE,"3";#N/A,#N/A,FALSE,"5";#N/A,#N/A,FALSE,"6";#N/A,#N/A,FALSE,"8";#N/A,#N/A,FALSE,"10";#N/A,#N/A,FALSE,"13";#N/A,#N/A,FALSE,"14";#N/A,#N/A,FALSE,"15";#N/A,#N/A,FALSE,"16"}</definedName>
    <definedName name="jhgf" hidden="1">{"Commentary",#N/A,FALSE,"May"}</definedName>
    <definedName name="jhghj" hidden="1">{#N/A,#N/A,FALSE,"3";#N/A,#N/A,FALSE,"5";#N/A,#N/A,FALSE,"6";#N/A,#N/A,FALSE,"8";#N/A,#N/A,FALSE,"10";#N/A,#N/A,FALSE,"13";#N/A,#N/A,FALSE,"14";#N/A,#N/A,FALSE,"15";#N/A,#N/A,FALSE,"16"}</definedName>
    <definedName name="jhhgjh" hidden="1">{#N/A,#N/A,FALSE,"KA CH  (2)"}</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k" hidden="1">{"print 1",#N/A,FALSE,"PrimeCo PCS";"print 2",#N/A,FALSE,"PrimeCo PCS";"valuation",#N/A,FALSE,"PrimeCo PCS"}</definedName>
    <definedName name="jhll" hidden="1">{#N/A,#N/A,FALSE,"PMW Gruppe 99_98";#N/A,#N/A,FALSE,"PMW KG 98_99";#N/A,#N/A,FALSE,"PMW Inc. 99_98";#N/A,#N/A,FALSE,"PMW VTECH 99_98";#N/A,#N/A,FALSE,"PMW Thail. 99_98";#N/A,#N/A,FALSE,"PMW Canada 99_98";#N/A,#N/A,FALSE,"Währungsabw. 99_98"}</definedName>
    <definedName name="jhsfhj" hidden="1">{"Pound Sterling",#N/A,TRUE,"PPD";"Pound Sterling",#N/A,TRUE,"Anaquest";"Pound Sterling",#N/A,TRUE,"Delta";"Pound Sterling",#N/A,TRUE,"INO"}</definedName>
    <definedName name="jhu" hidden="1">{#N/A,"PURADD",FALSE,"Business Analysis";#N/A,"PURSPP",FALSE,"Business Analysis";#N/A,"CTGIND",FALSE,"Business Analysis";#N/A,"PURCHM",FALSE,"Business Analysis";#N/A,"SPADD",FALSE,"Business Analysis";#N/A,"EPOXY",FALSE,"Business Analysis";#N/A,"PURPER",FALSE,"Business Analysis"}</definedName>
    <definedName name="ji" hidden="1">{"'Highlights'!$A$1:$M$123"}</definedName>
    <definedName name="JIE" hidden="1">{#N/A,#N/A,FALSE,"DIR-REP";#N/A,#N/A,FALSE,"AUD-REPORT";#N/A,#N/A,FALSE,"P7L&amp;BS";#N/A,#N/A,FALSE,"NOTES";#N/A,#N/A,FALSE,"FA";#N/A,#N/A,FALSE,"NOTES (2)";#N/A,#N/A,FALSE,"Schedule  IV";#N/A,#N/A,FALSE,"Schedule V"}</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m" hidden="1">{"'Directory'!$A$72:$E$91"}</definedName>
    <definedName name="jimm" hidden="1">{"'Directory'!$A$72:$E$91"}</definedName>
    <definedName name="jip" hidden="1">{"'Highlights'!$A$1:$M$123"}</definedName>
    <definedName name="jj" hidden="1">{#N/A,#N/A,FALSE,"Rohstoffnotierungen";#N/A,#N/A,FALSE,"ER HCST Erw. 99";#N/A,#N/A,FALSE,"ER HCST Plan 00";#N/A,#N/A,FALSE,"Umsatz KG";#N/A,#N/A,FALSE,"ER HCST";#N/A,#N/A,FALSE,"EA ST (2)";#N/A,#N/A,FALSE,"EA ST";#N/A,#N/A,FALSE,"EA ST (3)";#N/A,#N/A,FALSE,"EA ST (4)";#N/A,#N/A,FALSE,"KA ST  (2)";#N/A,#N/A,FALSE,"KA ST";#N/A,#N/A,FALSE,"KA ST  (3)";#N/A,#N/A,FALSE,"KA ST (4)"}</definedName>
    <definedName name="jj.l" hidden="1">{#N/A,#N/A,FALSE,"Umsatz EO BP";#N/A,#N/A,FALSE,"Umsatz EO OP";#N/A,#N/A,FALSE,"ER EO BP";#N/A,#N/A,FALSE,"ER EO OP";#N/A,#N/A,FALSE,"EA EO (2)";#N/A,#N/A,FALSE,"EA EO";#N/A,#N/A,FALSE,"EA EO (3)";#N/A,#N/A,FALSE,"EA EO (4)";#N/A,#N/A,FALSE,"KA EO  (2)";#N/A,#N/A,FALSE,"KA EO";#N/A,#N/A,FALSE,"KA EO  (3)";#N/A,#N/A,FALSE,"KA EO (4)"}</definedName>
    <definedName name="jjhg.lllll" hidden="1">{#N/A,#N/A,FALSE,"Umsatz HM";#N/A,#N/A,FALSE,"ER HM";#N/A,#N/A,FALSE,"EA HM  (2)";#N/A,#N/A,FALSE,"EA HM ";#N/A,#N/A,FALSE,"EA HM  (4)";#N/A,#N/A,FALSE,"EA HM  (3)";#N/A,#N/A,FALSE,"KA HM  (2)";#N/A,#N/A,FALSE,"KA HM";#N/A,#N/A,FALSE,"KA HM  (3)";#N/A,#N/A,FALSE,"KA HM (4)"}</definedName>
    <definedName name="jjj" hidden="1">{#N/A,#N/A,FALSE,"REPORT"}</definedName>
    <definedName name="JJJBBB" hidden="1">{#N/A,#N/A,FALSE,"Financiel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jjjj" hidden="1">{#N/A,#N/A,FALSE,"TAXC.INDEX";#N/A,#N/A,FALSE,"Schedule I";#N/A,#N/A,FALSE,"Schedule  II";#N/A,#N/A,FALSE,"Schedule III"}</definedName>
    <definedName name="jjjj2" hidden="1">{#N/A,#N/A,FALSE,"TAXC.INDEX";#N/A,#N/A,FALSE,"Schedule I";#N/A,#N/A,FALSE,"Schedule  II";#N/A,#N/A,FALSE,"Schedule III"}</definedName>
    <definedName name="jjjjjjjj" hidden="1">{#N/A,#N/A,FALSE,"3";#N/A,#N/A,FALSE,"5";#N/A,#N/A,FALSE,"6";#N/A,#N/A,FALSE,"8";#N/A,#N/A,FALSE,"10";#N/A,#N/A,FALSE,"13";#N/A,#N/A,FALSE,"14";#N/A,#N/A,FALSE,"15";#N/A,#N/A,FALSE,"16"}</definedName>
    <definedName name="jk" hidden="1">{#N/A,#N/A,FALSE,"VIVENDI SOP";#N/A,#N/A,FALSE,"Water division SOP";#N/A,#N/A,FALSE,"Water multiple valuation"}</definedName>
    <definedName name="jkgjh" hidden="1">{"consolidated",#N/A,FALSE,"Sheet1";"cms",#N/A,FALSE,"Sheet1";"fse",#N/A,FALSE,"Sheet1"}</definedName>
    <definedName name="jkiu" hidden="1">{#N/A,"PURCHM",FALSE,"Business Analysis";#N/A,"SPADD",FALSE,"Business Analysis"}</definedName>
    <definedName name="jkjhk" hidden="1">{#N/A,#N/A,FALSE,"Produkte Erw.";#N/A,#N/A,FALSE,"Produkte Plan";#N/A,#N/A,FALSE,"Leistungen Erw.";#N/A,#N/A,FALSE,"Leistungen Plan";#N/A,#N/A,FALSE,"KA Allg.Kosten (2)";#N/A,#N/A,FALSE,"KA All.Kosten"}</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ljkljlk" hidden="1">{"Units A",#N/A,FALSE,"FY95SLS";"Units B",#N/A,FALSE,"FY95SLS"}</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kljlkj" hidden="1">{"US Dollars",#N/A,TRUE,"PPD";"US Dollar",#N/A,TRUE,"Anaquest";"US Dollar",#N/A,TRUE,"Delta";"US Dollar",#N/A,TRUE,"INO"}</definedName>
    <definedName name="jkl" hidden="1">{#N/A,#N/A,FALSE,"REPORT"}</definedName>
    <definedName name="jkl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kljklj" hidden="1">{"Sum WW A",#N/A,FALSE,"FY95SLS";"Sum WW B",#N/A,FALSE,"FY95SLS";"Sum US A",#N/A,FALSE,"FY95SLS";"Sum US B",#N/A,FALSE,"FY95SLS";"Sum US Bocg",#N/A,FALSE,"FY95SLS";"Sum Can A",#N/A,FALSE,"FY95SLS";"Sum Can B",#N/A,FALSE,"FY95SLS";"Sum Europe",#N/A,FALSE,"FY95SLS";"Sum Row",#N/A,FALSE,"FY95SLS"}</definedName>
    <definedName name="jkljlk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klk" hidden="1">{#N/A,#N/A,FALSE,"Umsatz OK";#N/A,#N/A,FALSE,"ER OK ";#N/A,#N/A,FALSE,"EA OK (2)";#N/A,#N/A,FALSE,"EA OK";#N/A,#N/A,FALSE,"EA OK (3)";#N/A,#N/A,FALSE,"EA OK (4)";#N/A,#N/A,FALSE,"KA OK  (2)";#N/A,#N/A,FALSE,"KA OK";#N/A,#N/A,FALSE,"KA OK  (3)";#N/A,#N/A,FALSE,"KA OK (4)"}</definedName>
    <definedName name="jkll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ri"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kwsd" hidden="1">{"detail",#N/A,FALSE,"mfg";"summary",#N/A,FALSE,"mfg"}</definedName>
    <definedName name="jlhhjlhjlhjl" hidden="1">{#N/A,#N/A,FALSE,"3";#N/A,#N/A,FALSE,"5";#N/A,#N/A,FALSE,"6";#N/A,#N/A,FALSE,"8";#N/A,#N/A,FALSE,"10";#N/A,#N/A,FALSE,"13";#N/A,#N/A,FALSE,"14";#N/A,#N/A,FALSE,"15";#N/A,#N/A,FALSE,"16"}</definedName>
    <definedName name="jlhjlhjl" hidden="1">{#N/A,#N/A,FALSE,"3";#N/A,#N/A,FALSE,"5";#N/A,#N/A,FALSE,"6";#N/A,#N/A,FALSE,"8";#N/A,#N/A,FALSE,"10";#N/A,#N/A,FALSE,"13";#N/A,#N/A,FALSE,"14";#N/A,#N/A,FALSE,"15";#N/A,#N/A,FALSE,"16"}</definedName>
    <definedName name="jlj" hidden="1">{#N/A,#N/A,FALSE,"3";#N/A,#N/A,FALSE,"5";#N/A,#N/A,FALSE,"6";#N/A,#N/A,FALSE,"8";#N/A,#N/A,FALSE,"10";#N/A,#N/A,FALSE,"13";#N/A,#N/A,FALSE,"14";#N/A,#N/A,FALSE,"15";#N/A,#N/A,FALSE,"16"}</definedName>
    <definedName name="jljlkj" hidden="1">{"Pound Sterling",#N/A,TRUE,"PPD";"Pound Sterling",#N/A,TRUE,"Anaquest";"Pound Sterling",#N/A,TRUE,"Delta";"Pound Sterling",#N/A,TRUE,"INO"}</definedName>
    <definedName name="jlkj" hidden="1">{#N/A,#N/A,FALSE,"3";#N/A,#N/A,FALSE,"5";#N/A,#N/A,FALSE,"6";#N/A,#N/A,FALSE,"8";#N/A,#N/A,FALSE,"10";#N/A,#N/A,FALSE,"13";#N/A,#N/A,FALSE,"14";#N/A,#N/A,FALSE,"15";#N/A,#N/A,FALSE,"16"}</definedName>
    <definedName name="jlkjkjl" hidden="1">{"Units A",#N/A,FALSE,"FY95SLS";"Units B",#N/A,FALSE,"FY95SLS"}</definedName>
    <definedName name="jlyulhjl" hidden="1">{#N/A,#N/A,FALSE,"3";#N/A,#N/A,FALSE,"5";#N/A,#N/A,FALSE,"6";#N/A,#N/A,FALSE,"8";#N/A,#N/A,FALSE,"10";#N/A,#N/A,FALSE,"13";#N/A,#N/A,FALSE,"14";#N/A,#N/A,FALSE,"15";#N/A,#N/A,FALSE,"16"}</definedName>
    <definedName name="jn" hidden="1">{#N/A,#N/A,FALSE,"TAXC.INDEX";#N/A,#N/A,FALSE,"Schedule I";#N/A,#N/A,FALSE,"Schedule  II";#N/A,#N/A,FALSE,"Schedule III"}</definedName>
    <definedName name="jnbid" hidden="1">{"detail",#N/A,FALSE,"mfg";"summary",#N/A,FALSE,"mfg"}</definedName>
    <definedName name="JNPRpublish" hidden="1">{#N/A,#N/A,FALSE,"Index";"Stmts_Qtrs",#N/A,FALSE,"Summary";"Stmts_24 mo",#N/A,FALSE,"Summary";"Summary_24",#N/A,FALSE,"Revenue";"Month_24",#N/A,FALSE,"Engineering";"Month_24",#N/A,FALSE,"Marketing";"Month_24",#N/A,FALSE,"G &amp; A";"Month_24",#N/A,FALSE,"Manufacturing"}</definedName>
    <definedName name="jnv" hidden="1">{#N/A,#N/A,FALSE,"Hoja1";#N/A,#N/A,FALSE,"Hoja2"}</definedName>
    <definedName name="job" hidden="1">{#N/A,#N/A,FALSE,"TB";#N/A,#N/A,FALSE,"DR";#N/A,#N/A,FALSE,"AR";#N/A,#N/A,FALSE,"PL";#N/A,#N/A,FALSE,"BS";#N/A,#N/A,FALSE,"NOTES";#N/A,#N/A,FALSE,"NOTES (2)";#N/A,#N/A,FALSE,"NOTES (3)";#N/A,#N/A,FALSE,"DPL";#N/A,#N/A,FALSE,"TAXC.INDEX";#N/A,#N/A,FALSE,"Schedule I";#N/A,#N/A,FALSE,"Adjustments"}</definedName>
    <definedName name="jodfjeog" hidden="1">{#N/A,#N/A,FALSE,"TB";#N/A,#N/A,FALSE,"DR";#N/A,#N/A,FALSE,"AR";#N/A,#N/A,FALSE,"BS";#N/A,#N/A,FALSE,"PL";#N/A,#N/A,FALSE,"NOTES";#N/A,#N/A,FALSE,"NOTES (2)";#N/A,#N/A,FALSE,"NOTES (3)";#N/A,#N/A,FALSE,"DPL";#N/A,#N/A,FALSE,"DPL"}</definedName>
    <definedName name="jodl" hidden="1">{#N/A,#N/A,FALSE,"TAXC.INDEX";#N/A,#N/A,FALSE,"Schedule I";#N/A,#N/A,FALSE,"Schedule  II";#N/A,#N/A,FALSE,"Schedule III"}</definedName>
    <definedName name="joejas" hidden="1">{#N/A,#N/A,FALSE,"DIR-REP";#N/A,#N/A,FALSE,"AUD-REPORT";#N/A,#N/A,FALSE,"P7L&amp;BS";#N/A,#N/A,FALSE,"NOTES";#N/A,#N/A,FALSE,"FA";#N/A,#N/A,FALSE,"NOTES (2)";#N/A,#N/A,FALSE,"Schedule  IV";#N/A,#N/A,FALSE,"Schedule V"}</definedName>
    <definedName name="jojo" hidden="1">{#N/A,#N/A,FALSE,"EV.D.P.BC";#N/A,#N/A,FALSE,"EV.D.P.HC";#N/A,#N/A,FALSE,"EV.D.P.LC";#N/A,#N/A,FALSE,"AN.CIV.BC";#N/A,#N/A,FALSE,"AN.CIV.HC";#N/A,#N/A,FALSE,"AN.CIV.LC";#N/A,#N/A,FALSE,"Res.1";#N/A,#N/A,FALSE,"AN.GAZ.BC";#N/A,#N/A,FALSE,"AN.GAZ.HC";#N/A,#N/A,FALSE,"AN.GAZ.LC";#N/A,#N/A,FALSE,"AN.GAZ.BC M3";#N/A,#N/A,FALSE,"AN.GAZ.HC M3";#N/A,#N/A,FALSE,"AN.GAZ.LC M3";#N/A,#N/A,FALSE,"Res.2"}</definedName>
    <definedName name="jokking" hidden="1">{#N/A,#N/A,FALSE,"CONTENTS";#N/A,#N/A,FALSE,"DR";#N/A,#N/A,FALSE,"PL";#N/A,#N/A,FALSE,"BS";#N/A,#N/A,FALSE,"Cash Flow";#N/A,#N/A,FALSE,"NOTES";#N/A,#N/A,FALSE,"NOTES (FA)";#N/A,#N/A,FALSE,"Notes(3)";#N/A,#N/A,FALSE,"NOTES (4)";#N/A,#N/A,FALSE,"DP&amp;L";#N/A,#N/A,FALSE,"EXPENSES";#N/A,#N/A,FALSE,"EXPENSES-1"}</definedName>
    <definedName name="jolt" hidden="1">{#N/A,#N/A,FALSE,"DIR-REP";#N/A,#N/A,FALSE,"AUD-REPORT";#N/A,#N/A,FALSE,"P7L&amp;BS";#N/A,#N/A,FALSE,"NOTES";#N/A,#N/A,FALSE,"FA";#N/A,#N/A,FALSE,"NOTES (2)";#N/A,#N/A,FALSE,"Schedule  IV";#N/A,#N/A,FALSE,"Schedule V"}</definedName>
    <definedName name="jomn" hidden="1">{"pro_view",#N/A,FALSE,"EEFSNAP2";"rep_view",#N/A,FALSE,"EEFSNAP2"}</definedName>
    <definedName name="jos" hidden="1">{#N/A,#N/A,FALSE,"TB";#N/A,#N/A,FALSE,"DR";#N/A,#N/A,FALSE,"AR";#N/A,#N/A,FALSE,"BS";#N/A,#N/A,FALSE,"PL";#N/A,#N/A,FALSE,"NOTES";#N/A,#N/A,FALSE,"NOTES (2)";#N/A,#N/A,FALSE,"NOTES (3)";#N/A,#N/A,FALSE,"DPL";#N/A,#N/A,FALSE,"DPL"}</definedName>
    <definedName name="jöuiuiuzi" hidden="1">{#N/A,#N/A,FALSE,"Umsatz 99";#N/A,#N/A,FALSE,"ER 99 "}</definedName>
    <definedName name="jseoag" hidden="1">{#N/A,#N/A,FALSE,"TB";#N/A,#N/A,FALSE,"AR";#N/A,#N/A,FALSE,"BS";#N/A,#N/A,FALSE,"PL";#N/A,#N/A,FALSE,"NOTES";#N/A,#N/A,FALSE,"NOTES (2)";#N/A,#N/A,FALSE,"NOTES (3)";#N/A,#N/A,FALSE,"TAXC.INDEX";#N/A,#N/A,FALSE,"Schedule I";#N/A,#N/A,FALSE,"DPL";#N/A,#N/A,FALSE,"Schedule IV";#N/A,#N/A,FALSE,"Adjustments"}</definedName>
    <definedName name="jsoe" hidden="1">{#N/A,#N/A,FALSE,"TAXC.INDEX";#N/A,#N/A,FALSE,"Schedule I";#N/A,#N/A,FALSE,"Schedule  II";#N/A,#N/A,FALSE,"Schedule III";#N/A,#N/A,FALSE,"Schedule IV";#N/A,#N/A,FALSE,"Schedule IV (Cont'd)";#N/A,#N/A,FALSE,"Schedule V";#N/A,#N/A,FALSE,"Schedule VI";#N/A,#N/A,FALSE,"Schedule VII"}</definedName>
    <definedName name="jt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trhtrh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trhyt" hidden="1">{"US Dollars",#N/A,TRUE,"PPD";"US Dollar",#N/A,TRUE,"Anaquest";"US Dollar",#N/A,TRUE,"Delta";"US Dollar",#N/A,TRUE,"INO"}</definedName>
    <definedName name="jtrjtrh" hidden="1">{"Pound Sterling",#N/A,TRUE,"PPD";"Pound Sterling",#N/A,TRUE,"Anaquest";"Pound Sterling",#N/A,TRUE,"Delta";"Pound Sterling",#N/A,TRUE,"INO"}</definedName>
    <definedName name="jtrjtw"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tryw" hidden="1">{"Pound Sterling",#N/A,TRUE,"PPD";"Pound Sterling",#N/A,TRUE,"Anaquest";"Pound Sterling",#N/A,TRUE,"Delta";"Pound Sterling",#N/A,TRUE,"INO"}</definedName>
    <definedName name="jtu" hidden="1">{"Pound Sterling",#N/A,TRUE,"PPD";"Pound Sterling",#N/A,TRUE,"Anaquest";"Pound Sterling",#N/A,TRUE,"Delta";"Pound Sterling",#N/A,TRUE,"INO"}</definedName>
    <definedName name="jtwhrtywe" hidden="1">{"Pound Sterling",#N/A,TRUE,"PPD";"Pound Sterling",#N/A,TRUE,"Anaquest";"Pound Sterling",#N/A,TRUE,"Delta";"Pound Sterling",#N/A,TRUE,"INO"}</definedName>
    <definedName name="jtyj" hidden="1">{"Units A",#N/A,FALSE,"FY95SLS";"Units B",#N/A,FALSE,"FY95SLS"}</definedName>
    <definedName name="jtyjtjutr" hidden="1">{"Units A",#N/A,FALSE,"FY95SLS";"Units B",#N/A,FALSE,"FY95SLS"}</definedName>
    <definedName name="jtyjue"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tyjwryj" hidden="1">{"Sum WW A",#N/A,FALSE,"FY95SLS";"Sum WW B",#N/A,FALSE,"FY95SLS";"Sum US A",#N/A,FALSE,"FY95SLS";"Sum US B",#N/A,FALSE,"FY95SLS";"Sum US Bocg",#N/A,FALSE,"FY95SLS";"Sum Can A",#N/A,FALSE,"FY95SLS";"Sum Can B",#N/A,FALSE,"FY95SLS";"Sum Europe",#N/A,FALSE,"FY95SLS";"Sum Row",#N/A,FALSE,"FY95SLS"}</definedName>
    <definedName name="ju" hidden="1">{"detail",#N/A,FALSE,"mfg";"summary",#N/A,FALSE,"mfg"}</definedName>
    <definedName name="Juan" hidden="1">{"Sum WW A",#N/A,FALSE,"FY95SLS";"Sum WW B",#N/A,FALSE,"FY95SLS";"Sum US A",#N/A,FALSE,"FY95SLS";"Sum US B",#N/A,FALSE,"FY95SLS";"Sum US Bocg",#N/A,FALSE,"FY95SLS";"Sum Can A",#N/A,FALSE,"FY95SLS";"Sum Can B",#N/A,FALSE,"FY95SLS";"Sum Europe",#N/A,FALSE,"FY95SLS";"Sum Row",#N/A,FALSE,"FY95SLS"}</definedName>
    <definedName name="judy" hidden="1">{#N/A,#N/A,FALSE,"Pharm";#N/A,#N/A,FALSE,"WWCM"}</definedName>
    <definedName name="judy1" hidden="1">{#N/A,#N/A,FALSE,"Pharm";#N/A,#N/A,FALSE,"WWCM"}</definedName>
    <definedName name="jufn" hidden="1">{"stepel",#N/A,FALSE,"AHFSTEP"}</definedName>
    <definedName name="jui" hidden="1">{"YD OTHER",#N/A,FALSE,"YTD"}</definedName>
    <definedName name="juio" hidden="1">{"Page 1",#N/A,FALSE,"OpExJanVsPY";"Page 2",#N/A,FALSE,"OpExJanVsPY"}</definedName>
    <definedName name="July" hidden="1">#N/A</definedName>
    <definedName name="junk" hidden="1">{#N/A,#N/A,FALSE,"CHANGES";#N/A,#N/A,FALSE,"PROD SUMMARY";#N/A,#N/A,FALSE,"1995 PO SUM";#N/A,#N/A,FALSE,"1995 GEOG SUM";#N/A,#N/A,FALSE,"1996 PO SUM";#N/A,#N/A,FALSE,"1996 GEOG SUM"}</definedName>
    <definedName name="jwebnrf" hidden="1">{"werbung",#N/A,FALSE,"GuV9900-0399";"betrieb",#N/A,FALSE,"GuV9900-0399";"personal",#N/A,FALSE,"GuV9900-0399";"tvg",#N/A,FALSE,"GuV9900-0399";"verwaltung",#N/A,FALSE,"GuV9900-0399"}</definedName>
    <definedName name="jwrtjr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wtywy" hidden="1">{"Pound Sterling",#N/A,TRUE,"PPD";"Pound Sterling",#N/A,TRUE,"Anaquest";"Pound Sterling",#N/A,TRUE,"Delta";"Pound Sterling",#N/A,TRUE,"INO"}</definedName>
    <definedName name="jwyjwj" hidden="1">{"Sum WW A",#N/A,FALSE,"FY95SLS";"Sum WW B",#N/A,FALSE,"FY95SLS";"Sum US A",#N/A,FALSE,"FY95SLS";"Sum US B",#N/A,FALSE,"FY95SLS";"Sum US Bocg",#N/A,FALSE,"FY95SLS";"Sum Can A",#N/A,FALSE,"FY95SLS";"Sum Can B",#N/A,FALSE,"FY95SLS";"Sum Europe",#N/A,FALSE,"FY95SLS";"Sum Row",#N/A,FALSE,"FY95SLS"}</definedName>
    <definedName name="jxol" hidden="1">{#N/A,#N/A,FALSE,"TB";#N/A,#N/A,FALSE,"DR";#N/A,#N/A,FALSE,"AR";#N/A,#N/A,FALSE,"PL";#N/A,#N/A,FALSE,"BS";#N/A,#N/A,FALSE,"NOTES";#N/A,#N/A,FALSE,"NOTES (2)";#N/A,#N/A,FALSE,"NOTES (3)";#N/A,#N/A,FALSE,"DPL";#N/A,#N/A,FALSE,"TAXC.INDEX";#N/A,#N/A,FALSE,"Schedule I";#N/A,#N/A,FALSE,"Adjustments"}</definedName>
    <definedName name="jytjktyji" hidden="1">{"Pound Sterling",#N/A,TRUE,"PPD";"Pound Sterling",#N/A,TRUE,"Anaquest";"Pound Sterling",#N/A,TRUE,"Delta";"Pound Sterling",#N/A,TRUE,"INO"}</definedName>
    <definedName name="jytrj" hidden="1">{"Pound Sterling",#N/A,TRUE,"PPD";"Pound Sterling",#N/A,TRUE,"Anaquest";"Pound Sterling",#N/A,TRUE,"Delta";"Pound Sterling",#N/A,TRUE,"INO"}</definedName>
    <definedName name="jywryjrt" hidden="1">{"Units A",#N/A,FALSE,"FY95SLS";"Units B",#N/A,FALSE,"FY95SLS"}</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-1</definedName>
    <definedName name="kal" hidden="1">{#N/A,#N/A,FALSE,"TB";#N/A,#N/A,FALSE,"DR";#N/A,#N/A,FALSE,"AR";#N/A,#N/A,FALSE,"BS";#N/A,#N/A,FALSE,"PL";#N/A,#N/A,FALSE,"NOTES";#N/A,#N/A,FALSE,"NOTES (2)";#N/A,#N/A,FALSE,"NOTES (3)";#N/A,#N/A,FALSE,"DPL";#N/A,#N/A,FALSE,"DPL"}</definedName>
    <definedName name="kay" hidden="1">{#N/A,#N/A,FALSE,"DIR-REP";#N/A,#N/A,FALSE,"AUD-REPORT";#N/A,#N/A,FALSE,"P7L&amp;BS";#N/A,#N/A,FALSE,"NOTES";#N/A,#N/A,FALSE,"FA";#N/A,#N/A,FALSE,"NOTES (2)";#N/A,#N/A,FALSE,"Schedule  IV";#N/A,#N/A,FALSE,"Schedule V"}</definedName>
    <definedName name="kbkj" hidden="1">{#N/A,#N/A,FALSE,"TAXC.INDEX";#N/A,#N/A,FALSE,"Schedule I";#N/A,#N/A,FALSE,"Schedule  II";#N/A,#N/A,FALSE,"Schedule III"}</definedName>
    <definedName name="kcg" hidden="1">{#N/A,#N/A,FALSE,"TB";#N/A,#N/A,FALSE,"AR";#N/A,#N/A,FALSE,"BS";#N/A,#N/A,FALSE,"PL";#N/A,#N/A,FALSE,"NOTES";#N/A,#N/A,FALSE,"NOTES (2)";#N/A,#N/A,FALSE,"NOTES (3)";#N/A,#N/A,FALSE,"TAXC.INDEX";#N/A,#N/A,FALSE,"Schedule I";#N/A,#N/A,FALSE,"DPL";#N/A,#N/A,FALSE,"Schedule IV";#N/A,#N/A,FALSE,"Adjustments"}</definedName>
    <definedName name="kch" hidden="1">{#N/A,#N/A,FALSE,"TB";#N/A,#N/A,FALSE,"DR";#N/A,#N/A,FALSE,"AR";#N/A,#N/A,FALSE,"PL";#N/A,#N/A,FALSE,"BS";#N/A,#N/A,FALSE,"NOTES";#N/A,#N/A,FALSE,"NOTES (2)";#N/A,#N/A,FALSE,"NOTES (3)";#N/A,#N/A,FALSE,"DPL";#N/A,#N/A,FALSE,"TAXC.INDEX";#N/A,#N/A,FALSE,"Schedule I";#N/A,#N/A,FALSE,"Adjustments"}</definedName>
    <definedName name="ke" hidden="1">{#N/A,#N/A,FALSE,"DIR-REP";#N/A,#N/A,FALSE,"AUD-REPORT";#N/A,#N/A,FALSE,"P7L&amp;BS";#N/A,#N/A,FALSE,"NOTES";#N/A,#N/A,FALSE,"FA";#N/A,#N/A,FALSE,"NOTES (2)";#N/A,#N/A,FALSE,"Schedule  IV";#N/A,#N/A,FALSE,"Schedule V"}</definedName>
    <definedName name="KEOLIS" hidden="1">{#N/A,#N/A,FALSE,"Aging Summary";#N/A,#N/A,FALSE,"Ratio Analysis";#N/A,#N/A,FALSE,"Test 120 Day Accts";#N/A,#N/A,FALSE,"Tickmarks"}</definedName>
    <definedName name="keolis2" hidden="1">{#N/A,#N/A,FALSE,"Aging Summary";#N/A,#N/A,FALSE,"Ratio Analysis";#N/A,#N/A,FALSE,"Test 120 Day Accts";#N/A,#N/A,FALSE,"Tickmarks"}</definedName>
    <definedName name="key" hidden="1">{#N/A,#N/A,FALSE,"CONTENTS";#N/A,#N/A,FALSE,"DR";#N/A,#N/A,FALSE,"PL";#N/A,#N/A,FALSE,"BS";#N/A,#N/A,FALSE,"Cash Flow";#N/A,#N/A,FALSE,"NOTES";#N/A,#N/A,FALSE,"NOTES (FA)";#N/A,#N/A,FALSE,"Notes(3)";#N/A,#N/A,FALSE,"NOTES (4)";#N/A,#N/A,FALSE,"DP&amp;L";#N/A,#N/A,FALSE,"EXPENSES";#N/A,#N/A,FALSE,"EXPENSES-1"}</definedName>
    <definedName name="kfgkgkgh" hidden="1">{#N/A,#N/A,FALSE,"3";#N/A,#N/A,FALSE,"5";#N/A,#N/A,FALSE,"6";#N/A,#N/A,FALSE,"8";#N/A,#N/A,FALSE,"10";#N/A,#N/A,FALSE,"13";#N/A,#N/A,FALSE,"14";#N/A,#N/A,FALSE,"15";#N/A,#N/A,FALSE,"16"}</definedName>
    <definedName name="kgghkgh" hidden="1">{#N/A,#N/A,FALSE,"3";#N/A,#N/A,FALSE,"5";#N/A,#N/A,FALSE,"6";#N/A,#N/A,FALSE,"8";#N/A,#N/A,FALSE,"10";#N/A,#N/A,FALSE,"13";#N/A,#N/A,FALSE,"14";#N/A,#N/A,FALSE,"15";#N/A,#N/A,FALSE,"16"}</definedName>
    <definedName name="kgghkgk" hidden="1">{#N/A,#N/A,FALSE,"3";#N/A,#N/A,FALSE,"5";#N/A,#N/A,FALSE,"6";#N/A,#N/A,FALSE,"8";#N/A,#N/A,FALSE,"10";#N/A,#N/A,FALSE,"13";#N/A,#N/A,FALSE,"14";#N/A,#N/A,FALSE,"15";#N/A,#N/A,FALSE,"16"}</definedName>
    <definedName name="kghgk" hidden="1">{#N/A,#N/A,FALSE,"3";#N/A,#N/A,FALSE,"5";#N/A,#N/A,FALSE,"6";#N/A,#N/A,FALSE,"8";#N/A,#N/A,FALSE,"10";#N/A,#N/A,FALSE,"13";#N/A,#N/A,FALSE,"14";#N/A,#N/A,FALSE,"15";#N/A,#N/A,FALSE,"16"}</definedName>
    <definedName name="kghkghkghkf" hidden="1">{#N/A,#N/A,FALSE,"3";#N/A,#N/A,FALSE,"5";#N/A,#N/A,FALSE,"6";#N/A,#N/A,FALSE,"8";#N/A,#N/A,FALSE,"10";#N/A,#N/A,FALSE,"13";#N/A,#N/A,FALSE,"14";#N/A,#N/A,FALSE,"15";#N/A,#N/A,FALSE,"16"}</definedName>
    <definedName name="kghkghkgk" hidden="1">{#N/A,#N/A,FALSE,"3";#N/A,#N/A,FALSE,"5";#N/A,#N/A,FALSE,"6";#N/A,#N/A,FALSE,"8";#N/A,#N/A,FALSE,"10";#N/A,#N/A,FALSE,"13";#N/A,#N/A,FALSE,"14";#N/A,#N/A,FALSE,"15";#N/A,#N/A,FALSE,"16"}</definedName>
    <definedName name="kghkhgk" hidden="1">{#N/A,#N/A,FALSE,"3";#N/A,#N/A,FALSE,"5";#N/A,#N/A,FALSE,"6";#N/A,#N/A,FALSE,"8";#N/A,#N/A,FALSE,"10";#N/A,#N/A,FALSE,"13";#N/A,#N/A,FALSE,"14";#N/A,#N/A,FALSE,"15";#N/A,#N/A,FALSE,"16"}</definedName>
    <definedName name="kgkgk" hidden="1">{#N/A,#N/A,TRUE,"Cover sheet";#N/A,#N/A,TRUE,"DCF analysis";#N/A,#N/A,TRUE,"WACC calculation"}</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bkl" hidden="1">{#N/A,#N/A,FALSE,"CONTENTS";#N/A,#N/A,FALSE,"DR";#N/A,#N/A,FALSE,"PL";#N/A,#N/A,FALSE,"BS";#N/A,#N/A,FALSE,"Cash Flow";#N/A,#N/A,FALSE,"NOTES";#N/A,#N/A,FALSE,"NOTES (FA)";#N/A,#N/A,FALSE,"Notes(3)";#N/A,#N/A,FALSE,"NOTES (4)";#N/A,#N/A,FALSE,"DP&amp;L";#N/A,#N/A,FALSE,"EXPENSES";#N/A,#N/A,FALSE,"EXPENSES-1"}</definedName>
    <definedName name="khggkghk" hidden="1">{#N/A,#N/A,FALSE,"3";#N/A,#N/A,FALSE,"5";#N/A,#N/A,FALSE,"6";#N/A,#N/A,FALSE,"8";#N/A,#N/A,FALSE,"10";#N/A,#N/A,FALSE,"13";#N/A,#N/A,FALSE,"14";#N/A,#N/A,FALSE,"15";#N/A,#N/A,FALSE,"16"}</definedName>
    <definedName name="khk" hidden="1">{#N/A,#N/A,FALSE,"3";#N/A,#N/A,FALSE,"5";#N/A,#N/A,FALSE,"6";#N/A,#N/A,FALSE,"8";#N/A,#N/A,FALSE,"10";#N/A,#N/A,FALSE,"13";#N/A,#N/A,FALSE,"14";#N/A,#N/A,FALSE,"15";#N/A,#N/A,FALSE,"16"}</definedName>
    <definedName name="khkh" hidden="1">{#N/A,#N/A,FALSE,"3";#N/A,#N/A,FALSE,"5";#N/A,#N/A,FALSE,"6";#N/A,#N/A,FALSE,"8";#N/A,#N/A,FALSE,"10";#N/A,#N/A,FALSE,"13";#N/A,#N/A,FALSE,"14";#N/A,#N/A,FALSE,"15";#N/A,#N/A,FALSE,"16"}</definedName>
    <definedName name="khkhk" hidden="1">{#N/A,#N/A,FALSE,"3";#N/A,#N/A,FALSE,"5";#N/A,#N/A,FALSE,"6";#N/A,#N/A,FALSE,"8";#N/A,#N/A,FALSE,"10";#N/A,#N/A,FALSE,"13";#N/A,#N/A,FALSE,"14";#N/A,#N/A,FALSE,"15";#N/A,#N/A,FALSE,"16"}</definedName>
    <definedName name="KIBS_DIMREP" hidden="1">" "</definedName>
    <definedName name="KIBSCASHFLOW" hidden="1">TRUE()</definedName>
    <definedName name="kijblb" hidden="1">{#N/A,#N/A,FALSE,"TAXC.INDEX";#N/A,#N/A,FALSE,"Schedule I";#N/A,#N/A,FALSE,"Schedule  II";#N/A,#N/A,FALSE,"Schedule III";#N/A,#N/A,FALSE,"Schedule IV";#N/A,#N/A,FALSE,"Schedule IV (Cont'd)";#N/A,#N/A,FALSE,"Schedule V";#N/A,#N/A,FALSE,"Schedule VI";#N/A,#N/A,FALSE,"Schedule VII"}</definedName>
    <definedName name="kinjs" hidden="1">{"detail",#N/A,FALSE,"mfg";"summary",#N/A,FALSE,"mfg"}</definedName>
    <definedName name="kip" hidden="1">{"detail",#N/A,FALSE,"mfg";"summary",#N/A,FALSE,"mfg"}</definedName>
    <definedName name="KIT" hidden="1">{"equity comps",#N/A,FALSE,"CS Comps";"equity comps",#N/A,FALSE,"PS Comps";"equity comps",#N/A,FALSE,"GIC_Comps";"equity comps",#N/A,FALSE,"GIC2_Comps"}</definedName>
    <definedName name="kj" hidden="1">{#N/A,#N/A,FALSE,"TAXC.INDEX";#N/A,#N/A,FALSE,"Schedule I";#N/A,#N/A,FALSE,"Schedule  II";#N/A,#N/A,FALSE,"Schedule III"}</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hidden="1">{"ICD Details",#N/A,FALSE,"Current Yr";"ICD Details",#N/A,FALSE,"Budget";"ICD Details",#N/A,FALSE,"Prior Year"}</definedName>
    <definedName name="kjip" hidden="1">{"detail",#N/A,FALSE,"mfg";"summary",#N/A,FALSE,"mfg"}</definedName>
    <definedName name="kjk" hidden="1">{"Units A",#N/A,FALSE,"FY95SLS";"Units B",#N/A,FALSE,"FY95SLS"}</definedName>
    <definedName name="kjk.l" hidden="1">{#N/A,#N/A,FALSE,"Produkte Erw.";#N/A,#N/A,FALSE,"Produkte Plan";#N/A,#N/A,FALSE,"Leistungen Erw.";#N/A,#N/A,FALSE,"Leistungen Plan";#N/A,#N/A,FALSE,"KA Allg.Kosten (2)";#N/A,#N/A,FALSE,"KA All.Kosten"}</definedName>
    <definedName name="kjkljl" hidden="1">{"Pound Sterling",#N/A,TRUE,"PPD";"Pound Sterling",#N/A,TRUE,"Anaquest";"Pound Sterling",#N/A,TRUE,"Delta";"Pound Sterling",#N/A,TRUE,"INO"}</definedName>
    <definedName name="kjljkölhklh" hidden="1">{#N/A,#N/A,FALSE,"Produkte Erw.";#N/A,#N/A,FALSE,"Produkte Plan";#N/A,#N/A,FALSE,"Leistungen Erw.";#N/A,#N/A,FALSE,"Leistungen Plan";#N/A,#N/A,FALSE,"KA Allg.Kosten (2)";#N/A,#N/A,FALSE,"KA All.Kosten"}</definedName>
    <definedName name="kjs"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KK" hidden="1">{#N/A,"PURCHM",FALSE,"Business Analysis";#N/A,"SPADD",FALSE,"Business Analysis"}</definedName>
    <definedName name="kk.l" hidden="1">{#N/A,#N/A,FALSE,"Produkte Erw.";#N/A,#N/A,FALSE,"Produkte Plan";#N/A,#N/A,FALSE,"Leistungen Erw.";#N/A,#N/A,FALSE,"Leistungen Plan";#N/A,#N/A,FALSE,"KA Allg.Kosten (2)";#N/A,#N/A,FALSE,"KA All.Kosten"}</definedName>
    <definedName name="kkk" hidden="1">{#N/A,#N/A,FALSE,"Pharm";#N/A,#N/A,FALSE,"WWCM"}</definedName>
    <definedName name="kkk.llll" hidden="1">{#N/A,#N/A,FALSE,"Umsatz CH";#N/A,#N/A,FALSE,"ER CH";#N/A,#N/A,FALSE,"EA CH (2) ";#N/A,#N/A,FALSE,"EA CH";#N/A,#N/A,FALSE,"EA CH (3) ";#N/A,#N/A,FALSE,"EA CH (4)";#N/A,#N/A,FALSE,"KA CH";#N/A,#N/A,FALSE,"KA CH  (2)";#N/A,#N/A,FALSE,"KA CH  (3)";#N/A,#N/A,FALSE,"KA CH (4)"}</definedName>
    <definedName name="kkkk.llll" hidden="1">{#N/A,#N/A,FALSE,"Umsatz 99";#N/A,#N/A,FALSE,"ER 99 "}</definedName>
    <definedName name="kkkkk" hidden="1">{"Sum WW A",#N/A,FALSE,"FY95SLS";"Sum WW B",#N/A,FALSE,"FY95SLS";"Sum US A",#N/A,FALSE,"FY95SLS";"Sum US B",#N/A,FALSE,"FY95SLS";"Sum US Bocg",#N/A,FALSE,"FY95SLS";"Sum Can A",#N/A,FALSE,"FY95SLS";"Sum Can B",#N/A,FALSE,"FY95SLS";"Sum Europe",#N/A,FALSE,"FY95SLS";"Sum Row",#N/A,FALSE,"FY95SLS"}</definedName>
    <definedName name="KKR" hidden="1">{#N/A,#N/A,FALSE,"DCF";#N/A,#N/A,FALSE,"WACC";#N/A,#N/A,FALSE,"Sales_EBIT";#N/A,#N/A,FALSE,"Capex_Depreciation";#N/A,#N/A,FALSE,"WC";#N/A,#N/A,FALSE,"Interest";#N/A,#N/A,FALSE,"Assumptions"}</definedName>
    <definedName name="kljk" hidden="1">{#N/A,#N/A,FALSE,"Umsatz CH";#N/A,#N/A,FALSE,"ER CH";#N/A,#N/A,FALSE,"EA CH (2) ";#N/A,#N/A,FALSE,"EA CH";#N/A,#N/A,FALSE,"EA CH (3) ";#N/A,#N/A,FALSE,"EA CH (4)";#N/A,#N/A,FALSE,"KA CH";#N/A,#N/A,FALSE,"KA CH  (2)";#N/A,#N/A,FALSE,"KA CH  (3)";#N/A,#N/A,FALSE,"KA CH (4)"}</definedName>
    <definedName name="kljklkj" hidden="1">{#N/A,#N/A,FALSE,"KA CH  (2)"}</definedName>
    <definedName name="klk" hidden="1">{#N/A,#N/A,FALSE,"Umsatz CH";#N/A,#N/A,FALSE,"ER CH";#N/A,#N/A,FALSE,"EA CH (2) ";#N/A,#N/A,FALSE,"EA CH";#N/A,#N/A,FALSE,"EA CH (3) ";#N/A,#N/A,FALSE,"EA CH (4)";#N/A,#N/A,FALSE,"KA CH";#N/A,#N/A,FALSE,"KA CH  (2)";#N/A,#N/A,FALSE,"KA CH  (3)";#N/A,#N/A,FALSE,"KA CH (4)"}</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 hidden="1">{#N/A,#N/A,FALSE,"Umsatz 99";#N/A,#N/A,FALSE,"ER 99 "}</definedName>
    <definedName name="klklklkl" hidden="1">{#N/A,#N/A,FALSE,"Index";"Stmts_Qtrs",#N/A,FALSE,"Summary";"Stmts_24 mo",#N/A,FALSE,"Summary";"Summary_24",#N/A,FALSE,"Revenue";"Month_24",#N/A,FALSE,"Engineering";"Month_24",#N/A,FALSE,"Marketing";"Month_24",#N/A,FALSE,"G &amp; A";"Month_24",#N/A,FALSE,"Manufacturing"}</definedName>
    <definedName name="klklklklklkl"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klñ" hidden="1">{"AS REP",#N/A,FALSE,"EEFSNAP2";"PROP",#N/A,FALSE,"EEFSNAP2";"RISKS",#N/A,FALSE,"EEFSNAP2";"VIEW ALL",#N/A,FALSE,"EEFSNAP2"}</definedName>
    <definedName name="klulo" hidden="1">{"Units A",#N/A,FALSE,"FY95SLS";"Units B",#N/A,FALSE,"FY95SLS"}</definedName>
    <definedName name="km" hidden="1">{"pro_view",#N/A,FALSE,"EEFSNAP2";"rep_view",#N/A,FALSE,"EEFSNAP2"}</definedName>
    <definedName name="kma" hidden="1">{#N/A,#N/A,TRUE,"Cover sheet";#N/A,#N/A,TRUE,"DCF analysis";#N/A,#N/A,TRUE,"WACC calculation"}</definedName>
    <definedName name="kmh" hidden="1">{#N/A,#N/A,TRUE,"Cover sheet";#N/A,#N/A,TRUE,"DCF analysis";#N/A,#N/A,TRUE,"WACC calculation"}</definedName>
    <definedName name="KMPF" hidden="1">{#N/A,#N/A,FALSE,"Presentation by Unit";#N/A,#N/A,FALSE,"Presentation by BD";#N/A,#N/A,FALSE,"Presentation Split by Biggest U";#N/A,#N/A,FALSE,"Presentation Split by Area";#N/A,#N/A,FALSE,"Presentation Split by BD"}</definedName>
    <definedName name="kn" hidden="1">{#N/A,#N/A,FALSE,"TB";#N/A,#N/A,FALSE,"DR";#N/A,#N/A,FALSE,"AR";#N/A,#N/A,FALSE,"PL";#N/A,#N/A,FALSE,"BS";#N/A,#N/A,FALSE,"NOTES";#N/A,#N/A,FALSE,"NOTES (2)";#N/A,#N/A,FALSE,"NOTES (3)";#N/A,#N/A,FALSE,"DPL";#N/A,#N/A,FALSE,"TAXC.INDEX";#N/A,#N/A,FALSE,"Schedule I";#N/A,#N/A,FALSE,"Adjustments"}</definedName>
    <definedName name="ko" hidden="1">{#N/A,#N/A,TRUE,"COVER";#N/A,#N/A,TRUE,"DIR";#N/A,#N/A,TRUE,"AUDIT"}</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 hidden="1">{"away stand alones",#N/A,FALSE,"Target"}</definedName>
    <definedName name="KONCERN" hidden="1">FALSE()</definedName>
    <definedName name="kou" hidden="1">{"detail",#N/A,FALSE,"mfg";"summary",#N/A,FALSE,"mfg"}</definedName>
    <definedName name="krii" hidden="1">{"US Dollars",#N/A,TRUE,"PPD";"US Dollar",#N/A,TRUE,"Anaquest";"US Dollar",#N/A,TRUE,"Delta";"US Dollar",#N/A,TRUE,"INO"}</definedName>
    <definedName name="kslkjkjlkjd" hidden="1">{#N/A,#N/A,FALSE,"REPORT"}</definedName>
    <definedName name="ksp" hidden="1">{#N/A,#N/A,FALSE,"TAXC.INDEX";#N/A,#N/A,FALSE,"Schedule I";#N/A,#N/A,FALSE,"Schedule  II";#N/A,#N/A,FALSE,"Schedule III"}</definedName>
    <definedName name="kuie"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kuir" hidden="1">{"Units A",#N/A,FALSE,"FY95SLS";"Units B",#N/A,FALSE,"FY95SLS"}</definedName>
    <definedName name="Kumatage2" hidden="1">"11000000000000000000000000000000000000000000000000000000000000000000000000000000000000000000000000000000000000000000000000000000000000000000000000000000000000000000000000000000000000000000000000000000"</definedName>
    <definedName name="kuyrk" hidden="1">{"Units A",#N/A,FALSE,"FY95SLS";"Units B",#N/A,FALSE,"FY95SLS"}</definedName>
    <definedName name="ky" hidden="1">{#N/A,#N/A,FALSE,"TB";#N/A,#N/A,FALSE,"DR";#N/A,#N/A,FALSE,"AR";#N/A,#N/A,FALSE,"BS";#N/A,#N/A,FALSE,"PL";#N/A,#N/A,FALSE,"NOTES";#N/A,#N/A,FALSE,"NOTES (2)";#N/A,#N/A,FALSE,"NOTES (3)";#N/A,#N/A,FALSE,"DPL";#N/A,#N/A,FALSE,"DPL"}</definedName>
    <definedName name="kyd.CounterLimitCell.01." hidden="1">"x"</definedName>
    <definedName name="kyd.CounterLimitCell.02." hidden="1">"x"</definedName>
    <definedName name="kyd.Dim.01." hidden="1">"Count up"</definedName>
    <definedName name="kyd.Dim.02." hidden="1">"currency"</definedName>
    <definedName name="kyd.ElementList.01." hidden="1">"x"</definedName>
    <definedName name="kyd.ElementType.01." hidden="1">3</definedName>
    <definedName name="kyd.ElementType.02." hidden="1">3</definedName>
    <definedName name="kyd.ItemType.01." hidden="1">3</definedName>
    <definedName name="kyd.ItemType.02."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 hidden="1">FALSE()</definedName>
    <definedName name="kyd.NumLevels.01." hidden="1">0</definedName>
    <definedName name="kyd.NumLevels.02." hidden="1">999</definedName>
    <definedName name="kyd.PanicStop." hidden="1">TRUE()</definedName>
    <definedName name="kyd.ParentName.01." hidden="1">""</definedName>
    <definedName name="kyd.ParentName.02." hidden="1">"AUD"</definedName>
    <definedName name="kyd.PreScreenData." hidden="1">FALSE()</definedName>
    <definedName name="kyd.PrintMemo." hidden="1">FALSE()</definedName>
    <definedName name="kyd.PrintParent.01." hidden="1">FALSE()</definedName>
    <definedName name="kyd.PrintParent.02." hidden="1">TRUE()</definedName>
    <definedName name="kyd.PrintStdWhen." hidden="1">1</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electString.02." hidden="1">"*"</definedName>
    <definedName name="kyd.Shortcut." hidden="1">FALSE()</definedName>
    <definedName name="kyd.StdSortHide." hidden="1">FALSE()</definedName>
    <definedName name="kyd.StopRow." hidden="1">65536</definedName>
    <definedName name="kyd.WriteMemWhenOptn." hidden="1">3</definedName>
    <definedName name="kyuiuyi" hidden="1">{"Pound Sterling",#N/A,TRUE,"PPD";"Pound Sterling",#N/A,TRUE,"Anaquest";"Pound Sterling",#N/A,TRUE,"Delta";"Pound Sterling",#N/A,TRUE,"INO"}</definedName>
    <definedName name="L" hidden="1">{"PAGE 1",#N/A,FALSE,"COS Excluding Geismar";"PAGE 2",#N/A,FALSE,"COS Excluding Geismar";"PAGE 3",#N/A,FALSE,"COS Excluding Geismar"}</definedName>
    <definedName name="L_Advertising_marketing">#REF!</definedName>
    <definedName name="L_COGS">#REF!</definedName>
    <definedName name="L_Commission_costs">#REF!</definedName>
    <definedName name="L_Cost_of_sales">#REF!</definedName>
    <definedName name="L_Dam_footwear">#REF!</definedName>
    <definedName name="L_Depreciation">#REF!</definedName>
    <definedName name="L_Deprecitation">#REF!</definedName>
    <definedName name="L_Freight">#REF!</definedName>
    <definedName name="L_Freight_packaging">#REF!</definedName>
    <definedName name="L_Installed_IMBOXes">#REF!</definedName>
    <definedName name="L_Liquids">#REF!</definedName>
    <definedName name="L_OpExp">#REF!</definedName>
    <definedName name="L_Other_COGS">#REF!</definedName>
    <definedName name="L_Other_OPEX">#REF!</definedName>
    <definedName name="L_Repair_maintenance">#REF!</definedName>
    <definedName name="L_Research_developing_costs">#REF!</definedName>
    <definedName name="L_Rev">#REF!</definedName>
    <definedName name="L_Rev_Add">#REF!</definedName>
    <definedName name="L_Rev_rental">#REF!</definedName>
    <definedName name="L_Service_commission_costs">#REF!</definedName>
    <definedName name="L_Service_task_costs">#REF!</definedName>
    <definedName name="L_Spare">#REF!</definedName>
    <definedName name="L_Staff_costs">#REF!</definedName>
    <definedName name="L_Tax">#REF!</definedName>
    <definedName name="L_Treatments">#REF!</definedName>
    <definedName name="lafiessta" hidden="1">#REF!</definedName>
    <definedName name="lala" hidden="1">{#N/A,#N/A,TRUE,"Cover sheet";#N/A,#N/A,TRUE,"DCF analysis";#N/A,#N/A,TRUE,"WACC calculation"}</definedName>
    <definedName name="lay" hidden="1">{#N/A,#N/A,FALSE,"TB";#N/A,#N/A,FALSE,"DR";#N/A,#N/A,FALSE,"AR";#N/A,#N/A,FALSE,"BS";#N/A,#N/A,FALSE,"PL";#N/A,#N/A,FALSE,"NOTES";#N/A,#N/A,FALSE,"NOTES (2)";#N/A,#N/A,FALSE,"NOTES (3)";#N/A,#N/A,FALSE,"DPL";#N/A,#N/A,FALSE,"DPL"}</definedName>
    <definedName name="lbo" hidden="1">{"a",#N/A,FALSE,"LBO - 100%, Sell C,CT 98......";"aa",#N/A,FALSE,"LBO - 100%, Sell C,CT 98......";"aaa",#N/A,FALSE,"LBO - 100%, Sell C,CT 98......";"aaaa",#N/A,FALSE,"LBO - 100%, Sell C,CT 98......";"aaaaa",#N/A,FALSE,"LBO - 100%, Sell C,CT 98......";"aaaaaa",#N/A,FALSE,"LBO - 100%, Sell C,CT 98......"}</definedName>
    <definedName name="ldkeir" hidden="1">{#N/A,"PURCHM",FALSE,"Business Analysis";#N/A,"SPADD",FALSE,"Business Analysis"}</definedName>
    <definedName name="lds" hidden="1">{#N/A,#N/A,FALSE,"CHANGES";#N/A,#N/A,FALSE,"PROD SUMMARY";#N/A,#N/A,FALSE,"1995 PO SUM";#N/A,#N/A,FALSE,"1995 GEOG SUM";#N/A,#N/A,FALSE,"1996 PO SUM";#N/A,#N/A,FALSE,"1996 GEOG SUM"}</definedName>
    <definedName name="lee" hidden="1">{#N/A,#N/A,FALSE,"Pharm";#N/A,#N/A,FALSE,"WWCM"}</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HM" hidden="1">{#N/A,#N/A,FALSE,"DCF";#N/A,#N/A,FALSE,"WACC";#N/A,#N/A,FALSE,"Sales_EBIT";#N/A,#N/A,FALSE,"Capex_Depreciation";#N/A,#N/A,FALSE,"WC";#N/A,#N/A,FALSE,"Interest";#N/A,#N/A,FALSE,"Assumptions"}</definedName>
    <definedName name="lgm" hidden="1">{"'Sample Status'!$A$1:$J$21"}</definedName>
    <definedName name="lhjfkl" hidden="1">{"Units A",#N/A,FALSE,"FY95SLS";"Units B",#N/A,FALSE,"FY95SLS"}</definedName>
    <definedName name="lhjlhjlh" hidden="1">{#N/A,#N/A,FALSE,"3";#N/A,#N/A,FALSE,"5";#N/A,#N/A,FALSE,"6";#N/A,#N/A,FALSE,"8";#N/A,#N/A,FALSE,"10";#N/A,#N/A,FALSE,"13";#N/A,#N/A,FALSE,"14";#N/A,#N/A,FALSE,"15";#N/A,#N/A,FALSE,"16"}</definedName>
    <definedName name="lhjlkjlhklhljl" hidden="1">{#N/A,#N/A,FALSE,"PMW Gruppe 99_98";#N/A,#N/A,FALSE,"PMW KG 98_99";#N/A,#N/A,FALSE,"PMW Inc. 99_98";#N/A,#N/A,FALSE,"PMW VTECH 99_98";#N/A,#N/A,FALSE,"PMW Thail. 99_98";#N/A,#N/A,FALSE,"PMW Canada 99_98";#N/A,#N/A,FALSE,"Währungsabw. 99_98"}</definedName>
    <definedName name="liliy" hidden="1">{#N/A,#N/A,FALSE,"3";#N/A,#N/A,FALSE,"5";#N/A,#N/A,FALSE,"6";#N/A,#N/A,FALSE,"8";#N/A,#N/A,FALSE,"10";#N/A,#N/A,FALSE,"13";#N/A,#N/A,FALSE,"14";#N/A,#N/A,FALSE,"15";#N/A,#N/A,FALSE,"16"}</definedName>
    <definedName name="limcount" hidden="1">1</definedName>
    <definedName name="lindex">" "</definedName>
    <definedName name="LineType" hidden="1">#REF!</definedName>
    <definedName name="Liste_sheet0" hidden="1">"'Liste'
0
"</definedName>
    <definedName name="Liste_sheets" hidden="1">1</definedName>
    <definedName name="Listeh_sheet0" hidden="1">"'Liste'
0
"</definedName>
    <definedName name="Listeh_sheets" hidden="1">1</definedName>
    <definedName name="ListOffset" hidden="1">1</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hlhjl" hidden="1">{#N/A,#N/A,FALSE,"3";#N/A,#N/A,FALSE,"5";#N/A,#N/A,FALSE,"6";#N/A,#N/A,FALSE,"8";#N/A,#N/A,FALSE,"10";#N/A,#N/A,FALSE,"13";#N/A,#N/A,FALSE,"14";#N/A,#N/A,FALSE,"15";#N/A,#N/A,FALSE,"16"}</definedName>
    <definedName name="ljhlhjlhjlhjlhj" hidden="1">{#N/A,#N/A,FALSE,"3";#N/A,#N/A,FALSE,"5";#N/A,#N/A,FALSE,"6";#N/A,#N/A,FALSE,"8";#N/A,#N/A,FALSE,"10";#N/A,#N/A,FALSE,"13";#N/A,#N/A,FALSE,"14";#N/A,#N/A,FALSE,"15";#N/A,#N/A,FALSE,"16"}</definedName>
    <definedName name="ljkl" hidden="1">{#N/A,#N/A,FALSE,"Umsatz HM";#N/A,#N/A,FALSE,"ER HM";#N/A,#N/A,FALSE,"EA HM  (2)";#N/A,#N/A,FALSE,"EA HM ";#N/A,#N/A,FALSE,"EA HM  (4)";#N/A,#N/A,FALSE,"EA HM  (3)";#N/A,#N/A,FALSE,"KA HM  (2)";#N/A,#N/A,FALSE,"KA HM";#N/A,#N/A,FALSE,"KA HM  (3)";#N/A,#N/A,FALSE,"KA HM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lhjlhjlj" hidden="1">{#N/A,#N/A,FALSE,"3";#N/A,#N/A,FALSE,"5";#N/A,#N/A,FALSE,"6";#N/A,#N/A,FALSE,"8";#N/A,#N/A,FALSE,"10";#N/A,#N/A,FALSE,"13";#N/A,#N/A,FALSE,"14";#N/A,#N/A,FALSE,"15";#N/A,#N/A,FALSE,"16"}</definedName>
    <definedName name="ljljl" hidden="1">{#N/A,#N/A,FALSE,"3";#N/A,#N/A,FALSE,"5";#N/A,#N/A,FALSE,"6";#N/A,#N/A,FALSE,"8";#N/A,#N/A,FALSE,"10";#N/A,#N/A,FALSE,"13";#N/A,#N/A,FALSE,"14";#N/A,#N/A,FALSE,"15";#N/A,#N/A,FALSE,"16"}</definedName>
    <definedName name="lk" hidden="1">{"'comite'!$A$9:$G$44","'comite'!$A$1:$G$6"}</definedName>
    <definedName name="lkj" hidden="1">{"detail",#N/A,FALSE,"mfg";"summary",#N/A,FALSE,"mfg"}</definedName>
    <definedName name="lkjlkj" hidden="1">{"Final",#N/A,FALSE,"Feb-96"}</definedName>
    <definedName name="lkjlklkjlkjlkj" hidden="1">{"page1",#N/A,TRUE,"CSC";"page2",#N/A,TRUE,"CSC"}</definedName>
    <definedName name="LKK" hidden="1">{#N/A,#N/A,FALSE,"ARCSTEP"}</definedName>
    <definedName name="lkl" hidden="1">{#N/A,#N/A,FALSE,"Umsatz EO BP";#N/A,#N/A,FALSE,"Umsatz EO OP";#N/A,#N/A,FALSE,"ER EO BP";#N/A,#N/A,FALSE,"ER EO OP";#N/A,#N/A,FALSE,"EA EO (2)";#N/A,#N/A,FALSE,"EA EO";#N/A,#N/A,FALSE,"EA EO (3)";#N/A,#N/A,FALSE,"EA EO (4)";#N/A,#N/A,FALSE,"KA EO  (2)";#N/A,#N/A,FALSE,"KA EO";#N/A,#N/A,FALSE,"KA EO  (3)";#N/A,#N/A,FALSE,"KA EO (4)"}</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hidden="1">{"consolidated",#N/A,FALSE,"Sheet1";"cms",#N/A,FALSE,"Sheet1";"fse",#N/A,FALSE,"Sheet1"}</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hidden="1">{#N/A,#N/A,FALSE,"PMW Gruppe 99_98";#N/A,#N/A,FALSE,"PMW KG 98_99";#N/A,#N/A,FALSE,"PMW Inc. 99_98";#N/A,#N/A,FALSE,"PMW VTECH 99_98";#N/A,#N/A,FALSE,"PMW Thail. 99_98";#N/A,#N/A,FALSE,"PMW Canada 99_98";#N/A,#N/A,FALSE,"Währungsabw. 99_98"}</definedName>
    <definedName name="ll" hidden="1">{#N/A,#N/A,TRUE,"COVER";#N/A,#N/A,TRUE,"DIR";#N/A,#N/A,TRUE,"AUDIT"}</definedName>
    <definedName name="ll.l" hidden="1">{#N/A,#N/A,FALSE,"Produkte Erw.";#N/A,#N/A,FALSE,"Produkte Plan";#N/A,#N/A,FALSE,"Leistungen Erw.";#N/A,#N/A,FALSE,"Leistungen Plan";#N/A,#N/A,FALSE,"KA Allg.Kosten (2)";#N/A,#N/A,FALSE,"KA All.Kosten"}</definedName>
    <definedName name="llk" hidden="1">{"pro_view",#N/A,FALSE,"EEFSNAP2";"rep_view",#N/A,FALSE,"EEFSNAP2"}</definedName>
    <definedName name="lll" hidden="1">{#N/A,#N/A,FALSE,"Umsatz CH";#N/A,#N/A,FALSE,"ER CH";#N/A,#N/A,FALSE,"EA CH (2) ";#N/A,#N/A,FALSE,"EA CH";#N/A,#N/A,FALSE,"EA CH (3) ";#N/A,#N/A,FALSE,"EA CH (4)";#N/A,#N/A,FALSE,"KA CH";#N/A,#N/A,FALSE,"KA CH  (2)";#N/A,#N/A,FALSE,"KA CH  (3)";#N/A,#N/A,FALSE,"KA CH (4)"}</definedName>
    <definedName name="llllll" hidden="1">{"detail",#N/A,FALSE,"mfg";"summary",#N/A,FALSE,"mfg"}</definedName>
    <definedName name="llp" hidden="1">{"YD LPH2",#N/A,FALSE,"YTD"}</definedName>
    <definedName name="LME">#REF!</definedName>
    <definedName name="lñ" hidden="1">{"sales growth",#N/A,FALSE,"summary";"oper income",#N/A,FALSE,"summary";"oros rank",#N/A,FALSE,"summary";"net assets",#N/A,FALSE,"summary";"asset turnover",#N/A,FALSE,"summary";"orona",#N/A,FALSE,"summary"}</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Col" hidden="1">#REF!</definedName>
    <definedName name="lokllk" hidden="1">{"charmin",#N/A,FALSE,"FMAM II"}</definedName>
    <definedName name="loli" hidden="1">#REF!</definedName>
    <definedName name="LookupColumn">_xlfn.lambda(_xlpm.column,      INDEX(#REF!, 0,          MATCH(_xlpm.column,#REF!, 0)     ) )</definedName>
    <definedName name="lop" hidden="1">{"detail",#N/A,FALSE,"mfg";"summary",#N/A,FALSE,"mfg"}</definedName>
    <definedName name="lory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lost" hidden="1">{"'comite'!$A$9:$G$44","'comite'!$A$1:$G$6"}</definedName>
    <definedName name="louis" hidden="1">{"vue1",#N/A,FALSE,"synthese";"vue2",#N/A,FALSE,"synthese"}</definedName>
    <definedName name="lpok" hidden="1">{#N/A,"PURADD",FALSE,"Business Analysis";#N/A,"PURSPP",FALSE,"Business Analysis";#N/A,"CTGIND",FALSE,"Business Analysis";#N/A,"PURCHM",FALSE,"Business Analysis";#N/A,"SPADD",FALSE,"Business Analysis";#N/A,"EPOXY",FALSE,"Business Analysis";#N/A,"PURPER",FALSE,"Business Analysis"}</definedName>
    <definedName name="lrui" hidden="1">{"Units A",#N/A,FALSE,"FY95SLS";"Units B",#N/A,FALSE,"FY95SLS"}</definedName>
    <definedName name="ltiuotu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ltm_IncomeStatement" hidden="1">#REF!</definedName>
    <definedName name="lu" hidden="1">{"'Directory'!$A$72:$E$91"}</definedName>
    <definedName name="LUFeXToEUR" hidden="1">1/eurextoluf</definedName>
    <definedName name="m" hidden="1">{#N/A,#N/A,FALSE,"CNS";#N/A,#N/A,FALSE,"Serz";#N/A,#N/A,FALSE,"Ace"}</definedName>
    <definedName name="m.m" hidden="1">{#N/A,#N/A,FALSE,"3";#N/A,#N/A,FALSE,"5";#N/A,#N/A,FALSE,"6";#N/A,#N/A,FALSE,"8";#N/A,#N/A,FALSE,"10";#N/A,#N/A,FALSE,"13";#N/A,#N/A,FALSE,"14";#N/A,#N/A,FALSE,"15";#N/A,#N/A,FALSE,"16"}</definedName>
    <definedName name="M_PlaceofPath" hidden="1">"\\snyceqt0301\vdf$\tmp\blabla"</definedName>
    <definedName name="maji" hidden="1">{"detail",#N/A,FALSE,"mfg";"summary",#N/A,FALSE,"mfg"}</definedName>
    <definedName name="MANREP_KIBS" hidden="1">"MANREP_KIBS"</definedName>
    <definedName name="mapIDRow" hidden="1">#REF!</definedName>
    <definedName name="mapStartRow" hidden="1">#REF!</definedName>
    <definedName name="Master">#REF!</definedName>
    <definedName name="Master_categorical_columns">_xlfn.ANCHORARRAY(#REF!)</definedName>
    <definedName name="Master_date_columns">_xlfn.ANCHORARRAY(#REF!)</definedName>
    <definedName name="Master_entity_columns">_xlfn.ANCHORARRAY(#REF!)</definedName>
    <definedName name="Master_fiscal_columns">_xlfn.ANCHORARRAY(#REF!)</definedName>
    <definedName name="MATT" hidden="1">{#N/A,#N/A,TRUE,"Main Issues";#N/A,#N/A,TRUE,"Income statement ($)"}</definedName>
    <definedName name="may" hidden="1">{#N/A,#N/A,FALSE,"TAXC.INDEX";#N/A,#N/A,FALSE,"Schedule I";#N/A,#N/A,FALSE,"Schedule  II";#N/A,#N/A,FALSE,"Schedule III"}</definedName>
    <definedName name="May13th" hidden="1">{#N/A,#N/A,FALSE,"Presentation by Unit";#N/A,#N/A,FALSE,"Presentation by BD";#N/A,#N/A,FALSE,"Presentation Split by Biggest U";#N/A,#N/A,FALSE,"Presentation Split by Area";#N/A,#N/A,FALSE,"Presentation Split by BD"}</definedName>
    <definedName name="mb" hidden="1">{#N/A,#N/A,FALSE,"CHANGES";#N/A,#N/A,FALSE,"PROD SUMMARY";#N/A,#N/A,FALSE,"1995 PO SUM";#N/A,#N/A,FALSE,"1995 GEOG SUM";#N/A,#N/A,FALSE,"1996 PO SUM";#N/A,#N/A,FALSE,"1996 GEOG SUM"}</definedName>
    <definedName name="mb_inputLocation" hidden="1">#REF!</definedName>
    <definedName name="mbm" hidden="1">{#N/A,#N/A,FALSE,"3";#N/A,#N/A,FALSE,"5";#N/A,#N/A,FALSE,"6";#N/A,#N/A,FALSE,"8";#N/A,#N/A,FALSE,"10";#N/A,#N/A,FALSE,"13";#N/A,#N/A,FALSE,"14";#N/A,#N/A,FALSE,"15";#N/A,#N/A,FALSE,"16"}</definedName>
    <definedName name="mbmb" hidden="1">{#N/A,#N/A,FALSE,"3";#N/A,#N/A,FALSE,"5";#N/A,#N/A,FALSE,"6";#N/A,#N/A,FALSE,"8";#N/A,#N/A,FALSE,"10";#N/A,#N/A,FALSE,"13";#N/A,#N/A,FALSE,"14";#N/A,#N/A,FALSE,"15";#N/A,#N/A,FALSE,"16"}</definedName>
    <definedName name="mbnv" hidden="1">{#N/A,#N/A,FALSE,"TB";#N/A,#N/A,FALSE,"AR";#N/A,#N/A,FALSE,"BS";#N/A,#N/A,FALSE,"PL";#N/A,#N/A,FALSE,"NOTES";#N/A,#N/A,FALSE,"NOTES (2)";#N/A,#N/A,FALSE,"NOTES (3)";#N/A,#N/A,FALSE,"TAXC.INDEX";#N/A,#N/A,FALSE,"Schedule I";#N/A,#N/A,FALSE,"DPL";#N/A,#N/A,FALSE,"Schedule IV";#N/A,#N/A,FALSE,"Adjustments"}</definedName>
    <definedName name="mdgh" hidden="1">{"Pound Sterling",#N/A,TRUE,"PPD";"Pound Sterling",#N/A,TRUE,"Anaquest";"Pound Sterling",#N/A,TRUE,"Delta";"Pound Sterling",#N/A,TRUE,"INO"}</definedName>
    <definedName name="Memo_IS"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SA" hidden="1">{#N/A,#N/A,TRUE,"Resumo";#N/A,#N/A,TRUE,"iNDICES";#N/A,#N/A,TRUE,"TOT_MI";#N/A,#N/A,TRUE,"COT";#N/A,#N/A,TRUE,"LIM";#N/A,#N/A,TRUE,"SIF";#N/A,#N/A,TRUE,"RIO";#N/A,#N/A,TRUE,"MESA";#N/A,#N/A,TRUE,"POA_EST_MTN_SLP";#N/A,#N/A,TRUE,"PEL";#N/A,#N/A,TRUE,"PSF";#N/A,#N/A,TRUE,"CXS";#N/A,#N/A,TRUE,"CAA";#N/A,#N/A,TRUE,"REC";#N/A,#N/A,TRUE,"BRA";#N/A,#N/A,TRUE,"ANA";#N/A,#N/A,TRUE,"TOT ME";#N/A,#N/A,TRUE,"TOT"}</definedName>
    <definedName name="MEWarning" hidden="1">0</definedName>
    <definedName name="mfoew" hidden="1">{#N/A,"PURCHM",FALSE,"Business Analysis";#N/A,"SPADD",FALSE,"Business Analysis"}</definedName>
    <definedName name="MGT.TEST.12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mhjmdh" hidden="1">{"Pound Sterling",#N/A,TRUE,"PPD";"Pound Sterling",#N/A,TRUE,"Anaquest";"Pound Sterling",#N/A,TRUE,"Delta";"Pound Sterling",#N/A,TRUE,"INO"}</definedName>
    <definedName name="MI" hidden="1">#REF!</definedName>
    <definedName name="michelle" hidden="1">{"Summary analysis",#N/A,FALSE,"Total";"OCPH analysis",#N/A,FALSE,"Total";"detail analysis",#N/A,FALSE,"Total"}</definedName>
    <definedName name="milner" hidden="1">{#N/A,#N/A,FALSE,"Aging Summary";#N/A,#N/A,FALSE,"Ratio Analysis";#N/A,#N/A,FALSE,"Test 120 Day Accts";#N/A,#N/A,FALSE,"Tickmarks"}</definedName>
    <definedName name="min" hidden="1">{#N/A,#N/A,FALSE,"REPORT"}</definedName>
    <definedName name="mina" hidden="1">{#N/A,#N/A,FALSE,"REPORT"}</definedName>
    <definedName name="miwukls" hidden="1">{"detail",#N/A,FALSE,"mfg";"summary",#N/A,FALSE,"mfg"}</definedName>
    <definedName name="m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wrtjtrjutr" hidden="1">{"Pound Sterling",#N/A,TRUE,"PPD";"Pound Sterling",#N/A,TRUE,"Anaquest";"Pound Sterling",#N/A,TRUE,"Delta";"Pound Sterling",#N/A,TRUE,"INO"}</definedName>
    <definedName name="mk" hidden="1">{"detail",#N/A,FALSE,"mfg";"summary",#N/A,FALSE,"mfg"}</definedName>
    <definedName name="MKK" hidden="1">{"'下期集計（10.27迄・速報値）'!$Q$16"}</definedName>
    <definedName name="mkl" hidden="1">{"pro_view",#N/A,FALSE,"EEFSNAP2";"rep_view",#N/A,FALSE,"EEFSNAP2"}</definedName>
    <definedName name="MLNK2e3cb4e56be6422599b2a3621a972e4f" hidden="1">#REF!</definedName>
    <definedName name="MLNK5820231508b4461ca941991ea65fee7e" hidden="1">#REF!</definedName>
    <definedName name="MLNK5fc9a71c06434282917873e1b94183a8" hidden="1">#REF!</definedName>
    <definedName name="MLNK690796b29f8d432a81a45ea6ed9bb2a4" hidden="1">#REF!</definedName>
    <definedName name="MLNK70e5a74c733641ae88ffe79969ec112e" hidden="1">#REF!</definedName>
    <definedName name="MLNKb7a66006df44490da1c55433f518c112" hidden="1">#REF!</definedName>
    <definedName name="MLNKca40f9a1a03f44039a5c77b64fb4bf57" hidden="1">#REF!</definedName>
    <definedName name="MLNKd08ec46c8f0a41d59e74c76d9f90338e" hidden="1">#REF!</definedName>
    <definedName name="MLNKd86ee65af9fa45c9aa1afe81e54111f6" hidden="1">#REF!</definedName>
    <definedName name="MLNKe4234b9cc37b446681eb726015e429e0" hidden="1">#REF!</definedName>
    <definedName name="MLNKe8d798a30bd24a6b932dee3266221c07" hidden="1">#REF!</definedName>
    <definedName name="MLNKfa99e9b168c74b488ff7de78f61ab69b" hidden="1">#REF!</definedName>
    <definedName name="mlw" hidden="1">{#N/A,#N/A,FALSE,"Pharm";#N/A,#N/A,FALSE,"WWCM"}</definedName>
    <definedName name="mm" hidden="1">{"vol data",#N/A,FALSE,"Datasheet";"vol graph",#N/A,FALSE,"Volume";"price data",#N/A,FALSE,"Datasheet";"price graph",#N/A,FALSE,"Price";"dp data",#N/A,FALSE,"Datasheet";"dp graph",#N/A,FALSE,"DirectProfit"}</definedName>
    <definedName name="mmk" hidden="1">{"Pg1",#N/A,FALSE,"OpExYTDvsBud";"Pg2",#N/A,FALSE,"OpExYTDvsBud"}</definedName>
    <definedName name="mmm" hidden="1">{#N/A,"PURCHM",FALSE,"Business Analysis";#N/A,"SPADD",FALSE,"Business Analysis"}</definedName>
    <definedName name="mmmm" hidden="1">{#N/A,#N/A,FALSE,"DIR-REP";#N/A,#N/A,FALSE,"AUD-REPORT";#N/A,#N/A,FALSE,"P7L&amp;BS";#N/A,#N/A,FALSE,"NOTES";#N/A,#N/A,FALSE,"FA";#N/A,#N/A,FALSE,"NOTES (2)";#N/A,#N/A,FALSE,"Schedule  IV";#N/A,#N/A,FALSE,"Schedule V"}</definedName>
    <definedName name="mmmmm" hidden="1">{#N/A,#N/A,FALSE,"Calc";#N/A,#N/A,FALSE,"Sensitivity";#N/A,#N/A,FALSE,"LT Earn.Dil.";#N/A,#N/A,FALSE,"Dil. AVP"}</definedName>
    <definedName name="mmp" hidden="1">{"detail",#N/A,FALSE,"mfg";"summary",#N/A,FALSE,"mfg"}</definedName>
    <definedName name="mn" hidden="1">{"detail",#N/A,FALSE,"mfg";"summary",#N/A,FALSE,"mfg"}</definedName>
    <definedName name="mnbv" hidden="1">{"Month Summary",#N/A,FALSE,"Summary";"Total Details",#N/A,FALSE,"Current Yr";"Polymers Details",#N/A,FALSE,"Current Yr";"Performance Details",#N/A,FALSE,"Current Yr";"ICD Details",#N/A,FALSE,"Current Yr"}</definedName>
    <definedName name="mnmn" hidden="1">{"detail",#N/A,FALSE,"mfg";"summary",#N/A,FALSE,"mfg"}</definedName>
    <definedName name="mnnb" hidden="1">{#N/A,#N/A,FALSE,"PMW Gruppe 99_98";#N/A,#N/A,FALSE,"PMW KG 98_99";#N/A,#N/A,FALSE,"PMW Inc. 99_98";#N/A,#N/A,FALSE,"PMW VTECH 99_98";#N/A,#N/A,FALSE,"PMW Thail. 99_98";#N/A,#N/A,FALSE,"PMW Canada 99_98";#N/A,#N/A,FALSE,"Währungsabw. 99_98"}</definedName>
    <definedName name="mnv"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mokp" hidden="1">{"QTD_LPO2N2",#N/A,FALSE,"QTD"}</definedName>
    <definedName name="mon" hidden="1">{"page 1",#N/A,FALSE,"A";"page 2",#N/A,FALSE,"A";"page 3",#N/A,FALSE,"A";"page 4",#N/A,FALSE,"A";"page 5",#N/A,FALSE,"A";"page 6",#N/A,FALSE,"A";"page 7",#N/A,FALSE,"A";"page 8",#N/A,FALSE,"A";"page 9",#N/A,FALSE,"A";"page 10",#N/A,FALSE,"A";"page 11",#N/A,FALSE,"A";"page 12",#N/A,FALSE,"A";"page 13",#N/A,FALSE,"A";"page 14",#N/A,FALSE,"A"}</definedName>
    <definedName name="MonRepMonths">#REF!</definedName>
    <definedName name="MONTH" hidden="1">{"PHARM MON",#N/A,FALSE,"PHARM";"PHARM YTD",#N/A,FALSE,"PHARM";"PHARM STAT",#N/A,FALSE,"PHARM";"PORTFOLIO MON",#N/A,FALSE,"PORTFOLIO";"PORTFOLIO YTD",#N/A,FALSE,"PORTFOLIO";"PORTFOLIO STAT",#N/A,FALSE,"PORTFOLIO";"POWERSPORTS MON",#N/A,FALSE,"POWERSPORTS";"POWERSPORT YTD",#N/A,FALSE,"POWERSPORTS";"POWERSPORT STAT",#N/A,FALSE,"POWERSPORTS";"SCIENCE MON",#N/A,FALSE,"SCIENCE";"SCIENCE YTD",#N/A,FALSE,"SCIENCE";"SCIENCE STAT",#N/A,FALSE,"SCIENCE";"TELECOM MON",#N/A,FALSE,"TELECOM";"TELECOM YTD",#N/A,FALSE,"TELECOM";"TELECOM STAT",#N/A,FALSE,"TELECOM";"TRAVEL MON",#N/A,FALSE,"TRAVEL";"TRAVEL YTD",#N/A,FALSE,"TRAVEL";"TRAVEL STAT",#N/A,FALSE,"TRAVEL";"CLUSTER",#N/A,FALSE,"CLUSTER";"OFFICES",#N/A,FALSE,"OFFICES";"CORPORATE",#N/A,FALSE,"CORPORATE";"STAFFING ACI",#N/A,FALSE,"STAFFING ACI";"PUBL MONTH",#N/A,FALSE,"PUBL MONTH";"PUBL YTD",#N/A,FALSE,"PUBL YTD";"EXPO MONTH",#N/A,FALSE,"EXPO MONTH";"EXPO YTD",#N/A,FALSE,"EXPO YTD";"EXPO REV &amp; CONT",#N/A,FALSE,"EXPO REV &amp; CONT";"MKT MONTH",#N/A,FALSE,"MKT MONTH";"MKT YTD",#N/A,FALSE,"MKT YTD";"DEPT MON",#N/A,FALSE,"DEPT MONTH";"DEPT YTD",#N/A,FALSE,"DEPT YTD";"DEPT",#N/A,FALSE,"DEPT";"HIGH IH",#N/A,FALSE,"HIGH IH";"STATE OF OPER IH",#N/A,FALSE,"STATE OF OPER IH";"BAL SHEET IH",#N/A,FALSE,"BAL SHEET IH";"BS DETAIL IH",#N/A,FALSE,"BS DETAIL IH";"CASH FLOW IH",#N/A,FALSE,"CASH FLOW IH";"STAFFING IH",#N/A,FALSE,"STAFFING IH";"REVENUE IH PAGE1",#N/A,FALSE,"REVENUE IH";"REVENUE IH PAGE2",#N/A,FALSE,"REVENUE IH";"CONTRIBUTION IH PAGE1",#N/A,FALSE,"CONTRIBUTION IH";"CONTRIBUTION IH PAGE2",#N/A,FALSE,"CONTRIBUTION IH"}</definedName>
    <definedName name="Month1">#REF!</definedName>
    <definedName name="Month10">#REF!</definedName>
    <definedName name="Month11">#REF!</definedName>
    <definedName name="Month12">#REF!</definedName>
    <definedName name="Month2">#REF!</definedName>
    <definedName name="Month3">#REF!</definedName>
    <definedName name="Month4">#REF!</definedName>
    <definedName name="Month5">#REF!</definedName>
    <definedName name="Month6">#REF!</definedName>
    <definedName name="Month7">#REF!</definedName>
    <definedName name="Month8">#REF!</definedName>
    <definedName name="Month9">#REF!</definedName>
    <definedName name="MONTHNUMBER" hidden="1">11</definedName>
    <definedName name="Months" hidden="1">#REF!</definedName>
    <definedName name="MONTHVAT" hidden="1">TRUE()</definedName>
    <definedName name="MS.CreatedAt" hidden="1">"30.06.1998 11:53:43"</definedName>
    <definedName name="MS.CreatedBy" hidden="1">"JMA"</definedName>
    <definedName name="MS.ModifiedAt" hidden="1">"20.04.1999 10:43:12"</definedName>
    <definedName name="MS.ModifiedBy" hidden="1">"RL"</definedName>
    <definedName name="MS.Version" hidden="1">"1.0.2"</definedName>
    <definedName name="MSD" hidden="1">{#N/A,#N/A,FALSE,"Presentation by Unit";#N/A,#N/A,FALSE,"Presentation by BD";#N/A,#N/A,FALSE,"Presentation Split by Biggest U";#N/A,#N/A,FALSE,"Presentation Split by Area";#N/A,#N/A,FALSE,"Presentation Split by BD"}</definedName>
    <definedName name="mtdRow" hidden="1">#REF!</definedName>
    <definedName name="MTGFEE" hidden="1">{#N/A,#N/A,TRUE,"TransCore Summary";#N/A,#N/A,TRUE,"TransCore IS";#N/A,#N/A,TRUE,"TransCore Balance";#N/A,#N/A,TRUE,"TransCore Backlog";#N/A,#N/A,TRUE,"Syntonic IS";#N/A,#N/A,TRUE,"Syntonic Bal";#N/A,#N/A,TRUE,"Systems IS";#N/A,#N/A,TRUE,"Systems Bal"}</definedName>
    <definedName name="MultiMasterLevelList">_xlfn.lambda(_xlpm.outputlevel,_xlpm.filtercol,_xlpm.filtertxt,_xlpm.entitycol,_xlpm.entitytxt,_xlpm.sortcol,_xlpm.specificationlevel,_xlop.optspecificationitems,_xlop.optsortorder,_xlop.optsorttotop,_xlop.optfiltercol2,_xlop.optfiltertxt2,_xlop.optexcludecol,_xlop.optexcludetxt, IF(OR(ISERROR(_xlpm.outputlevel), ISERROR(_xlpm.filtercol), ISERROR(_xlpm.filtertxt), ISERROR(_xlpm.entitycol), ISERROR(_xlpm.entitytxt), ISERROR(_xlpm.sortcol), ISERROR(_xlpm.specificationlevel), ISERROR(_xlpm.optspecificationitems), ISERROR(_xlpm.optsortorder), ISERROR(_xlpm.optsorttotop), ISERROR(_xlpm.optfiltercol2), ISERROR(_xlpm.optfiltertxt2), ISERROR(_xlpm.optexcludecol), ISERROR(_xlpm.optexcludetxt)), "Error in inputs", _xlfn.LET( _xlpm.mstcol,_xlfn.lambda(_xlpm.col_name, INDEX(Master,0,_xlfn.XMATCH(_xlpm.col_name,Headings))), _xlpm.sortorder,IF(_xlfn.isomitted(_xlpm.optsortorder),-1,_xlpm.optsortorder), _xlpm.filt_c,(_xlpm.mstcol(_xlpm.filtercol)=_xlpm.filtertxt)*(_xlpm.mstcol(_xlpm.entitycol)=_xlpm.entitytxt)*(IF(_xlfn.isomitted(_xlpm.optfiltercol2), TRUE(), _xlpm.mstcol(_xlpm.optfiltercol2)=_xlpm.optfiltertxt2))*(IF(_xlfn.isomitted(_xlpm.optexcludecol), TRUE(), ISNA(MATCH(_xlpm.mstcol(_xlpm.optexcludecol), _xlpm.optexcludetxt, 0)))), _xlpm.c_rng,_xlfn.hstack(_xlfn._xlws.FILTER(_xlpm.mstcol(_xlpm.outputlevel),_xlpm.filt_c),_xlfn._xlws.FILTER(_xlpm.mstcol(_xlpm.specificationlevel),_xlpm.filt_c),_xlfn._xlws.FILTER(_xlpm.mstcol(_xlpm.sortcol),_xlpm.filt_c)), _xlpm.utxt,_xlfn.UNIQUE(_xlfn.take(_xlpm.c_rng,,2)), _xlpm.sum_a,_xlfn.hstack(_xlpm.utxt,_xlfn.byrow(_xlpm.utxt,_xlfn.lambda(_xlpm.r,SUM((INDEX(_xlpm.c_rng,,3))*(INDEX(_xlpm.c_rng,,1)=INDEX(_xlpm.r,,1))))),_xlfn.byrow(_xlpm.utxt,_xlfn.lambda(_xlpm.r,SUM((INDEX(_xlpm.c_rng,,3))*(INDEX(_xlpm.c_rng,,1)=INDEX(_xlpm.r,,1))*(INDEX(_xlpm.c_rng,,2)=INDEX(_xlpm.r,,2)))))), _xlpm.subt, _xlfn.UNIQUE(_xlfn.hstack(INDEX(_xlpm.sum_a,,1),IF(_xlfn.SEQUENCE(ROWS(_xlpm.sum_a), 1), "all"),INDEX(_xlpm.sum_a,,3),IF(_xlfn.SEQUENCE(ROWS(_xlpm.sum_a), 1), ""))), _xlpm.specifilt,IFERROR(_xlfn._xlws.FILTER(_xlpm.optspecificationitems, _xlpm.optspecificationitems&lt;&gt;""),""), _xlpm.specs,_xlfn._xlws.FILTER(_xlpm.sum_a, (ISNUMBER(_xlfn.XMATCH(INDEX(_xlpm.sum_a,,1), _xlpm.specifilt)))), _xlpm.comb,IF(_xlfn.isomitted(_xlpm.optspecificationitems),_xlpm.subt,IFERROR(_xlfn.vstack(_xlpm.specs,_xlpm.subt),_xlpm.subt)), _xlpm.sortarray,_xlfn.SORTBY(_xlpm.comb, IF(ISNUMBER(_xlfn.XMATCH(INDEX(_xlpm.comb,,1), _xlpm.optsorttotop)), _xlfn.XMATCH(INDEX(_xlpm.comb,,1), _xlpm.optsorttotop), 1E+300), 1, (LEFT(INDEX(_xlpm.comb,,1),5)="Other"),1,(INDEX(_xlpm.comb,,3)),_xlpm.sortorder,(LEFT(INDEX(_xlpm.comb,,2),8)="all"),1,(LEFT(INDEX(_xlpm.comb,,2),5)="Other"),1,(INDEX(_xlpm.comb,,4)),_xlpm.sortorder), IFERROR(_xlfn.take(_xlpm.sortarray,,2),""))))</definedName>
    <definedName name="mw" hidden="1">{#N/A,#N/A,FALSE,"Pharm";#N/A,#N/A,FALSE,"WWCM"}</definedName>
    <definedName name="myukr" hidden="1">{"Units A",#N/A,FALSE,"FY95SLS";"Units B",#N/A,FALSE,"FY95SLS"}</definedName>
    <definedName name="n" hidden="1">{"consolidated",#N/A,FALSE,"Sheet1";"cms",#N/A,FALSE,"Sheet1";"fse",#N/A,FALSE,"Sheet1"}</definedName>
    <definedName name="na" hidden="1">{#N/A,#N/A,FALSE,"TB";#N/A,#N/A,FALSE,"AR";#N/A,#N/A,FALSE,"BS";#N/A,#N/A,FALSE,"PL";#N/A,#N/A,FALSE,"NOTES";#N/A,#N/A,FALSE,"NOTES (2)";#N/A,#N/A,FALSE,"NOTES (3)";#N/A,#N/A,FALSE,"TAXC.INDEX";#N/A,#N/A,FALSE,"Schedule I";#N/A,#N/A,FALSE,"DPL";#N/A,#N/A,FALSE,"Schedule IV";#N/A,#N/A,FALSE,"Adjustments"}</definedName>
    <definedName name="NA_error">#REF!</definedName>
    <definedName name="nadf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nadfnhf" hidden="1">{"Pound Sterling",#N/A,TRUE,"PPD";"Pound Sterling",#N/A,TRUE,"Anaquest";"Pound Sterling",#N/A,TRUE,"Delta";"Pound Sterling",#N/A,TRUE,"INO"}</definedName>
    <definedName name="nam90ng" hidden="1">{"detail",#N/A,FALSE,"mfg";"summary",#N/A,FALSE,"mfg"}</definedName>
    <definedName name="nam9njk" hidden="1">{"detail",#N/A,FALSE,"mfg";"summary",#N/A,FALSE,"mfg"}</definedName>
    <definedName name="name" hidden="1">{"detail",#N/A,FALSE,"mfg";"summary",#N/A,FALSE,"mfg"}</definedName>
    <definedName name="name1" hidden="1">{"detail",#N/A,FALSE,"mfg";"summary",#N/A,FALSE,"mfg"}</definedName>
    <definedName name="name10" hidden="1">{"detail",#N/A,FALSE,"mfg";"summary",#N/A,FALSE,"mfg"}</definedName>
    <definedName name="name101" hidden="1">{"detail",#N/A,FALSE,"mfg";"summary",#N/A,FALSE,"mfg"}</definedName>
    <definedName name="name102" hidden="1">{"detail",#N/A,FALSE,"mfg";"summary",#N/A,FALSE,"mfg"}</definedName>
    <definedName name="Name10a">#REF!</definedName>
    <definedName name="Name10b">#REF!</definedName>
    <definedName name="name11" hidden="1">{"detail",#N/A,FALSE,"mfg";"summary",#N/A,FALSE,"mfg"}</definedName>
    <definedName name="Name11a">#REF!</definedName>
    <definedName name="Name11b">#REF!</definedName>
    <definedName name="name12" hidden="1">{"detail",#N/A,FALSE,"mfg";"summary",#N/A,FALSE,"mfg"}</definedName>
    <definedName name="Name12a">#REF!</definedName>
    <definedName name="Name12b">#REF!</definedName>
    <definedName name="name2" hidden="1">{"detail",#N/A,FALSE,"mfg";"summary",#N/A,FALSE,"mfg"}</definedName>
    <definedName name="name202" hidden="1">{"detail",#N/A,FALSE,"mfg";"summary",#N/A,FALSE,"mfg"}</definedName>
    <definedName name="name203" hidden="1">{"detail",#N/A,FALSE,"mfg";"summary",#N/A,FALSE,"mfg"}</definedName>
    <definedName name="name212" hidden="1">{"detail",#N/A,FALSE,"mfg";"summary",#N/A,FALSE,"mfg"}</definedName>
    <definedName name="name213" hidden="1">{"detail",#N/A,FALSE,"mfg";"summary",#N/A,FALSE,"mfg"}</definedName>
    <definedName name="Name2a">#REF!</definedName>
    <definedName name="Name2b">#REF!</definedName>
    <definedName name="name31" hidden="1">{"detail",#N/A,FALSE,"mfg";"summary",#N/A,FALSE,"mfg"}</definedName>
    <definedName name="name32" hidden="1">{"detail",#N/A,FALSE,"mfg";"summary",#N/A,FALSE,"mfg"}</definedName>
    <definedName name="name34" hidden="1">{"detail",#N/A,FALSE,"mfg";"summary",#N/A,FALSE,"mfg"}</definedName>
    <definedName name="name35" hidden="1">{"detail",#N/A,FALSE,"mfg";"summary",#N/A,FALSE,"mfg"}</definedName>
    <definedName name="NAME41" hidden="1">{"detail",#N/A,FALSE,"mfg";"summary",#N/A,FALSE,"mfg"}</definedName>
    <definedName name="name412" hidden="1">{"detail",#N/A,FALSE,"mfg";"summary",#N/A,FALSE,"mfg"}</definedName>
    <definedName name="name413" hidden="1">{"detail",#N/A,FALSE,"mfg";"summary",#N/A,FALSE,"mfg"}</definedName>
    <definedName name="name42" hidden="1">{"detail",#N/A,FALSE,"mfg";"summary",#N/A,FALSE,"mfg"}</definedName>
    <definedName name="name45" hidden="1">{"detail",#N/A,FALSE,"mfg";"summary",#N/A,FALSE,"mfg"}</definedName>
    <definedName name="Name4a">#REF!</definedName>
    <definedName name="Name4b">#REF!</definedName>
    <definedName name="Name4c">#REF!</definedName>
    <definedName name="Name4d">#REF!</definedName>
    <definedName name="Name4e">#REF!</definedName>
    <definedName name="Name4f">#REF!</definedName>
    <definedName name="Name4g">#REF!</definedName>
    <definedName name="name51" hidden="1">{"detail",#N/A,FALSE,"mfg";"summary",#N/A,FALSE,"mfg"}</definedName>
    <definedName name="name54ghs" hidden="1">{"detail",#N/A,FALSE,"mfg";"summary",#N/A,FALSE,"mfg"}</definedName>
    <definedName name="name56a" hidden="1">{"detail",#N/A,FALSE,"mfg";"summary",#N/A,FALSE,"mfg"}</definedName>
    <definedName name="name56a56" hidden="1">{"detail",#N/A,FALSE,"mfg";"summary",#N/A,FALSE,"mfg"}</definedName>
    <definedName name="Name5a">#REF!</definedName>
    <definedName name="Name5b">#REF!</definedName>
    <definedName name="Name5c">#REF!</definedName>
    <definedName name="name61" hidden="1">{"detail",#N/A,FALSE,"mfg";"summary",#N/A,FALSE,"mfg"}</definedName>
    <definedName name="Name6a">#REF!</definedName>
    <definedName name="Name6b">#REF!</definedName>
    <definedName name="Name6c">#REF!</definedName>
    <definedName name="Name6d">#REF!</definedName>
    <definedName name="Name6e">#REF!</definedName>
    <definedName name="Name6f">#REF!</definedName>
    <definedName name="Name6g">#REF!</definedName>
    <definedName name="Name6x">#REF!</definedName>
    <definedName name="Name6y">#REF!</definedName>
    <definedName name="name71" hidden="1">{"detail",#N/A,FALSE,"mfg";"summary",#N/A,FALSE,"mfg"}</definedName>
    <definedName name="Name7a">#REF!</definedName>
    <definedName name="Name7b">#REF!</definedName>
    <definedName name="Name7c">#REF!</definedName>
    <definedName name="Name7d">#REF!</definedName>
    <definedName name="name89shj" hidden="1">{"detail",#N/A,FALSE,"mfg";"summary",#N/A,FALSE,"mfg"}</definedName>
    <definedName name="Name8a">#REF!</definedName>
    <definedName name="Name8b">#REF!</definedName>
    <definedName name="Name9a">#REF!</definedName>
    <definedName name="Name9b">#REF!</definedName>
    <definedName name="Name9c">#REF!</definedName>
    <definedName name="Name9d">#REF!</definedName>
    <definedName name="namea101" hidden="1">{"detail",#N/A,FALSE,"mfg";"summary",#N/A,FALSE,"mfg"}</definedName>
    <definedName name="nameb45" hidden="1">{"detail",#N/A,FALSE,"mfg";"summary",#N/A,FALSE,"mfg"}</definedName>
    <definedName name="nameiges" hidden="1">{"detail",#N/A,FALSE,"mfg";"summary",#N/A,FALSE,"mfg"}</definedName>
    <definedName name="nanahadf" hidden="1">{"Units A",#N/A,FALSE,"FY95SLS";"Units B",#N/A,FALSE,"FY95SLS"}</definedName>
    <definedName name="NB" hidden="1">{#N/A,#N/A,FALSE,"USD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nbhj" hidden="1">{"QTD_LPO2N2",#N/A,FALSE,"QTD";"QTD_HYCO",#N/A,FALSE,"QTD";"QTD_LOUISIANA",#N/A,FALSE,"QTD";"QTD_GENERALH2",#N/A,FALSE,"QTD";"QTD_PACKAGE",#N/A,FALSE,"QTD";"QTD_PRS",#N/A,FALSE,"QTD";"QTD_OTHER",#N/A,FALSE,"QTD"}</definedName>
    <definedName name="NBM" hidden="1">{#N/A,#N/A,TRUE,"AHFSTEP"}</definedName>
    <definedName name="nbv" hidden="1">{"Polymers Details",#N/A,FALSE,"Current Yr";"Polymer Details",#N/A,FALSE,"Budget";"Polymer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dfh" hidden="1">{"Sum WW A",#N/A,FALSE,"FY95SLS";"Sum WW B",#N/A,FALSE,"FY95SLS";"Sum US A",#N/A,FALSE,"FY95SLS";"Sum US B",#N/A,FALSE,"FY95SLS";"Sum US Bocg",#N/A,FALSE,"FY95SLS";"Sum Can A",#N/A,FALSE,"FY95SLS";"Sum Can B",#N/A,FALSE,"FY95SLS";"Sum Europe",#N/A,FALSE,"FY95SLS";"Sum Row",#N/A,FALSE,"FY95SLS"}</definedName>
    <definedName name="ndghndtyj" hidden="1">{"Units A",#N/A,FALSE,"FY95SLS";"Units B",#N/A,FALSE,"FY95SLS"}</definedName>
    <definedName name="netyjeyt" hidden="1">{"Pound Sterling",#N/A,TRUE,"PPD";"Pound Sterling",#N/A,TRUE,"Anaquest";"Pound Sterling",#N/A,TRUE,"Delta";"Pound Sterling",#N/A,TRUE,"INO"}</definedName>
    <definedName name="new" hidden="1">{#N/A,#N/A,FALSE,"Pharm";#N/A,#N/A,FALSE,"WWCM"}</definedName>
    <definedName name="New_Name" hidden="1">{#N/A,#N/A,FALSE,"00 P&amp;L vs 99"}</definedName>
    <definedName name="New_Name1" hidden="1">{#N/A,#N/A,FALSE,"00 P&amp;L vs 99"}</definedName>
    <definedName name="New_Name10" hidden="1">{#N/A,#N/A,FALSE,"00 P&amp;L vs 99"}</definedName>
    <definedName name="New_Name11" hidden="1">{#N/A,#N/A,FALSE,"00 P&amp;L vs 99"}</definedName>
    <definedName name="New_Name2" hidden="1">{#N/A,#N/A,FALSE,"00 P&amp;L vs 99"}</definedName>
    <definedName name="New_Name3" hidden="1">{#N/A,#N/A,FALSE,"00 P&amp;L vs 99"}</definedName>
    <definedName name="New_Name4" hidden="1">{#N/A,#N/A,FALSE,"00 P&amp;L vs 99"}</definedName>
    <definedName name="New_Name5" hidden="1">{#N/A,#N/A,FALSE,"00 P&amp;L vs 99"}</definedName>
    <definedName name="New_Name6" hidden="1">{#N/A,#N/A,FALSE,"00 P&amp;L vs 99"}</definedName>
    <definedName name="New_Name7" hidden="1">{#N/A,#N/A,FALSE,"00 P&amp;L vs 99"}</definedName>
    <definedName name="New_Name8" hidden="1">{#N/A,#N/A,FALSE,"00 P&amp;L vs 99"}</definedName>
    <definedName name="New_Name9" hidden="1">{#N/A,#N/A,FALSE,"00 P&amp;L vs 99"}</definedName>
    <definedName name="new_w" hidden="1">{"comps1_1",#N/A,FALSE,"Comps1";"comps1_2",#N/A,FALSE,"Comps1";"comps1_3",#N/A,FALSE,"Comps1";"comps1_4",#N/A,FALSE,"Comps1";"comps1_5",#N/A,FALSE,"Comps1"}</definedName>
    <definedName name="new2bySimon" hidden="1">{"Title",#N/A,FALSE,"Title";"Info",#N/A,FALSE,"Title";"Contents",#N/A,FALSE,"Title";"Sec.1",#N/A,FALSE,"Title";"Output1",#N/A,FALSE,"Output";"Sec.2",#N/A,FALSE,"Title";"Graph1",#N/A,FALSE,"Output";"Graph2",#N/A,FALSE,"Output";"Sec.3",#N/A,FALSE,"Title";"Gap1",#N/A,FALSE,"Output";"Sec.4",#N/A,FALSE,"Title";"Model_all",#N/A,FALSE,"Autostrade S.p.A."}</definedName>
    <definedName name="new3bySimon" hidden="1">{"Title",#N/A,TRUE,"Title";"Content",#N/A,TRUE,"Title";"Section1",#N/A,TRUE,"Title";"Output1",#N/A,TRUE,"Output";"Section2",#N/A,TRUE,"Title";"Graph1",#N/A,TRUE,"Output";"Section3",#N/A,TRUE,"Title";"Graph2",#N/A,TRUE,"Output";"Section4",#N/A,TRUE,"Title";"Gap1",#N/A,TRUE,"Output";"Section5",#N/A,TRUE,"Title";"Model_all",#N/A,TRUE,"Autostrade S.p.A."}</definedName>
    <definedName name="newbel" hidden="1">{"IS",#N/A,FALSE,"IS";"RPTIS",#N/A,FALSE,"RPTIS";"STATS",#N/A,FALSE,"STATS";"CELL",#N/A,FALSE,"CELL";"BS",#N/A,FALSE,"BS"}</definedName>
    <definedName name="newbls" hidden="1">{"'Directory'!$A$72:$E$91"}</definedName>
    <definedName name="Newcap" hidden="1">{"'2ND_QUAR'!$A$1:$P$106"}</definedName>
    <definedName name="newDC" hidden="1">{#N/A,#N/A,TRUE,"Cover sheet";#N/A,#N/A,TRUE,"DCF analysis";#N/A,#N/A,TRUE,"WACC calculation"}</definedName>
    <definedName name="newnewnew" hidden="1">{#N/A,#N/A,FALSE,"Pharm";#N/A,#N/A,FALSE,"WWCM"}</definedName>
    <definedName name="newt" hidden="1">{"'Directory'!$A$72:$E$91"}</definedName>
    <definedName name="neww4" hidden="1">{#N/A,#N/A,FALSE,"3";#N/A,#N/A,FALSE,"5";#N/A,#N/A,FALSE,"6";#N/A,#N/A,FALSE,"8";#N/A,#N/A,FALSE,"10";#N/A,#N/A,FALSE,"13";#N/A,#N/A,FALSE,"14";#N/A,#N/A,FALSE,"15";#N/A,#N/A,FALSE,"16"}</definedName>
    <definedName name="newwcom" hidden="1">{"'Directory'!$A$72:$E$91"}</definedName>
    <definedName name="ng" hidden="1">{#N/A,#N/A,FALSE,"TB";#N/A,#N/A,FALSE,"DR";#N/A,#N/A,FALSE,"AR";#N/A,#N/A,FALSE,"PL";#N/A,#N/A,FALSE,"BS";#N/A,#N/A,FALSE,"NOTES";#N/A,#N/A,FALSE,"NOTES (2)";#N/A,#N/A,FALSE,"NOTES (3)";#N/A,#N/A,FALSE,"DPL";#N/A,#N/A,FALSE,"TAXC.INDEX";#N/A,#N/A,FALSE,"Schedule I";#N/A,#N/A,FALSE,"Adjustments"}</definedName>
    <definedName name="ngfhs" hidden="1">{"Pound Sterling",#N/A,TRUE,"PPD";"Pound Sterling",#N/A,TRUE,"Anaquest";"Pound Sterling",#N/A,TRUE,"Delta";"Pound Sterling",#N/A,TRUE,"INO"}</definedName>
    <definedName name="ngfhs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nghjytj" hidden="1">{"Pound Sterling",#N/A,TRUE,"PPD";"Pound Sterling",#N/A,TRUE,"Anaquest";"Pound Sterling",#N/A,TRUE,"Delta";"Pound Sterling",#N/A,TRUE,"INO"}</definedName>
    <definedName name="nh" hidden="1">{"AS REP",#N/A,FALSE,"EEFSNAP2";"PROP",#N/A,FALSE,"EEFSNAP2";"RISKS",#N/A,FALSE,"EEFSNAP2";"VIEW ALL",#N/A,FALSE,"EEFSNAP2"}</definedName>
    <definedName name="nhgnjeyhj" hidden="1">{"Pound Sterling",#N/A,TRUE,"PPD";"Pound Sterling",#N/A,TRUE,"Anaquest";"Pound Sterling",#N/A,TRUE,"Delta";"Pound Sterling",#N/A,TRUE,"INO"}</definedName>
    <definedName name="nhu" hidden="1">{#N/A,"PURADD",FALSE,"Business Analysis";#N/A,"PURSPP",FALSE,"Business Analysis";#N/A,"CTGIND",FALSE,"Business Analysis";#N/A,"PURCHM",FALSE,"Business Analysis";#N/A,"SPADD",FALSE,"Business Analysis";#N/A,"EPOXY",FALSE,"Business Analysis";#N/A,"PURPER",FALSE,"Business Analysis"}</definedName>
    <definedName name="nijnsh" hidden="1">{"detail",#N/A,FALSE,"mfg";"summary",#N/A,FALSE,"mfg"}</definedName>
    <definedName name="nj9km" hidden="1">{"detail",#N/A,FALSE,"mfg";"summary",#N/A,FALSE,"mfg"}</definedName>
    <definedName name="njhfds" hidden="1">{#N/A,"PURCHM",FALSE,"Business Analysis";#N/A,"SPADD",FALSE,"Business Analysis"}</definedName>
    <definedName name="njis76" hidden="1">{"detail",#N/A,FALSE,"mfg";"summary",#N/A,FALSE,"mfg"}</definedName>
    <definedName name="njkjsh" hidden="1">{"detail",#N/A,FALSE,"mfg";"summary",#N/A,FALSE,"mfg"}</definedName>
    <definedName name="nkmi9c" hidden="1">{#N/A,"PURCHM",FALSE,"Business Analysis";#N/A,"SPADD",FALSE,"Business Analysis"}</definedName>
    <definedName name="nknknknknknkn" hidden="1">{"Pound Sterling",#N/A,TRUE,"PPD";"Pound Sterling",#N/A,TRUE,"Anaquest";"Pound Sterling",#N/A,TRUE,"Delta";"Pound Sterling",#N/A,TRUE,"INO"}</definedName>
    <definedName name="NLGeXToEUR" hidden="1">1/eurextonlg</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hidden="1">{"pro_view",#N/A,FALSE,"EEFSNAP2";"rep_view",#N/A,FALSE,"EEFSNAP2"}</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mnmm" hidden="1">{#N/A,#N/A,FALSE,"Index";"Stmts_Qtrs",#N/A,FALSE,"Summary";"Stmts_24 mo",#N/A,FALSE,"Summary";"Summary_24",#N/A,FALSE,"Revenue";"Month_24",#N/A,FALSE,"Engineering";"Month_24",#N/A,FALSE,"Marketing";"Month_24",#N/A,FALSE,"G &amp; A";"Month_24",#N/A,FALSE,"Manufacturing"}</definedName>
    <definedName name="nn" hidden="1">{#N/A,#N/A,TRUE,"Proposal";#N/A,#N/A,TRUE,"Assumptions";#N/A,#N/A,TRUE,"Net Income";#N/A,#N/A,TRUE,"Balsheet";#N/A,#N/A,TRUE,"Capex";#N/A,#N/A,TRUE,"Volumes";#N/A,#N/A,TRUE,"Revenues";#N/A,#N/A,TRUE,"Var.Costs";#N/A,#N/A,TRUE,"Personnel";#N/A,#N/A,TRUE,"Other costs";#N/A,#N/A,TRUE,"MKTG and G&amp;A"}</definedName>
    <definedName name="nnh" hidden="1">{"Pa1",#N/A,FALSE,"OpExYTDvsPY";"Pa2",#N/A,FALSE,"OpExYTDvsPY"}</definedName>
    <definedName name="nnn" hidden="1">{#N/A,#N/A,FALSE,"TB";#N/A,#N/A,FALSE,"DR";#N/A,#N/A,FALSE,"AR";#N/A,#N/A,FALSE,"PL";#N/A,#N/A,FALSE,"BS";#N/A,#N/A,FALSE,"NOTES";#N/A,#N/A,FALSE,"NOTES (2)";#N/A,#N/A,FALSE,"NOTES (3)";#N/A,#N/A,FALSE,"DPL";#N/A,#N/A,FALSE,"TAXC.INDEX";#N/A,#N/A,FALSE,"Schedule I";#N/A,#N/A,FALSE,"Adjustments"}</definedName>
    <definedName name="nnnn" hidden="1">{#N/A,#N/A,FALSE,"TB";#N/A,#N/A,FALSE,"DR";#N/A,#N/A,FALSE,"AR";#N/A,#N/A,FALSE,"BS";#N/A,#N/A,FALSE,"PL";#N/A,#N/A,FALSE,"NOTES";#N/A,#N/A,FALSE,"NOTES (2)";#N/A,#N/A,FALSE,"NOTES (3)";#N/A,#N/A,FALSE,"DPL";#N/A,#N/A,FALSE,"DPL"}</definedName>
    <definedName name="nnnnnn" hidden="1">{#N/A,#N/A,FALSE,"Cristal D'Oro (Tabela)";#N/A,#N/A,FALSE,"Cond Rio Tietê (Tabela)";#N/A,#N/A,FALSE,"Jacyr Leal (Tabela)";#N/A,#N/A,FALSE,"Paul Cézanne (Tabela)";#N/A,#N/A,FALSE,"Tom Jobim  (Tabela)"}</definedName>
    <definedName name="noidea" hidden="1">{#N/A,#N/A,FALSE,"Calc";#N/A,#N/A,FALSE,"Sensitivity";#N/A,#N/A,FALSE,"LT Earn.Dil.";#N/A,#N/A,FALSE,"Dil. AVP"}</definedName>
    <definedName name="noidea1" hidden="1">{#N/A,#N/A,FALSE,"Calc";#N/A,#N/A,FALSE,"Sensitivity";#N/A,#N/A,FALSE,"LT Earn.Dil.";#N/A,#N/A,FALSE,"Dil. AVP"}</definedName>
    <definedName name="NOIDEA2" hidden="1">{#N/A,#N/A,FALSE,"Calc";#N/A,#N/A,FALSE,"Sensitivity";#N/A,#N/A,FALSE,"LT Earn.Dil.";#N/A,#N/A,FALSE,"Dil. AVP"}</definedName>
    <definedName name="noidea3" hidden="1">{#N/A,#N/A,FALSE,"Calc";#N/A,#N/A,FALSE,"Sensitivity";#N/A,#N/A,FALSE,"LT Earn.Dil.";#N/A,#N/A,FALSE,"Dil. AVP"}</definedName>
    <definedName name="noidea4" hidden="1">{#N/A,#N/A,FALSE,"Calc";#N/A,#N/A,FALSE,"Sensitivity";#N/A,#N/A,FALSE,"LT Earn.Dil.";#N/A,#N/A,FALSE,"Dil. AVP"}</definedName>
    <definedName name="noidea5" hidden="1">{#N/A,#N/A,FALSE,"Calc";#N/A,#N/A,FALSE,"Sensitivity";#N/A,#N/A,FALSE,"LT Earn.Dil.";#N/A,#N/A,FALSE,"Dil. AVP"}</definedName>
    <definedName name="noidea6" hidden="1">{#N/A,#N/A,FALSE,"Calc";#N/A,#N/A,FALSE,"Sensitivity";#N/A,#N/A,FALSE,"LT Earn.Dil.";#N/A,#N/A,FALSE,"Dil. AVP"}</definedName>
    <definedName name="noidea7" hidden="1">{#N/A,#N/A,FALSE,"Calc";#N/A,#N/A,FALSE,"Sensitivity";#N/A,#N/A,FALSE,"LT Earn.Dil.";#N/A,#N/A,FALSE,"Dil. AVP"}</definedName>
    <definedName name="None" hidden="1">{"Summary analysis",#N/A,FALSE,"Total";"OCPH analysis",#N/A,FALSE,"Total";"detail analysis",#N/A,FALSE,"Total"}</definedName>
    <definedName name="NOTE" hidden="1">{#N/A,#N/A,FALSE,"TB";#N/A,#N/A,FALSE,"AR";#N/A,#N/A,FALSE,"BS";#N/A,#N/A,FALSE,"PL";#N/A,#N/A,FALSE,"NOTES";#N/A,#N/A,FALSE,"NOTES (2)";#N/A,#N/A,FALSE,"NOTES (3)";#N/A,#N/A,FALSE,"TAXC.INDEX";#N/A,#N/A,FALSE,"Schedule I";#N/A,#N/A,FALSE,"DPL";#N/A,#N/A,FALSE,"Schedule IV";#N/A,#N/A,FALSE,"Adjustments"}</definedName>
    <definedName name="note1" hidden="1">{#N/A,#N/A,FALSE,"TB";#N/A,#N/A,FALSE,"AR";#N/A,#N/A,FALSE,"BS";#N/A,#N/A,FALSE,"PL";#N/A,#N/A,FALSE,"NOTES";#N/A,#N/A,FALSE,"NOTES (2)";#N/A,#N/A,FALSE,"NOTES (3)";#N/A,#N/A,FALSE,"TAXC.INDEX";#N/A,#N/A,FALSE,"Schedule I";#N/A,#N/A,FALSE,"DPL";#N/A,#N/A,FALSE,"Schedule IV";#N/A,#N/A,FALSE,"Adjustments"}</definedName>
    <definedName name="noura" hidden="1">{#N/A,#N/A,FALSE,"3";#N/A,#N/A,FALSE,"5";#N/A,#N/A,FALSE,"6";#N/A,#N/A,FALSE,"8";#N/A,#N/A,FALSE,"10";#N/A,#N/A,FALSE,"13";#N/A,#N/A,FALSE,"14";#N/A,#N/A,FALSE,"15";#N/A,#N/A,FALSE,"16"}</definedName>
    <definedName name="NOURA1" hidden="1">{#N/A,#N/A,FALSE,"3";#N/A,#N/A,FALSE,"5";#N/A,#N/A,FALSE,"6";#N/A,#N/A,FALSE,"8";#N/A,#N/A,FALSE,"10";#N/A,#N/A,FALSE,"13";#N/A,#N/A,FALSE,"14";#N/A,#N/A,FALSE,"15";#N/A,#N/A,FALSE,"16"}</definedName>
    <definedName name="nouv" hidden="1">{#N/A,#N/A,FALSE,"Pharm";#N/A,#N/A,FALSE,"WWCM"}</definedName>
    <definedName name="ñp" hidden="1">{#N/A,"PURCHM",FALSE,"Business Analysis";#N/A,"SPADD",FALSE,"Business Analysis"}</definedName>
    <definedName name="nsg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nuijh467" hidden="1">{"detail",#N/A,FALSE,"mfg";"summary",#N/A,FALSE,"mfg"}</definedName>
    <definedName name="Number_of_Payments" hidden="1">MATCH(0.01,end_bal,-1)+1</definedName>
    <definedName name="NUMBERFACTOR" hidden="1">1000</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o" hidden="1">{"detail",#N/A,FALSE,"mfg";"summary",#N/A,FALSE,"mfg"}</definedName>
    <definedName name="oawl" hidden="1">{#N/A,#N/A,FALSE,"TAXC.INDEX";#N/A,#N/A,FALSE,"Schedule I";#N/A,#N/A,FALSE,"Schedule  II";#N/A,#N/A,FALSE,"Schedule III"}</definedName>
    <definedName name="oay" hidden="1">{#N/A,#N/A,FALSE,"TAXC.INDEX";#N/A,#N/A,FALSE,"Schedule I";#N/A,#N/A,FALSE,"Schedule  II";#N/A,#N/A,FALSE,"Schedule III"}</definedName>
    <definedName name="objd\" hidden="1">{#N/A,#N/A,FALSE,"CONTENTS";#N/A,#N/A,FALSE,"DR";#N/A,#N/A,FALSE,"PL";#N/A,#N/A,FALSE,"BS";#N/A,#N/A,FALSE,"Cash Flow";#N/A,#N/A,FALSE,"NOTES";#N/A,#N/A,FALSE,"NOTES (FA)";#N/A,#N/A,FALSE,"Notes(3)";#N/A,#N/A,FALSE,"NOTES (4)";#N/A,#N/A,FALSE,"DP&amp;L";#N/A,#N/A,FALSE,"EXPENSES";#N/A,#N/A,FALSE,"EXPENSES-1"}</definedName>
    <definedName name="oclt" hidden="1">{#N/A,#N/A,FALSE,"TAXC.INDEX";#N/A,#N/A,FALSE,"Schedule I";#N/A,#N/A,FALSE,"Schedule  II";#N/A,#N/A,FALSE,"Schedule III"}</definedName>
    <definedName name="oColCacctid" hidden="1">#REF!</definedName>
    <definedName name="oels" hidden="1">{#N/A,#N/A,FALSE,"DIR-REP";#N/A,#N/A,FALSE,"AUD-REPORT";#N/A,#N/A,FALSE,"P7L&amp;BS";#N/A,#N/A,FALSE,"NOTES";#N/A,#N/A,FALSE,"FA";#N/A,#N/A,FALSE,"NOTES (2)";#N/A,#N/A,FALSE,"Schedule  IV";#N/A,#N/A,FALSE,"Schedule V"}</definedName>
    <definedName name="ogvcl" hidden="1">{#N/A,#N/A,FALSE,"TB";#N/A,#N/A,FALSE,"DR";#N/A,#N/A,FALSE,"AR";#N/A,#N/A,FALSE,"BS";#N/A,#N/A,FALSE,"PL";#N/A,#N/A,FALSE,"NOTES";#N/A,#N/A,FALSE,"NOTES (2)";#N/A,#N/A,FALSE,"NOTES (3)";#N/A,#N/A,FALSE,"DPL";#N/A,#N/A,FALSE,"DPL"}</definedName>
    <definedName name="oifd" hidden="1">{"detail",#N/A,FALSE,"mfg";"summary",#N/A,FALSE,"mfg"}</definedName>
    <definedName name="oihu" hidden="1">{#N/A,#N/A,FALSE,"TB";#N/A,#N/A,FALSE,"DR";#N/A,#N/A,FALSE,"AR";#N/A,#N/A,FALSE,"PL";#N/A,#N/A,FALSE,"BS";#N/A,#N/A,FALSE,"NOTES";#N/A,#N/A,FALSE,"NOTES (2)";#N/A,#N/A,FALSE,"NOTES (3)";#N/A,#N/A,FALSE,"DPL";#N/A,#N/A,FALSE,"TAXC.INDEX";#N/A,#N/A,FALSE,"Schedule I";#N/A,#N/A,FALSE,"Adjustments"}</definedName>
    <definedName name="oiirx" hidden="1">{"net assets",#N/A,FALSE,"summary";"asset turnover",#N/A,FALSE,"summary";"orona",#N/A,FALSE,"summary"}</definedName>
    <definedName name="oimn" hidden="1">{"QTD_PRS",#N/A,FALSE,"QTD"}</definedName>
    <definedName name="oins" hidden="1">{"detail",#N/A,FALSE,"mfg";"summary",#N/A,FALSE,"mfg"}</definedName>
    <definedName name="oio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oioioioioi" hidden="1">{"Pound Sterling",#N/A,TRUE,"PPD";"Pound Sterling",#N/A,TRUE,"Anaquest";"Pound Sterling",#N/A,TRUE,"Delta";"Pound Sterling",#N/A,TRUE,"INO"}</definedName>
    <definedName name="oioioioioioio" hidden="1">{"Sum WW A",#N/A,FALSE,"FY95SLS";"Sum WW B",#N/A,FALSE,"FY95SLS";"Sum US A",#N/A,FALSE,"FY95SLS";"Sum US B",#N/A,FALSE,"FY95SLS";"Sum US Bocg",#N/A,FALSE,"FY95SLS";"Sum Can A",#N/A,FALSE,"FY95SLS";"Sum Can B",#N/A,FALSE,"FY95SLS";"Sum Europe",#N/A,FALSE,"FY95SLS";"Sum Row",#N/A,FALSE,"FY95SLS"}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hidden="1">{"AS REP",#N/A,FALSE,"EEFSNAP2";"PROP",#N/A,FALSE,"EEFSNAP2";"RISKS",#N/A,FALSE,"EEFSNAP2";"VIEW ALL",#N/A,FALSE,"EEFSNAP2"}</definedName>
    <definedName name="oiuouio" hidden="1">{#N/A,#N/A,FALSE,"3";#N/A,#N/A,FALSE,"5";#N/A,#N/A,FALSE,"6";#N/A,#N/A,FALSE,"8";#N/A,#N/A,FALSE,"10";#N/A,#N/A,FALSE,"13";#N/A,#N/A,FALSE,"14";#N/A,#N/A,FALSE,"15";#N/A,#N/A,FALSE,"16"}</definedName>
    <definedName name="oiup" hidden="1">{#N/A,"PURCHM",FALSE,"Business Analysis";#N/A,"SPADD",FALSE,"Business Analysis"}</definedName>
    <definedName name="oiuy" hidden="1">{"Polymers Details",#N/A,FALSE,"Current Yr";"Polymer Details",#N/A,FALSE,"Budget";"Polymer Details",#N/A,FALSE,"Prior Year"}</definedName>
    <definedName name="oj" hidden="1">{#N/A,#N/A,FALSE,"RGD$";#N/A,#N/A,FALSE,"BG$";#N/A,#N/A,FALSE,"FC$"}</definedName>
    <definedName name="OK" hidden="1">{#N/A,#N/A,FALSE,"REPORT"}</definedName>
    <definedName name="okay" hidden="1">{#N/A,#N/A,FALSE,"SF"}</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 hidden="1">{"vol data",#N/A,FALSE,"Datasheet";"vol graph",#N/A,FALSE,"Volume";"price data",#N/A,FALSE,"Datasheet";"price graph",#N/A,FALSE,"Price";"dp data",#N/A,FALSE,"Datasheet";"dp graph",#N/A,FALSE,"DirectProfit"}</definedName>
    <definedName name="ol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mega" hidden="1">{#N/A,#N/A,FALSE,"CHANGES";#N/A,#N/A,FALSE,"PROD SUMMARY";#N/A,#N/A,FALSE,"1995 PO SUM";#N/A,#N/A,FALSE,"1995 GEOG SUM";#N/A,#N/A,FALSE,"1996 PO SUM";#N/A,#N/A,FALSE,"1996 GEOG SUM"}</definedName>
    <definedName name="on" hidden="1">{"overview",#N/A,FALSE,"summary";"net assets",#N/A,FALSE,"summary";"asset turnover",#N/A,FALSE,"summary";"orona",#N/A,FALSE,"summary"}</definedName>
    <definedName name="ONE" hidden="1">{#N/A,#N/A,FALSE,"ARCSTEP"}</definedName>
    <definedName name="onj" hidden="1">{"Pa1",#N/A,FALSE,"OpExYTDvsPY";"Pa2",#N/A,FALSE,"OpExYTDvsPY"}</definedName>
    <definedName name="ONLYRES" hidden="1">TRUE()</definedName>
    <definedName name="oo" hidden="1">{#N/A,#N/A,FALSE,"TAXC.INDEX";#N/A,#N/A,FALSE,"Schedule I";#N/A,#N/A,FALSE,"Schedule  II";#N/A,#N/A,FALSE,"Schedule III";#N/A,#N/A,FALSE,"Schedule IV";#N/A,#N/A,FALSE,"Schedule IV (Cont'd)";#N/A,#N/A,FALSE,"Schedule V";#N/A,#N/A,FALSE,"Schedule VI";#N/A,#N/A,FALSE,"Schedule VII"}</definedName>
    <definedName name="oo.ll" hidden="1">{#N/A,#N/A,FALSE,"Umsatz HM";#N/A,#N/A,FALSE,"ER HM";#N/A,#N/A,FALSE,"EA HM  (2)";#N/A,#N/A,FALSE,"EA HM ";#N/A,#N/A,FALSE,"EA HM  (4)";#N/A,#N/A,FALSE,"EA HM  (3)";#N/A,#N/A,FALSE,"KA HM  (2)";#N/A,#N/A,FALSE,"KA HM";#N/A,#N/A,FALSE,"KA HM  (3)";#N/A,#N/A,FALSE,"KA HM (4)"}</definedName>
    <definedName name="ööl" hidden="1">{#N/A,#N/A,FALSE,"KA CH  (2)"}</definedName>
    <definedName name="öölälkk" hidden="1">{#N/A,#N/A,FALSE,"Umsatz 99";#N/A,#N/A,FALSE,"ER 99 "}</definedName>
    <definedName name="öölkk" hidden="1">{#N/A,#N/A,FALSE,"Umsatz CH";#N/A,#N/A,FALSE,"ER CH";#N/A,#N/A,FALSE,"EA CH (2) ";#N/A,#N/A,FALSE,"EA CH";#N/A,#N/A,FALSE,"EA CH (3) ";#N/A,#N/A,FALSE,"EA CH (4)";#N/A,#N/A,FALSE,"KA CH";#N/A,#N/A,FALSE,"KA CH  (2)";#N/A,#N/A,FALSE,"KA CH  (3)";#N/A,#N/A,FALSE,"KA CH (4)"}</definedName>
    <definedName name="oolo.lll" hidden="1">{#N/A,#N/A,FALSE,"Umsatz 99";#N/A,#N/A,FALSE,"ER 99 "}</definedName>
    <definedName name="ooo" hidden="1">{#N/A,#N/A,FALSE,"REPORT"}</definedName>
    <definedName name="ööö" hidden="1">{#N/A,#N/A,FALSE,"Produkte Erw.";#N/A,#N/A,FALSE,"Produkte Plan";#N/A,#N/A,FALSE,"Leistungen Erw.";#N/A,#N/A,FALSE,"Leistungen Plan";#N/A,#N/A,FALSE,"KA Allg.Kosten (2)";#N/A,#N/A,FALSE,"KA All.Kosten"}</definedName>
    <definedName name="oooo" hidden="1">{#N/A,#N/A,FALSE,"Rohstoffnotierungen";#N/A,#N/A,FALSE,"ER HCST Erw. 99";#N/A,#N/A,FALSE,"ER HCST Plan 00";#N/A,#N/A,FALSE,"Umsatz KG";#N/A,#N/A,FALSE,"ER HCST";#N/A,#N/A,FALSE,"EA ST (2)";#N/A,#N/A,FALSE,"EA ST";#N/A,#N/A,FALSE,"EA ST (3)";#N/A,#N/A,FALSE,"EA ST (4)";#N/A,#N/A,FALSE,"KA ST  (2)";#N/A,#N/A,FALSE,"KA ST";#N/A,#N/A,FALSE,"KA ST  (3)";#N/A,#N/A,FALSE,"KA ST (4)"}</definedName>
    <definedName name="ooooo" hidden="1">{#N/A,#N/A,FALSE,"Calc";#N/A,#N/A,FALSE,"Sensitivity";#N/A,#N/A,FALSE,"LT Earn.Dil.";#N/A,#N/A,FALSE,"Dil. AVP"}</definedName>
    <definedName name="oooooooo" hidden="1">{#N/A,#N/A,FALSE,"Umsatz 99";#N/A,#N/A,FALSE,"ER 99 "}</definedName>
    <definedName name="oop" hidden="1">{#N/A,#N/A,FALSE,"TB";#N/A,#N/A,FALSE,"DR";#N/A,#N/A,FALSE,"AR";#N/A,#N/A,FALSE,"BS";#N/A,#N/A,FALSE,"PL";#N/A,#N/A,FALSE,"NOTES";#N/A,#N/A,FALSE,"NOTES (2)";#N/A,#N/A,FALSE,"NOTES (3)";#N/A,#N/A,FALSE,"DPL";#N/A,#N/A,FALSE,"DPL"}</definedName>
    <definedName name="op" hidden="1">{#N/A,#N/A,FALSE,"TB";#N/A,#N/A,FALSE,"DR";#N/A,#N/A,FALSE,"AR";#N/A,#N/A,FALSE,"PL";#N/A,#N/A,FALSE,"BS";#N/A,#N/A,FALSE,"NOTES";#N/A,#N/A,FALSE,"NOTES (2)";#N/A,#N/A,FALSE,"NOTES (3)";#N/A,#N/A,FALSE,"DPL";#N/A,#N/A,FALSE,"TAXC.INDEX";#N/A,#N/A,FALSE,"Schedule I";#N/A,#N/A,FALSE,"Adjustments"}</definedName>
    <definedName name="opendbs" hidden="1">{"fis.dbo.r1_datasum"}</definedName>
    <definedName name="opendbs1" hidden="1">{"fis.dbo.r1_datasum"}</definedName>
    <definedName name="operator" hidden="1">#REF!</definedName>
    <definedName name="opiu" hidden="1">{"Comp_of_Price_Effect",#N/A,FALSE,"QTRDPVAR"}</definedName>
    <definedName name="oplk" hidden="1">{"Page1",#N/A,FALSE,"OpExJanvsBud";"Page2",#N/A,FALSE,"OpExJanvsBud"}</definedName>
    <definedName name="opndixm" hidden="1">{"detail",#N/A,FALSE,"mfg";"summary",#N/A,FALSE,"mfg"}</definedName>
    <definedName name="opoiy" hidden="1">{"Sum WW A",#N/A,FALSE,"FY95SLS";"Sum WW B",#N/A,FALSE,"FY95SLS";"Sum US A",#N/A,FALSE,"FY95SLS";"Sum US B",#N/A,FALSE,"FY95SLS";"Sum US Bocg",#N/A,FALSE,"FY95SLS";"Sum Can A",#N/A,FALSE,"FY95SLS";"Sum Can B",#N/A,FALSE,"FY95SLS";"Sum Europe",#N/A,FALSE,"FY95SLS";"Sum Row",#N/A,FALSE,"FY95SLS"}</definedName>
    <definedName name="opop" hidden="1">{#N/A,#N/A,FALSE,"3";#N/A,#N/A,FALSE,"5";#N/A,#N/A,FALSE,"6";#N/A,#N/A,FALSE,"8";#N/A,#N/A,FALSE,"10";#N/A,#N/A,FALSE,"13";#N/A,#N/A,FALSE,"14";#N/A,#N/A,FALSE,"15";#N/A,#N/A,FALSE,"16"}</definedName>
    <definedName name="opopop" hidden="1">{#N/A,#N/A,TRUE,"index";#N/A,#N/A,TRUE,"Summary";#N/A,#N/A,TRUE,"Continuing Business";#N/A,#N/A,TRUE,"Disposals";#N/A,#N/A,TRUE,"Acquisitions";#N/A,#N/A,TRUE,"Actual &amp; Plan Reconciliation"}</definedName>
    <definedName name="opopopopopo" hidden="1">{"Units A",#N/A,FALSE,"FY95SLS";"Units B",#N/A,FALSE,"FY95SLS"}</definedName>
    <definedName name="Order__1" hidden="1">0</definedName>
    <definedName name="Order2" hidden="1">0</definedName>
    <definedName name="Orders" hidden="1">{#N/A,#N/A,FALSE,"Presentation by Unit";#N/A,#N/A,FALSE,"Presentation by BD";#N/A,#N/A,FALSE,"Presentation Split by Biggest U";#N/A,#N/A,FALSE,"Presentation Split by Area";#N/A,#N/A,FALSE,"Presentation Split by BD"}</definedName>
    <definedName name="os" hidden="1">{#N/A,#N/A,FALSE,"TB";#N/A,#N/A,FALSE,"AR";#N/A,#N/A,FALSE,"BS";#N/A,#N/A,FALSE,"PL";#N/A,#N/A,FALSE,"NOTES";#N/A,#N/A,FALSE,"NOTES (2)";#N/A,#N/A,FALSE,"NOTES (3)";#N/A,#N/A,FALSE,"TAXC.INDEX";#N/A,#N/A,FALSE,"Schedule I";#N/A,#N/A,FALSE,"DPL";#N/A,#N/A,FALSE,"Schedule IV";#N/A,#N/A,FALSE,"Adjustments"}</definedName>
    <definedName name="osahfdoidhf" hidden="1">{#N/A,#N/A,FALSE,"CA";#N/A,#N/A,FALSE,"CN";#N/A,#N/A,FALSE,"Inv";#N/A,#N/A,FALSE,"Inv Acc";"Miguel_balance",#N/A,FALSE,"Bal";#N/A,#N/A,FALSE,"Plantilla";#N/A,#N/A,FALSE,"CA (2)";#N/A,#N/A,FALSE,"CN (2)"}</definedName>
    <definedName name="ose" hidden="1">{#N/A,#N/A,TRUE,"COVER";#N/A,#N/A,TRUE,"DIR";#N/A,#N/A,TRUE,"AUDIT"}</definedName>
    <definedName name="ostls" hidden="1">{#N/A,#N/A,FALSE,"TB";#N/A,#N/A,FALSE,"DR";#N/A,#N/A,FALSE,"AR";#N/A,#N/A,FALSE,"PL";#N/A,#N/A,FALSE,"BS";#N/A,#N/A,FALSE,"NOTES";#N/A,#N/A,FALSE,"NOTES (2)";#N/A,#N/A,FALSE,"NOTES (3)";#N/A,#N/A,FALSE,"DPL";#N/A,#N/A,FALSE,"TAXC.INDEX";#N/A,#N/A,FALSE,"Schedule I";#N/A,#N/A,FALSE,"Adjustments"}</definedName>
    <definedName name="other33" hidden="1">{#N/A,#N/A,FALSE,"Pharm";#N/A,#N/A,FALSE,"WWCM"}</definedName>
    <definedName name="othermar" hidden="1">{#N/A,#N/A,FALSE,"Pharm";#N/A,#N/A,FALSE,"WWCM"}</definedName>
    <definedName name="OTOTOT" hidden="1">{#N/A,#N/A,FALSE,"00 P&amp;L vs 99"}</definedName>
    <definedName name="otuor" hidden="1">{"Units A",#N/A,FALSE,"FY95SLS";"Units B",#N/A,FALSE,"FY95SLS"}</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I" hidden="1">{#N/A,#N/A,FALSE,"SF"}</definedName>
    <definedName name="our"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outro" hidden="1">{"'comite'!$A$9:$G$44","'comite'!$A$1:$G$6"}</definedName>
    <definedName name="owejr" hidden="1">{#N/A,#N/A,FALSE,"DIR-REP";#N/A,#N/A,FALSE,"AUD-REPORT";#N/A,#N/A,FALSE,"P7L&amp;BS";#N/A,#N/A,FALSE,"NOTES";#N/A,#N/A,FALSE,"FA";#N/A,#N/A,FALSE,"NOTES (2)";#N/A,#N/A,FALSE,"Schedule  IV";#N/A,#N/A,FALSE,"Schedule V"}</definedName>
    <definedName name="owmkib" hidden="1">{"detail",#N/A,FALSE,"mfg";"summary",#N/A,FALSE,"mfg"}</definedName>
    <definedName name="oxclt" hidden="1">{#N/A,#N/A,FALSE,"TB";#N/A,#N/A,FALSE,"DR";#N/A,#N/A,FALSE,"AR";#N/A,#N/A,FALSE,"PL";#N/A,#N/A,FALSE,"BS";#N/A,#N/A,FALSE,"NOTES";#N/A,#N/A,FALSE,"NOTES (2)";#N/A,#N/A,FALSE,"NOTES (3)";#N/A,#N/A,FALSE,"DPL";#N/A,#N/A,FALSE,"TAXC.INDEX";#N/A,#N/A,FALSE,"Schedule I";#N/A,#N/A,FALSE,"Adjustments"}</definedName>
    <definedName name="oxektl" hidden="1">{#N/A,#N/A,FALSE,"TAXC.INDEX";#N/A,#N/A,FALSE,"Schedule I";#N/A,#N/A,FALSE,"Schedule  II";#N/A,#N/A,FALSE,"Schedule III";#N/A,#N/A,FALSE,"Schedule IV";#N/A,#N/A,FALSE,"Schedule IV (Cont'd)";#N/A,#N/A,FALSE,"Schedule V";#N/A,#N/A,FALSE,"Schedule VI";#N/A,#N/A,FALSE,"Schedule VII"}</definedName>
    <definedName name="Oxydizers" hidden="1">#REF!</definedName>
    <definedName name="p.Covenants_Titles" hidden="1">#REF!</definedName>
    <definedName name="p.LTM_BS" hidden="1">#REF!</definedName>
    <definedName name="p.Summary" hidden="1">#REF!</definedName>
    <definedName name="P.TEST.TEST" hidden="1">{#N/A,#N/A,FALSE,"Assumptions";#N/A,#N/A,FALSE,"N-IS-Sum";#N/A,#N/A,FALSE,"N-St-Sum";#N/A,#N/A,FALSE,"Inc Stmt";#N/A,#N/A,FALSE,"Stats"}</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hidden="1">{#N/A,"PURCHM",FALSE,"Business Analysis";#N/A,"SPADD",FALSE,"Business Analysis"}</definedName>
    <definedName name="Pal_Workbook_GUID" hidden="1">"8V8XGC7VJQFJHBX4EILV6F3R"</definedName>
    <definedName name="PASS" hidden="1">"pepe"</definedName>
    <definedName name="pay" hidden="1">{#N/A,#N/A,FALSE,"TB";#N/A,#N/A,FALSE,"DR";#N/A,#N/A,FALSE,"AR";#N/A,#N/A,FALSE,"BS";#N/A,#N/A,FALSE,"PL";#N/A,#N/A,FALSE,"NOTES";#N/A,#N/A,FALSE,"NOTES (2)";#N/A,#N/A,FALSE,"NOTES (3)";#N/A,#N/A,FALSE,"DPL";#N/A,#N/A,FALSE,"DPL"}</definedName>
    <definedName name="pb" hidden="1">{"net assets",#N/A,FALSE,"summary";"asset turnover",#N/A,FALSE,"summary";"orona",#N/A,FALSE,"summary"}</definedName>
    <definedName name="PCA" hidden="1">"BL7FKFTY6NDALOTZZF8PFRAS6"</definedName>
    <definedName name="pd" hidden="1">{"detail",#N/A,FALSE,"mfg";"summary",#N/A,FALSE,"mfg"}</definedName>
    <definedName name="PEA" hidden="1">{#N/A,#N/A,FALSE,"3";#N/A,#N/A,FALSE,"5";#N/A,#N/A,FALSE,"6";#N/A,#N/A,FALSE,"8";#N/A,#N/A,FALSE,"10";#N/A,#N/A,FALSE,"13";#N/A,#N/A,FALSE,"14";#N/A,#N/A,FALSE,"15";#N/A,#N/A,FALSE,"16"}</definedName>
    <definedName name="pepe" hidden="1">{#N/A,#N/A,FALSE,"Pharm";#N/A,#N/A,FALSE,"WWCM"}</definedName>
    <definedName name="PEPE4" hidden="1">{#N/A,#N/A,FALSE,"Pharm";#N/A,#N/A,FALSE,"WWCM"}</definedName>
    <definedName name="PEPE5" hidden="1">{#N/A,#N/A,FALSE,"Pharm";#N/A,#N/A,FALSE,"WWCM"}</definedName>
    <definedName name="periodRow" hidden="1">#REF!</definedName>
    <definedName name="perro"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PFKLE" hidden="1">{#N/A,#N/A,FALSE,"00 P&amp;L vs 99"}</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a" hidden="1">{#N/A,#N/A,FALSE,"Sales Graph";#N/A,#N/A,FALSE,"PSBM";#N/A,#N/A,FALSE,"BUC Graph";#N/A,#N/A,FALSE,"P&amp;L - YTD"}</definedName>
    <definedName name="pi" hidden="1">{"oct_res_comm",#N/A,FALSE,"VarToBud"}</definedName>
    <definedName name="pi_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PILAR" hidden="1">{"detail",#N/A,FALSE,"mfg";"summary",#N/A,FALSE,"mfg"}</definedName>
    <definedName name="pilk" hidden="1">{"YD LPH2",#N/A,FALSE,"YTD"}</definedName>
    <definedName name="pirs" hidden="1">{#N/A,#N/A,FALSE,"TB";#N/A,#N/A,FALSE,"DR";#N/A,#N/A,FALSE,"AR";#N/A,#N/A,FALSE,"BS";#N/A,#N/A,FALSE,"PL";#N/A,#N/A,FALSE,"NOTES";#N/A,#N/A,FALSE,"NOTES (2)";#N/A,#N/A,FALSE,"NOTES (3)";#N/A,#N/A,FALSE,"DPL";#N/A,#N/A,FALSE,"DPL"}</definedName>
    <definedName name="PITTWAY" hidden="1">{#N/A,#N/A,FALSE,"Che-Ga";#N/A,#N/A,FALSE,"Iv-Sm";#N/A,#N/A,FALSE,"So-We";#N/A,#N/A,FALSE,"Me-Po";#N/A,#N/A,FALSE,"Be-Bo";#N/A,#N/A,FALSE,"Cha-Ki";#N/A,#N/A,FALSE,"In";#N/A,#N/A,FALSE,"Schedule 23";#N/A,#N/A,FALSE,"Schedule 22";#N/A,#N/A,FALSE,"WACC"}</definedName>
    <definedName name="pittway1" hidden="1">{#N/A,#N/A,FALSE,"Che-Ga";#N/A,#N/A,FALSE,"Iv-Sm";#N/A,#N/A,FALSE,"So-We";#N/A,#N/A,FALSE,"Me-Po";#N/A,#N/A,FALSE,"Be-Bo";#N/A,#N/A,FALSE,"Cha-Ki";#N/A,#N/A,FALSE,"In";#N/A,#N/A,FALSE,"Schedule 23";#N/A,#N/A,FALSE,"Schedule 22";#N/A,#N/A,FALSE,"WACC"}</definedName>
    <definedName name="pk" hidden="1">{"vol data",#N/A,FALSE,"Datasheet";"vol graph",#N/A,FALSE,"Volume";"price data",#N/A,FALSE,"Datasheet";"price graph",#N/A,FALSE,"Price";"dp data",#N/A,FALSE,"Datasheet";"dp graph",#N/A,FALSE,"DirectProfit"}</definedName>
    <definedName name="pl" hidden="1">{#N/A,#N/A,FALSE,"REPORT"}</definedName>
    <definedName name="play" hidden="1">{#N/A,#N/A,FALSE,"TB";#N/A,#N/A,FALSE,"DR";#N/A,#N/A,FALSE,"AR";#N/A,#N/A,FALSE,"PL";#N/A,#N/A,FALSE,"BS";#N/A,#N/A,FALSE,"NOTES";#N/A,#N/A,FALSE,"NOTES (2)";#N/A,#N/A,FALSE,"NOTES (3)";#N/A,#N/A,FALSE,"DPL";#N/A,#N/A,FALSE,"TAXC.INDEX";#N/A,#N/A,FALSE,"Schedule I";#N/A,#N/A,FALSE,"Adjustments"}</definedName>
    <definedName name="PLCepi" hidden="1">{#N/A,#N/A,FALSE,"REPORT"}</definedName>
    <definedName name="PLExrateRow" hidden="1">#REF!</definedName>
    <definedName name="ploki" hidden="1">{#N/A,#N/A,FALSE,"Financiel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PLProcef" hidden="1">{#N/A,#N/A,FALSE,"REPORT"}</definedName>
    <definedName name="PLTaxol" hidden="1">{#N/A,#N/A,FALSE,"REPORT"}</definedName>
    <definedName name="pmse" hidden="1">{#N/A,#N/A,FALSE,"Eastern";#N/A,#N/A,FALSE,"Western"}</definedName>
    <definedName name="pmser" hidden="1">{#N/A,#N/A,FALSE,"Eastern";#N/A,#N/A,FALSE,"Western"}</definedName>
    <definedName name="pmt" hidden="1">{#N/A,#N/A,FALSE,"DIR-REP";#N/A,#N/A,FALSE,"AUD-REPORT";#N/A,#N/A,FALSE,"P7L&amp;BS";#N/A,#N/A,FALSE,"NOTES";#N/A,#N/A,FALSE,"FA";#N/A,#N/A,FALSE,"NOTES (2)";#N/A,#N/A,FALSE,"Schedule  IV";#N/A,#N/A,FALSE,"Schedule V"}</definedName>
    <definedName name="Pnl" hidden="1">{#N/A,#N/A,FALSE,"Pharm";#N/A,#N/A,FALSE,"WWCM"}</definedName>
    <definedName name="pnsji5" hidden="1">{#N/A,"PURCHM",FALSE,"Business Analysis";#N/A,"SPADD",FALSE,"Business Analysis"}</definedName>
    <definedName name="po" hidden="1">{"detail",#N/A,FALSE,"mfg";"summary",#N/A,FALSE,"mfg"}</definedName>
    <definedName name="poc" hidden="1">{#N/A,"PURADD",FALSE,"Business Analysis";#N/A,"PURSPP",FALSE,"Business Analysis";#N/A,"CTGIND",FALSE,"Business Analysis";#N/A,"PURCHM",FALSE,"Business Analysis";#N/A,"SPADD",FALSE,"Business Analysis";#N/A,"EPOXY",FALSE,"Business Analysis";#N/A,"PURPER",FALSE,"Business Analysis"}</definedName>
    <definedName name="poi"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u" hidden="1">{"Performance Details",#N/A,FALSE,"Current Yr";"Performance Details",#N/A,FALSE,"Budget";"Performance Details",#N/A,FALSE,"Prior Year"}</definedName>
    <definedName name="pokj" hidden="1">{"QTD_LOUISIANA",#N/A,FALSE,"QTD"}</definedName>
    <definedName name="pol" hidden="1">{#N/A,#N/A,FALSE,"Eastern";#N/A,#N/A,FALSE,"Western"}</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 hidden="1">{#N/A,#N/A,FALSE,"pl";#N/A,#N/A,FALSE,"bs";#N/A,#N/A,FALSE,"fundflow"}</definedName>
    <definedName name="port29" hidden="1">{#N/A,#N/A,FALSE,"Pharm";#N/A,#N/A,FALSE,"WWCM"}</definedName>
    <definedName name="powq" hidden="1">{#N/A,"PURCHM",FALSE,"Business Analysis";#N/A,"SPADD",FALSE,"Business Analysis"}</definedName>
    <definedName name="pp" hidden="1">{"detail",#N/A,FALSE,"mfg";"summary",#N/A,FALSE,"mfg"}</definedName>
    <definedName name="ppo" hidden="1">{"YD LOUISIANA",#N/A,FALSE,"YTD"}</definedName>
    <definedName name="ppoi" hidden="1">{#N/A,#N/A,FALSE,"TAXC.INDEX";#N/A,#N/A,FALSE,"Schedule I";#N/A,#N/A,FALSE,"Schedule  II";#N/A,#N/A,FALSE,"Schedule III";#N/A,#N/A,FALSE,"Schedule IV";#N/A,#N/A,FALSE,"Schedule IV (Cont'd)";#N/A,#N/A,FALSE,"Schedule V";#N/A,#N/A,FALSE,"Schedule VI";#N/A,#N/A,FALSE,"Schedule VII"}</definedName>
    <definedName name="ppp" hidden="1">{#N/A,#N/A,FALSE,"Umsatz CH";#N/A,#N/A,FALSE,"ER CH";#N/A,#N/A,FALSE,"EA CH (2) ";#N/A,#N/A,FALSE,"EA CH";#N/A,#N/A,FALSE,"EA CH (3) ";#N/A,#N/A,FALSE,"EA CH (4)";#N/A,#N/A,FALSE,"KA CH";#N/A,#N/A,FALSE,"KA CH  (2)";#N/A,#N/A,FALSE,"KA CH  (3)";#N/A,#N/A,FALSE,"KA CH (4)"}</definedName>
    <definedName name="pppp" hidden="1">{#N/A,#N/A,FALSE,"TB";#N/A,#N/A,FALSE,"AR";#N/A,#N/A,FALSE,"BS";#N/A,#N/A,FALSE,"PL";#N/A,#N/A,FALSE,"NOTES";#N/A,#N/A,FALSE,"NOTES (2)";#N/A,#N/A,FALSE,"NOTES (3)";#N/A,#N/A,FALSE,"TAXC.INDEX";#N/A,#N/A,FALSE,"Schedule I";#N/A,#N/A,FALSE,"DPL";#N/A,#N/A,FALSE,"Schedule IV";#N/A,#N/A,FALSE,"Adjustments"}</definedName>
    <definedName name="ppppp" hidden="1">{"'Internat.oper.netti'!$B$1:$J$25"}</definedName>
    <definedName name="pqmjuz" hidden="1">{"detail",#N/A,FALSE,"mfg";"summary",#N/A,FALSE,"mfg"}</definedName>
    <definedName name="prem" hidden="1">{"Summary analysis",#N/A,FALSE,"Total";"OCPH analysis",#N/A,FALSE,"Total";"detail analysis",#N/A,FALSE,"Total"}</definedName>
    <definedName name="Prepayment" hidden="1">{#N/A,#N/A,FALSE,"TB";#N/A,#N/A,FALSE,"AR";#N/A,#N/A,FALSE,"BS";#N/A,#N/A,FALSE,"PL";#N/A,#N/A,FALSE,"NOTES";#N/A,#N/A,FALSE,"NOTES (2)";#N/A,#N/A,FALSE,"NOTES (3)";#N/A,#N/A,FALSE,"TAXC.INDEX";#N/A,#N/A,FALSE,"Schedule I";#N/A,#N/A,FALSE,"DPL";#N/A,#N/A,FALSE,"Schedule IV";#N/A,#N/A,FALSE,"Adjustments"}</definedName>
    <definedName name="Pres"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zzovolumi2" hidden="1">{#N/A,#N/A,FALSE,"Calc";#N/A,#N/A,FALSE,"Sensitivity";#N/A,#N/A,FALSE,"LT Earn.Dil.";#N/A,#N/A,FALSE,"Dil. AVP"}</definedName>
    <definedName name="Price">#REF!</definedName>
    <definedName name="PRIMOCAD">#REF!</definedName>
    <definedName name="PRIMOEUR">#REF!</definedName>
    <definedName name="PRIMOHKD">#REF!</definedName>
    <definedName name="PRIMONOK">#REF!</definedName>
    <definedName name="PRIMOSAR">#REF!</definedName>
    <definedName name="PRIMOTRY">#REF!</definedName>
    <definedName name="PRIMOUSD">#REF!</definedName>
    <definedName name="_xlnm.Print_Area" localSheetId="6">'Decisions to revisit'!$A$1:$K$33</definedName>
    <definedName name="_xlnm.Print_Area" localSheetId="0">Frontpage!$A$1:$K$31</definedName>
    <definedName name="_xlnm.Print_Area" localSheetId="4">'Input financials'!$A$1:$M$553</definedName>
    <definedName name="_xlnm.Print_Area" localSheetId="5">Log!$A$1:$N$85</definedName>
    <definedName name="_xlnm.Print_Area" localSheetId="2">'Reformation &amp; Profitability'!$A$1:$K$773</definedName>
    <definedName name="_xlnm.Print_Area" localSheetId="3">'Reported Financials'!$A$1:$K$553</definedName>
    <definedName name="_xlnm.Print_Area" localSheetId="1">'Table of contents'!$A$1:$K$59</definedName>
    <definedName name="Print_Area_2">#REF!</definedName>
    <definedName name="Print_CSC_Report_2" hidden="1">{"CSC_1",#N/A,FALSE,"CSC Outputs";"CSC_2",#N/A,FALSE,"CSC Outputs"}</definedName>
    <definedName name="Print_CSC_Report_3" hidden="1">{"CSC_1",#N/A,FALSE,"CSC Outputs";"CSC_2",#N/A,FALSE,"CSC Outputs"}</definedName>
    <definedName name="Print_CSC_Report_4" hidden="1">{"CSC_1",#N/A,FALSE,"CSC Outputs";"CSC_2",#N/A,FALSE,"CSC Outputs"}</definedName>
    <definedName name="Print_Titles_2">#REF!</definedName>
    <definedName name="print4" hidden="1">{#N/A,#N/A,FALSE,"Operations";#N/A,#N/A,FALSE,"Financials"}</definedName>
    <definedName name="Procef" hidden="1">{#N/A,#N/A,FALSE,"Pharm";#N/A,#N/A,FALSE,"WWCM"}</definedName>
    <definedName name="prod" hidden="1">{#N/A,#N/A,FALSE,"Pharm";#N/A,#N/A,FALSE,"WWCM"}</definedName>
    <definedName name="Prod_Chem_East" hidden="1">"3VDP4WT35C17EWKXGR5TO37RA"</definedName>
    <definedName name="Productivity" hidden="1">{"Summary analysis",#N/A,FALSE,"Total";"OCPH analysis",#N/A,FALSE,"Total";"detail analysis",#N/A,FALSE,"Total"}</definedName>
    <definedName name="Profitability." hidden="1">{#N/A,#N/A,FALSE,"Presentation by Unit";#N/A,#N/A,FALSE,"Presentation by BD";#N/A,#N/A,FALSE,"Presentation Split by Biggest U";#N/A,#N/A,FALSE,"Presentation Split by Area";#N/A,#N/A,FALSE,"Presentation Split by BD"}</definedName>
    <definedName name="PROGNOSIS" hidden="1">"2000-1"</definedName>
    <definedName name="project1" hidden="1">{#N/A,#N/A,FALSE,"3";#N/A,#N/A,FALSE,"5";#N/A,#N/A,FALSE,"6";#N/A,#N/A,FALSE,"8";#N/A,#N/A,FALSE,"10";#N/A,#N/A,FALSE,"13";#N/A,#N/A,FALSE,"14";#N/A,#N/A,FALSE,"15";#N/A,#N/A,FALSE,"16"}</definedName>
    <definedName name="project2" hidden="1">{#N/A,#N/A,FALSE,"3";#N/A,#N/A,FALSE,"5";#N/A,#N/A,FALSE,"6";#N/A,#N/A,FALSE,"8";#N/A,#N/A,FALSE,"10";#N/A,#N/A,FALSE,"13";#N/A,#N/A,FALSE,"14";#N/A,#N/A,FALSE,"15";#N/A,#N/A,FALSE,"16"}</definedName>
    <definedName name="project3" hidden="1">{#N/A,#N/A,FALSE,"3";#N/A,#N/A,FALSE,"5";#N/A,#N/A,FALSE,"6";#N/A,#N/A,FALSE,"8";#N/A,#N/A,FALSE,"10";#N/A,#N/A,FALSE,"13";#N/A,#N/A,FALSE,"14";#N/A,#N/A,FALSE,"15";#N/A,#N/A,FALSE,"16"}</definedName>
    <definedName name="promo" hidden="1">{"'1998 FTC Promo Pk'!$A$6:$AB$28"}</definedName>
    <definedName name="PropostasAnalítico" hidden="1">{#N/A,#N/A,FALSE,"Cristal D'Oro (Tabela)";#N/A,#N/A,FALSE,"Cond Rio Tietê (Tabela)";#N/A,#N/A,FALSE,"Jacyr Leal (Tabela)";#N/A,#N/A,FALSE,"Paul Cézanne (Tabela)";#N/A,#N/A,FALSE,"Tom Jobim  (Tabela)"}</definedName>
    <definedName name="prout" hidden="1">{"comp1",#N/A,FALSE,"COMPS";"footnotes",#N/A,FALSE,"COMPS"}</definedName>
    <definedName name="prov" hidden="1">{"Ergebnisbericht_UBA",#N/A,FALSE,"MB"}</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SM"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PTEeXToEUR" hidden="1">1/eurextopte</definedName>
    <definedName name="PUB_FileID" hidden="1">"L10004026.xls"</definedName>
    <definedName name="PUB_UserID" hidden="1">"MAYERX"</definedName>
    <definedName name="pucspadd42" hidden="1">{#N/A,"PURCHM",FALSE,"Business Analysis";#N/A,"SPADD",FALSE,"Business Analysis"}</definedName>
    <definedName name="puoipui" hidden="1">{#N/A,#N/A,FALSE,"3";#N/A,#N/A,FALSE,"5";#N/A,#N/A,FALSE,"6";#N/A,#N/A,FALSE,"8";#N/A,#N/A,FALSE,"10";#N/A,#N/A,FALSE,"13";#N/A,#N/A,FALSE,"14";#N/A,#N/A,FALSE,"15";#N/A,#N/A,FALSE,"16"}</definedName>
    <definedName name="pupi" hidden="1">{"YD OTHER",#N/A,FALSE,"YTD"}</definedName>
    <definedName name="püpoüpoüpo" hidden="1">{#N/A,#N/A,FALSE,"PMW Gruppe 99_98";#N/A,#N/A,FALSE,"PMW KG 98_99";#N/A,#N/A,FALSE,"PMW Inc. 99_98";#N/A,#N/A,FALSE,"PMW VTECH 99_98";#N/A,#N/A,FALSE,"PMW Thail. 99_98";#N/A,#N/A,FALSE,"PMW Canada 99_98";#N/A,#N/A,FALSE,"Währungsabw. 99_98"}</definedName>
    <definedName name="püpü" hidden="1">{#N/A,#N/A,FALSE,"Umsatz 99";#N/A,#N/A,FALSE,"ER 99 "}</definedName>
    <definedName name="put" hidden="1">{#N/A,#N/A,FALSE,"TB";#N/A,#N/A,FALSE,"DR";#N/A,#N/A,FALSE,"AR";#N/A,#N/A,FALSE,"PL";#N/A,#N/A,FALSE,"BS";#N/A,#N/A,FALSE,"NOTES";#N/A,#N/A,FALSE,"NOTES (2)";#N/A,#N/A,FALSE,"NOTES (3)";#N/A,#N/A,FALSE,"DPL";#N/A,#N/A,FALSE,"TAXC.INDEX";#N/A,#N/A,FALSE,"Schedule I";#N/A,#N/A,FALSE,"Adjustments"}</definedName>
    <definedName name="pwoefu" hidden="1">{#N/A,#N/A,TRUE,"Proposal";#N/A,#N/A,TRUE,"Assumptions";#N/A,#N/A,TRUE,"Net Income";#N/A,#N/A,TRUE,"Balsheet";#N/A,#N/A,TRUE,"Capex";#N/A,#N/A,TRUE,"Volumes";#N/A,#N/A,TRUE,"Revenues";#N/A,#N/A,TRUE,"Var.Costs";#N/A,#N/A,TRUE,"Personnel";#N/A,#N/A,TRUE,"Other costs";#N/A,#N/A,TRUE,"MKTG and G&amp;A"}</definedName>
    <definedName name="pwoefù" hidden="1">{#N/A,#N/A,TRUE,"Proposal";#N/A,#N/A,TRUE,"Assumptions";#N/A,#N/A,TRUE,"Net Income";#N/A,#N/A,TRUE,"Balsheet";#N/A,#N/A,TRUE,"Capex";#N/A,#N/A,TRUE,"Volumes";#N/A,#N/A,TRUE,"Revenues";#N/A,#N/A,TRUE,"Var.Costs";#N/A,#N/A,TRUE,"Personnel";#N/A,#N/A,TRUE,"Other costs";#N/A,#N/A,TRUE,"MKTG and G&amp;A"}</definedName>
    <definedName name="PYME">#REF!</definedName>
    <definedName name="pz" hidden="1">{"Month Summary",#N/A,FALSE,"Summary";"Total Details",#N/A,FALSE,"Current Yr";"Polymers Details",#N/A,FALSE,"Current Yr";"Performance Details",#N/A,FALSE,"Current Yr";"ICD Details",#N/A,FALSE,"Current Yr"}</definedName>
    <definedName name="qaaaa" hidden="1">{"detail",#N/A,FALSE,"mfg";"summary",#N/A,FALSE,"mfg"}</definedName>
    <definedName name="qaecdaze" hidden="1">{"First Page",#N/A,FALSE,"Surfactants LBO";"Second Page",#N/A,FALSE,"Surfactants LBO"}</definedName>
    <definedName name="qas" hidden="1">#REF!</definedName>
    <definedName name="qaz" hidden="1">{#N/A,#N/A,FALSE,"Pharm";#N/A,#N/A,FALSE,"WWCM"}</definedName>
    <definedName name="QDFZRN" hidden="1">#REF!</definedName>
    <definedName name="qe" hidden="1">{#N/A,#N/A,FALSE,"TB";#N/A,#N/A,FALSE,"AR";#N/A,#N/A,FALSE,"BS";#N/A,#N/A,FALSE,"PL";#N/A,#N/A,FALSE,"NOTES";#N/A,#N/A,FALSE,"NOTES (2)";#N/A,#N/A,FALSE,"NOTES (3)";#N/A,#N/A,FALSE,"TAXC.INDEX";#N/A,#N/A,FALSE,"Schedule I";#N/A,#N/A,FALSE,"DPL";#N/A,#N/A,FALSE,"Schedule IV";#N/A,#N/A,FALSE,"Adjustments"}</definedName>
    <definedName name="qeazr" hidden="1">{#N/A,#N/A,FALSE,"Eastern";#N/A,#N/A,FALSE,"Western"}</definedName>
    <definedName name="qegergqe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qegqerg" hidden="1">{"Pound Sterling",#N/A,TRUE,"PPD";"Pound Sterling",#N/A,TRUE,"Anaquest";"Pound Sterling",#N/A,TRUE,"Delta";"Pound Sterling",#N/A,TRUE,"INO"}</definedName>
    <definedName name="qeqee" hidden="1">{#N/A,#N/A,FALSE,"Produkte Erw.";#N/A,#N/A,FALSE,"Produkte Plan";#N/A,#N/A,FALSE,"Leistungen Erw.";#N/A,#N/A,FALSE,"Leistungen Plan";#N/A,#N/A,FALSE,"KA Allg.Kosten (2)";#N/A,#N/A,FALSE,"KA All.Kosten"}</definedName>
    <definedName name="qer" hidden="1">{#N/A,#N/A,FALSE,"DIR-REP";#N/A,#N/A,FALSE,"AUD-REPORT";#N/A,#N/A,FALSE,"P7L&amp;BS";#N/A,#N/A,FALSE,"NOTES";#N/A,#N/A,FALSE,"FA";#N/A,#N/A,FALSE,"NOTES (2)";#N/A,#N/A,FALSE,"Schedule  IV";#N/A,#N/A,FALSE,"Schedule V"}</definedName>
    <definedName name="qergqe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qergqergqe" hidden="1">{"Units A",#N/A,FALSE,"FY95SLS";"Units B",#N/A,FALSE,"FY95SLS"}</definedName>
    <definedName name="qertweyu" hidden="1">{#N/A,#N/A,FALSE,"REPORT"}</definedName>
    <definedName name="qesd" hidden="1">{"Page 1",#N/A,FALSE,"OpExJanVsPY";"Page 2",#N/A,FALSE,"OpExJanVsPY"}</definedName>
    <definedName name="qetryywt" hidden="1">{#N/A,#N/A,FALSE,"REPORT"}</definedName>
    <definedName name="qf" hidden="1">{#N/A,#N/A,TRUE,"Cover sheet";#N/A,#N/A,TRUE,"INPUTS";#N/A,#N/A,TRUE,"OUTPUTS";#N/A,#N/A,TRUE,"VALUATION"}</definedName>
    <definedName name="qfqsfd" hidden="1">{#N/A,#N/A,FALSE,"EV.D.P.BC";#N/A,#N/A,FALSE,"EV.D.P.HC";#N/A,#N/A,FALSE,"EV.D.P.LC";#N/A,#N/A,FALSE,"AN.CIV.BC";#N/A,#N/A,FALSE,"AN.CIV.HC";#N/A,#N/A,FALSE,"AN.CIV.LC";#N/A,#N/A,FALSE,"Res.1";#N/A,#N/A,FALSE,"AN.GAZ.BC";#N/A,#N/A,FALSE,"AN.GAZ.HC";#N/A,#N/A,FALSE,"AN.GAZ.LC";#N/A,#N/A,FALSE,"AN.GAZ.BC M3";#N/A,#N/A,FALSE,"AN.GAZ.HC M3";#N/A,#N/A,FALSE,"AN.GAZ.LC M3";#N/A,#N/A,FALSE,"Res.2"}</definedName>
    <definedName name="qgg" hidden="1">{#N/A,#N/A,FALSE,"Cover";"outputs total",#N/A,FALSE,"Outputs"}</definedName>
    <definedName name="qi" hidden="1">{#N/A,"PURADD",FALSE,"Business Analysis";#N/A,"PURSPP",FALSE,"Business Analysis";#N/A,"CTGIND",FALSE,"Business Analysis";#N/A,"PURCHM",FALSE,"Business Analysis";#N/A,"SPADD",FALSE,"Business Analysis";#N/A,"EPOXY",FALSE,"Business Analysis";#N/A,"PURPER",FALSE,"Business Analysis"}</definedName>
    <definedName name="qink" hidden="1">{#N/A,"PURCHM",FALSE,"Business Analysis";#N/A,"SPADD",FALSE,"Business Analysis"}</definedName>
    <definedName name="qp" hidden="1">{"overview",#N/A,FALSE,"summary";"net assets",#N/A,FALSE,"summary";"asset turnover",#N/A,FALSE,"summary";"orona",#N/A,FALSE,"summary"}</definedName>
    <definedName name="qq" hidden="1">{#N/A,#N/A,FALSE,"TB";#N/A,#N/A,FALSE,"DR";#N/A,#N/A,FALSE,"AR";#N/A,#N/A,FALSE,"PL";#N/A,#N/A,FALSE,"BS";#N/A,#N/A,FALSE,"NOTES";#N/A,#N/A,FALSE,"NOTES (2)";#N/A,#N/A,FALSE,"NOTES (3)";#N/A,#N/A,FALSE,"DPL";#N/A,#N/A,FALSE,"TAXC.INDEX";#N/A,#N/A,FALSE,"Schedule I";#N/A,#N/A,FALSE,"Adjustments"}</definedName>
    <definedName name="qqkkkkk" hidden="1">{#N/A,"PURCHM",FALSE,"Business Analysis";#N/A,"SPADD",FALSE,"Business Analysis"}</definedName>
    <definedName name="qqq" hidden="1">{#N/A,#N/A,FALSE,"Pharm";#N/A,#N/A,FALSE,"WWCM"}</definedName>
    <definedName name="qqqaa" hidden="1">{"detail",#N/A,FALSE,"mfg";"summary",#N/A,FALSE,"mfg"}</definedName>
    <definedName name="qqqq" hidden="1">{#N/A,#N/A,FALSE,"Umsatz EO BP";#N/A,#N/A,FALSE,"Umsatz EO OP";#N/A,#N/A,FALSE,"ER EO BP";#N/A,#N/A,FALSE,"ER EO OP";#N/A,#N/A,FALSE,"EA EO (2)";#N/A,#N/A,FALSE,"EA EO";#N/A,#N/A,FALSE,"EA EO (3)";#N/A,#N/A,FALSE,"EA EO (4)";#N/A,#N/A,FALSE,"KA EO  (2)";#N/A,#N/A,FALSE,"KA EO";#N/A,#N/A,FALSE,"KA EO  (3)";#N/A,#N/A,FALSE,"KA EO (4)"}</definedName>
    <definedName name="qqqq.q" hidden="1">{#N/A,#N/A,FALSE,"TB";#N/A,#N/A,FALSE,"DR";#N/A,#N/A,FALSE,"AR";#N/A,#N/A,FALSE,"PL";#N/A,#N/A,FALSE,"BS";#N/A,#N/A,FALSE,"NOTES";#N/A,#N/A,FALSE,"NOTES (2)";#N/A,#N/A,FALSE,"NOTES (3)";#N/A,#N/A,FALSE,"DPL";#N/A,#N/A,FALSE,"TAXC.INDEX";#N/A,#N/A,FALSE,"Schedule I";#N/A,#N/A,FALSE,"Adjustments"}</definedName>
    <definedName name="qqqqq" hidden="1">{#N/A,"PURCHM",FALSE,"Business Analysis";#N/A,"SPADD",FALSE,"Business Analysis"}</definedName>
    <definedName name="qqqqqq" hidden="1">{"QTD_PRS",#N/A,FALSE,"QTD"}</definedName>
    <definedName name="qqqqqqq" hidden="1">#REF!</definedName>
    <definedName name="qqqqqqqqqq" hidden="1">{"pro_view",#N/A,FALSE,"EEFSNAP2";"rep_view",#N/A,FALSE,"EEFSNAP2"}</definedName>
    <definedName name="qqqqqqqqqqqqqq" hidden="1">{#N/A,#N/A,FALSE,"IS INPUT";#N/A,#N/A,FALSE,"BS INPUT";#N/A,#N/A,FALSE,"IS MTH";#N/A,#N/A,FALSE,"IS LOCAL";#N/A,#N/A,FALSE,"WON ADJ";#N/A,#N/A,FALSE,"USD ADJ";#N/A,#N/A,FALSE,"EQUITY";#N/A,#N/A,FALSE,"IS US ";#N/A,#N/A,FALSE,"BS US"}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hidden="1">{"detail",#N/A,FALSE,"mfg";"summary",#N/A,FALSE,"mfg"}</definedName>
    <definedName name="qqqqqqqqqqqqqqqqqqqqqqqqqqqqqqqqqqqqqqqqqqqqqqqqqqqqqq" hidden="1">{"TXO2N2_SLS",#N/A,FALSE,"MTHLYSLES";"TXH2_SLS",#N/A,FALSE,"MTHLYSLES";"LOUIS_SLS",#N/A,FALSE,"MTHLYSLES";"H2_SLS",#N/A,FALSE,"MTHLYSLES";"O2N2_SLS",#N/A,FALSE,"MTHLYSLES";"PACKAGE_SLS",#N/A,FALSE,"MTHLYSLES"}</definedName>
    <definedName name="qqwtweryey" hidden="1">{#N/A,#N/A,FALSE,"REPORT"}</definedName>
    <definedName name="qr" hidden="1">{"detail",#N/A,FALSE,"mfg";"summary",#N/A,FALSE,"mfg"}</definedName>
    <definedName name="qs" hidden="1">{#N/A,"PURADD",FALSE,"Business Analysis";#N/A,"PURSPP",FALSE,"Business Analysis";#N/A,"CTGIND",FALSE,"Business Analysis";#N/A,"PURCHM",FALSE,"Business Analysis";#N/A,"SPADD",FALSE,"Business Analysis";#N/A,"EPOXY",FALSE,"Business Analysis";#N/A,"PURPER",FALSE,"Business Analysis"}</definedName>
    <definedName name="qscfaq" hidden="1">{"First Page",#N/A,FALSE,"Surfactants LBO";"Second Page",#N/A,FALSE,"Surfactants LBO"}</definedName>
    <definedName name="qsd" hidden="1">{#N/A,#N/A,TRUE,"Cover sheet";#N/A,#N/A,TRUE,"DCF analysis";#N/A,#N/A,TRUE,"WACC calculation"}</definedName>
    <definedName name="qsdf3" hidden="1">{"Units A",#N/A,FALSE,"FY95SLS";"Units B",#N/A,FALSE,"FY95SLS"}</definedName>
    <definedName name="qsdjlgzerg" hidden="1">{#N/A,#N/A,TRUE,"Cover sheet";#N/A,#N/A,TRUE,"DCF analysis";#N/A,#N/A,TRUE,"WACC calculation"}</definedName>
    <definedName name="qsfd" hidden="1">{#N/A,#N/A,TRUE,"Cover sheet";#N/A,#N/A,TRUE,"INPUTS";#N/A,#N/A,TRUE,"OUTPUTS";#N/A,#N/A,TRUE,"VALUATION"}</definedName>
    <definedName name="qsqs" hidden="1">{"vue1",#N/A,FALSE,"synthese";"vue2",#N/A,FALSE,"synthese"}</definedName>
    <definedName name="qssss" hidden="1">{#N/A,"PURCHM",FALSE,"Business Analysis";#N/A,"SPADD",FALSE,"Business Analysis"}</definedName>
    <definedName name="qt" hidden="1">{"oct_res_comm",#N/A,FALSE,"VarToBud"}</definedName>
    <definedName name="QtrRepMonths">#REF!</definedName>
    <definedName name="qty" hidden="1">{#N/A,#N/A,TRUE,"COVER";#N/A,#N/A,TRUE,"DIR";#N/A,#N/A,TRUE,"AUDIT"}</definedName>
    <definedName name="quality1" hidden="1">{#N/A,#N/A,FALSE,"3";#N/A,#N/A,FALSE,"5";#N/A,#N/A,FALSE,"6";#N/A,#N/A,FALSE,"8";#N/A,#N/A,FALSE,"10";#N/A,#N/A,FALSE,"13";#N/A,#N/A,FALSE,"14";#N/A,#N/A,FALSE,"15";#N/A,#N/A,FALSE,"16"}</definedName>
    <definedName name="quality10" hidden="1">{#N/A,#N/A,FALSE,"3";#N/A,#N/A,FALSE,"5";#N/A,#N/A,FALSE,"6";#N/A,#N/A,FALSE,"8";#N/A,#N/A,FALSE,"10";#N/A,#N/A,FALSE,"13";#N/A,#N/A,FALSE,"14";#N/A,#N/A,FALSE,"15";#N/A,#N/A,FALSE,"16"}</definedName>
    <definedName name="quality17" hidden="1">{#N/A,#N/A,FALSE,"3";#N/A,#N/A,FALSE,"5";#N/A,#N/A,FALSE,"6";#N/A,#N/A,FALSE,"8";#N/A,#N/A,FALSE,"10";#N/A,#N/A,FALSE,"13";#N/A,#N/A,FALSE,"14";#N/A,#N/A,FALSE,"15";#N/A,#N/A,FALSE,"16"}</definedName>
    <definedName name="quality18" hidden="1">{#N/A,#N/A,FALSE,"3";#N/A,#N/A,FALSE,"5";#N/A,#N/A,FALSE,"6";#N/A,#N/A,FALSE,"8";#N/A,#N/A,FALSE,"10";#N/A,#N/A,FALSE,"13";#N/A,#N/A,FALSE,"14";#N/A,#N/A,FALSE,"15";#N/A,#N/A,FALSE,"16"}</definedName>
    <definedName name="quality19" hidden="1">{#N/A,#N/A,FALSE,"3";#N/A,#N/A,FALSE,"5";#N/A,#N/A,FALSE,"6";#N/A,#N/A,FALSE,"8";#N/A,#N/A,FALSE,"10";#N/A,#N/A,FALSE,"13";#N/A,#N/A,FALSE,"14";#N/A,#N/A,FALSE,"15";#N/A,#N/A,FALSE,"16"}</definedName>
    <definedName name="quality2" hidden="1">{#N/A,#N/A,FALSE,"3";#N/A,#N/A,FALSE,"5";#N/A,#N/A,FALSE,"6";#N/A,#N/A,FALSE,"8";#N/A,#N/A,FALSE,"10";#N/A,#N/A,FALSE,"13";#N/A,#N/A,FALSE,"14";#N/A,#N/A,FALSE,"15";#N/A,#N/A,FALSE,"16"}</definedName>
    <definedName name="quality21" hidden="1">{#N/A,#N/A,FALSE,"3";#N/A,#N/A,FALSE,"5";#N/A,#N/A,FALSE,"6";#N/A,#N/A,FALSE,"8";#N/A,#N/A,FALSE,"10";#N/A,#N/A,FALSE,"13";#N/A,#N/A,FALSE,"14";#N/A,#N/A,FALSE,"15";#N/A,#N/A,FALSE,"16"}</definedName>
    <definedName name="quality22" hidden="1">{#N/A,#N/A,FALSE,"3";#N/A,#N/A,FALSE,"5";#N/A,#N/A,FALSE,"6";#N/A,#N/A,FALSE,"8";#N/A,#N/A,FALSE,"10";#N/A,#N/A,FALSE,"13";#N/A,#N/A,FALSE,"14";#N/A,#N/A,FALSE,"15";#N/A,#N/A,FALSE,"16"}</definedName>
    <definedName name="quality2à" hidden="1">{#N/A,#N/A,FALSE,"3";#N/A,#N/A,FALSE,"5";#N/A,#N/A,FALSE,"6";#N/A,#N/A,FALSE,"8";#N/A,#N/A,FALSE,"10";#N/A,#N/A,FALSE,"13";#N/A,#N/A,FALSE,"14";#N/A,#N/A,FALSE,"15";#N/A,#N/A,FALSE,"16"}</definedName>
    <definedName name="quality3" hidden="1">{#N/A,#N/A,FALSE,"3";#N/A,#N/A,FALSE,"5";#N/A,#N/A,FALSE,"6";#N/A,#N/A,FALSE,"8";#N/A,#N/A,FALSE,"10";#N/A,#N/A,FALSE,"13";#N/A,#N/A,FALSE,"14";#N/A,#N/A,FALSE,"15";#N/A,#N/A,FALSE,"16"}</definedName>
    <definedName name="quality4" hidden="1">{#N/A,#N/A,FALSE,"3";#N/A,#N/A,FALSE,"5";#N/A,#N/A,FALSE,"6";#N/A,#N/A,FALSE,"8";#N/A,#N/A,FALSE,"10";#N/A,#N/A,FALSE,"13";#N/A,#N/A,FALSE,"14";#N/A,#N/A,FALSE,"15";#N/A,#N/A,FALSE,"16"}</definedName>
    <definedName name="quality5" hidden="1">{#N/A,#N/A,FALSE,"3";#N/A,#N/A,FALSE,"5";#N/A,#N/A,FALSE,"6";#N/A,#N/A,FALSE,"8";#N/A,#N/A,FALSE,"10";#N/A,#N/A,FALSE,"13";#N/A,#N/A,FALSE,"14";#N/A,#N/A,FALSE,"15";#N/A,#N/A,FALSE,"16"}</definedName>
    <definedName name="quality7" hidden="1">{#N/A,#N/A,FALSE,"3";#N/A,#N/A,FALSE,"5";#N/A,#N/A,FALSE,"6";#N/A,#N/A,FALSE,"8";#N/A,#N/A,FALSE,"10";#N/A,#N/A,FALSE,"13";#N/A,#N/A,FALSE,"14";#N/A,#N/A,FALSE,"15";#N/A,#N/A,FALSE,"16"}</definedName>
    <definedName name="quality8" hidden="1">{#N/A,#N/A,FALSE,"3";#N/A,#N/A,FALSE,"5";#N/A,#N/A,FALSE,"6";#N/A,#N/A,FALSE,"8";#N/A,#N/A,FALSE,"10";#N/A,#N/A,FALSE,"13";#N/A,#N/A,FALSE,"14";#N/A,#N/A,FALSE,"15";#N/A,#N/A,FALSE,"16"}</definedName>
    <definedName name="quality9" hidden="1">{#N/A,#N/A,FALSE,"3";#N/A,#N/A,FALSE,"5";#N/A,#N/A,FALSE,"6";#N/A,#N/A,FALSE,"8";#N/A,#N/A,FALSE,"10";#N/A,#N/A,FALSE,"13";#N/A,#N/A,FALSE,"14";#N/A,#N/A,FALSE,"15";#N/A,#N/A,FALSE,"16"}</definedName>
    <definedName name="QUATERVAT" hidden="1">FALSE()</definedName>
    <definedName name="quot" hidden="1">{#N/A,#N/A,FALSE,"TB";#N/A,#N/A,FALSE,"DR";#N/A,#N/A,FALSE,"AR";#N/A,#N/A,FALSE,"PL";#N/A,#N/A,FALSE,"BS";#N/A,#N/A,FALSE,"NOTES";#N/A,#N/A,FALSE,"NOTES (2)";#N/A,#N/A,FALSE,"NOTES (3)";#N/A,#N/A,FALSE,"DPL";#N/A,#N/A,FALSE,"TAXC.INDEX";#N/A,#N/A,FALSE,"Schedule I";#N/A,#N/A,FALSE,"Adjustments"}</definedName>
    <definedName name="qutp" hidden="1">{#N/A,#N/A,FALSE,"DIR-REP";#N/A,#N/A,FALSE,"AUD-REPORT";#N/A,#N/A,FALSE,"P7L&amp;BS";#N/A,#N/A,FALSE,"NOTES";#N/A,#N/A,FALSE,"FA";#N/A,#N/A,FALSE,"NOTES (2)";#N/A,#N/A,FALSE,"Schedule  IV";#N/A,#N/A,FALSE,"Schedule V"}</definedName>
    <definedName name="qw" hidden="1">{#N/A,#N/A,FALSE,"REPORT"}</definedName>
    <definedName name="qwdf" hidden="1">{"Units A",#N/A,FALSE,"FY95SLS";"Units B",#N/A,FALSE,"FY95SLS"}</definedName>
    <definedName name="qwdvs" hidden="1">{"US Dollars",#N/A,TRUE,"PPD";"US Dollar",#N/A,TRUE,"Anaquest";"US Dollar",#N/A,TRUE,"Delta";"US Dollar",#N/A,TRUE,"INO"}</definedName>
    <definedName name="qwe" hidden="1">{#N/A,"PURADD",FALSE,"Business Analysis";#N/A,"PURSPP",FALSE,"Business Analysis";#N/A,"CTGIND",FALSE,"Business Analysis";#N/A,"PURCHM",FALSE,"Business Analysis";#N/A,"SPADD",FALSE,"Business Analysis";#N/A,"EPOXY",FALSE,"Business Analysis";#N/A,"PURPER",FALSE,"Business Analysis"}</definedName>
    <definedName name="qweqw" hidden="1">{#N/A,#N/A,FALSE,"3";#N/A,#N/A,FALSE,"5";#N/A,#N/A,FALSE,"6";#N/A,#N/A,FALSE,"8";#N/A,#N/A,FALSE,"10";#N/A,#N/A,FALSE,"13";#N/A,#N/A,FALSE,"14";#N/A,#N/A,FALSE,"15";#N/A,#N/A,FALSE,"16"}</definedName>
    <definedName name="qweqwesg" hidden="1">{#N/A,#N/A,FALSE,"Umsatz CH";#N/A,#N/A,FALSE,"ER CH";#N/A,#N/A,FALSE,"EA CH (2) ";#N/A,#N/A,FALSE,"EA CH";#N/A,#N/A,FALSE,"EA CH (3) ";#N/A,#N/A,FALSE,"EA CH (4)";#N/A,#N/A,FALSE,"KA CH";#N/A,#N/A,FALSE,"KA CH  (2)";#N/A,#N/A,FALSE,"KA CH  (3)";#N/A,#N/A,FALSE,"KA CH (4)"}</definedName>
    <definedName name="qwer" hidden="1">{"pro_view",#N/A,FALSE,"EEFSNAP2";"rep_view",#N/A,FALSE,"EEFSNAP2"}</definedName>
    <definedName name="qwerrtyu" hidden="1">{"Sum WW A",#N/A,FALSE,"FY95SLS";"Sum WW B",#N/A,FALSE,"FY95SLS";"Sum US A",#N/A,FALSE,"FY95SLS";"Sum US B",#N/A,FALSE,"FY95SLS";"Sum US Bocg",#N/A,FALSE,"FY95SLS";"Sum Can A",#N/A,FALSE,"FY95SLS";"Sum Can B",#N/A,FALSE,"FY95SLS";"Sum Europe",#N/A,FALSE,"FY95SLS";"Sum Row",#N/A,FALSE,"FY95SLS"}</definedName>
    <definedName name="qwer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qwertqry" hidden="1">{#N/A,#N/A,FALSE,"REPORT"}</definedName>
    <definedName name="qwerty" hidden="1">{"Sum WW A",#N/A,FALSE,"FY95SLS";"Sum WW B",#N/A,FALSE,"FY95SLS";"Sum US A",#N/A,FALSE,"FY95SLS";"Sum US B",#N/A,FALSE,"FY95SLS";"Sum US Bocg",#N/A,FALSE,"FY95SLS";"Sum Can A",#N/A,FALSE,"FY95SLS";"Sum Can B",#N/A,FALSE,"FY95SLS";"Sum Europe",#N/A,FALSE,"FY95SLS";"Sum Row",#N/A,FALSE,"FY95SLS"}</definedName>
    <definedName name="qwetqryetytu" hidden="1">{#N/A,#N/A,FALSE,"Pharm";#N/A,#N/A,FALSE,"WWCM"}</definedName>
    <definedName name="qwqewqe" hidden="1">{#N/A,#N/A,FALSE,"3";#N/A,#N/A,FALSE,"5";#N/A,#N/A,FALSE,"6";#N/A,#N/A,FALSE,"8";#N/A,#N/A,FALSE,"10";#N/A,#N/A,FALSE,"13";#N/A,#N/A,FALSE,"14";#N/A,#N/A,FALSE,"15";#N/A,#N/A,FALSE,"16"}</definedName>
    <definedName name="qwrd" hidden="1">{"ACT",#N/A,FALSE,"Q3Elec P&amp;L fy 99  ";"BUD",#N/A,FALSE,"Q3Elec P&amp;L fy 99  ";"PRIOR",#N/A,FALSE,"Q3Elec P&amp;L fy 99  "}</definedName>
    <definedName name="qws" hidden="1">{"QTD_OTHER",#N/A,FALSE,"QTD"}</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z" hidden="1">{"QTD_HYCO",#N/A,FALSE,"QTD"}</definedName>
    <definedName name="r.CashFlow" hidden="1">#REF!</definedName>
    <definedName name="r.Liquidity" hidden="1">#REF!</definedName>
    <definedName name="r.LTMInterim" hidden="1">#REF!</definedName>
    <definedName name="r.Profitability" hidden="1">#REF!</definedName>
    <definedName name="R_Kto">#REF!</definedName>
    <definedName name="R_Sum">#REF!</definedName>
    <definedName name="rad" hidden="1">{"PACKAGE",#N/A,FALSE,"CM"}</definedName>
    <definedName name="RangeChange" hidden="1">#N/A</definedName>
    <definedName name="ＲＡＲＯＡ" hidden="1">{"'下期集計（10.27迄・速報値）'!$Q$16"}</definedName>
    <definedName name="ray" hidden="1">{#N/A,#N/A,FALSE,"TB";#N/A,#N/A,FALSE,"AR";#N/A,#N/A,FALSE,"BS";#N/A,#N/A,FALSE,"PL";#N/A,#N/A,FALSE,"NOTES";#N/A,#N/A,FALSE,"NOTES (2)";#N/A,#N/A,FALSE,"NOTES (3)";#N/A,#N/A,FALSE,"TAXC.INDEX";#N/A,#N/A,FALSE,"Schedule I";#N/A,#N/A,FALSE,"DPL";#N/A,#N/A,FALSE,"Schedule IV";#N/A,#N/A,FALSE,"Adjustments"}</definedName>
    <definedName name="rd" hidden="1">{"oct_res_comm",#N/A,FALSE,"VarToBud"}</definedName>
    <definedName name="rderere" hidden="1">{"'comite'!$A$9:$G$44","'comite'!$A$1:$G$6"}</definedName>
    <definedName name="rdrhd" hidden="1">{"Units A",#N/A,FALSE,"FY95SLS";"Units B",#N/A,FALSE,"FY95SLS"}</definedName>
    <definedName name="rdx" hidden="1">{"oct_res_comm",#N/A,FALSE,"VarToBud"}</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l_currency">#REF!</definedName>
    <definedName name="redo" hidden="1">{#N/A,#N/A,FALSE,"ACQ_GRAPHS";#N/A,#N/A,FALSE,"T_1 GRAPHS";#N/A,#N/A,FALSE,"T_2 GRAPHS";#N/A,#N/A,FALSE,"COMB_GRAPHS"}</definedName>
    <definedName name="redoo" hidden="1">{#N/A,#N/A,FALSE,"ACQ_GRAPHS";#N/A,#N/A,FALSE,"T_1 GRAPHS";#N/A,#N/A,FALSE,"T_2 GRAPHS";#N/A,#N/A,FALSE,"COMB_GRAPHS"}</definedName>
    <definedName name="reer" hidden="1">{#N/A,#N/A,FALSE,"3";#N/A,#N/A,FALSE,"5";#N/A,#N/A,FALSE,"6";#N/A,#N/A,FALSE,"8";#N/A,#N/A,FALSE,"10";#N/A,#N/A,FALSE,"13";#N/A,#N/A,FALSE,"14";#N/A,#N/A,FALSE,"15";#N/A,#N/A,FALSE,"16"}</definedName>
    <definedName name="refreshActual" hidden="1">#REF!</definedName>
    <definedName name="refreshBudget" hidden="1">#REF!</definedName>
    <definedName name="refreshCOA" hidden="1">#REF!</definedName>
    <definedName name="regeg" hidden="1">{"general",#N/A,FALSE,"Assumptions"}</definedName>
    <definedName name="regerge" hidden="1">{#N/A,#N/A,FALSE,"3";#N/A,#N/A,FALSE,"5";#N/A,#N/A,FALSE,"6";#N/A,#N/A,FALSE,"8";#N/A,#N/A,FALSE,"10";#N/A,#N/A,FALSE,"13";#N/A,#N/A,FALSE,"14";#N/A,#N/A,FALSE,"15";#N/A,#N/A,FALSE,"16"}</definedName>
    <definedName name="reggie" hidden="1">{#N/A,#N/A,FALSE,"Pharm";#N/A,#N/A,FALSE,"WWCM"}</definedName>
    <definedName name="Region_1">#REF!</definedName>
    <definedName name="Region_2">#REF!</definedName>
    <definedName name="Region_3">#REF!</definedName>
    <definedName name="Region_4">#REF!</definedName>
    <definedName name="Regions_input">#REF!</definedName>
    <definedName name="regrg" hidden="1">{"comp1",#N/A,FALSE,"COMPS";"footnotes",#N/A,FALSE,"COMPS"}</definedName>
    <definedName name="rename_of_wrn.CSC" hidden="1">{"page1",#N/A,TRUE,"CSC";"page2",#N/A,TRUE,"CSC"}</definedName>
    <definedName name="renata" hidden="1">{"'comite'!$A$9:$G$44","'comite'!$A$1:$G$6"}</definedName>
    <definedName name="renatar" hidden="1">{"'comite'!$A$9:$G$44","'comite'!$A$1:$G$6"}</definedName>
    <definedName name="Rengo" hidden="1">#REF!</definedName>
    <definedName name="REP" hidden="1">#REF!</definedName>
    <definedName name="Report_Version_4">"A1"</definedName>
    <definedName name="report3"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ReportCreated">TRUE()</definedName>
    <definedName name="ReportGroup" hidden="1">0</definedName>
    <definedName name="rer" hidden="1">{#N/A,#N/A,FALSE,"Operations";#N/A,#N/A,FALSE,"Financials"}</definedName>
    <definedName name="RESERVED_DATA" hidden="1">#REF!</definedName>
    <definedName name="resp." hidden="1">{#N/A,#N/A,FALSE,"Pharm";#N/A,#N/A,FALSE,"WWCM"}</definedName>
    <definedName name="RESUMO1" hidden="1">{#N/A,"Tabelas de quantidade",FALSE,"Entradas";"CLIENTE",#N/A,FALSE,"HW";"CLIENTE",#N/A,FALSE,"SW";"CLIENTE",#N/A,FALSE,"TELESSUP.";"CLIENTE",#N/A,FALSE,"DCN &amp; Acess";"CLIENTE",#N/A,FALSE,"Sobressalentes";"CLIENTE",#N/A,FALSE,"Mat. Instal.";"CLIENTE",#N/A,FALSE,"Doc. Técnica";"CLIENTE",#N/A,FALSE,"Serviços";"CLIENTE",#N/A,FALSE,"Treinamento"}</definedName>
    <definedName name="ResumoPropostas" hidden="1">{#N/A,#N/A,FALSE,"Cristal D'Oro (Tabela)";#N/A,#N/A,FALSE,"Cond Rio Tietê (Tabela)";#N/A,#N/A,FALSE,"Jacyr Leal (Tabela)";#N/A,#N/A,FALSE,"Paul Cézanne (Tabela)";#N/A,#N/A,FALSE,"Tom Jobim  (Tabela)"}</definedName>
    <definedName name="returns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venue_Keyword">#REF!</definedName>
    <definedName name="rewq" hidden="1">{"sales growth",#N/A,FALSE,"summary";"oper income",#N/A,FALSE,"summary";"oros rank",#N/A,FALSE,"summary";"net assets",#N/A,FALSE,"summary";"asset turnover",#N/A,FALSE,"summary";"orona",#N/A,FALSE,"summary"}</definedName>
    <definedName name="rewqfe" hidden="1">{#N/A,#N/A,FALSE,"3";#N/A,#N/A,FALSE,"5";#N/A,#N/A,FALSE,"6";#N/A,#N/A,FALSE,"8";#N/A,#N/A,FALSE,"10";#N/A,#N/A,FALSE,"13";#N/A,#N/A,FALSE,"14";#N/A,#N/A,FALSE,"15";#N/A,#N/A,FALSE,"16"}</definedName>
    <definedName name="rewtet" hidden="1">{#N/A,#N/A,FALSE,"Umsatz 99";#N/A,#N/A,FALSE,"ER 99 "}</definedName>
    <definedName name="reyrey" hidden="1">{#N/A,#N/A,FALSE,"3";#N/A,#N/A,FALSE,"5";#N/A,#N/A,FALSE,"6";#N/A,#N/A,FALSE,"8";#N/A,#N/A,FALSE,"10";#N/A,#N/A,FALSE,"13";#N/A,#N/A,FALSE,"14";#N/A,#N/A,FALSE,"15";#N/A,#N/A,FALSE,"16"}</definedName>
    <definedName name="rezq" hidden="1">{"vue1",#N/A,FALSE,"synthese";"vue2",#N/A,FALSE,"synthese"}</definedName>
    <definedName name="reztetrert" hidden="1">{"comps",#N/A,FALSE,"HANDPACK";"footnotes",#N/A,FALSE,"HANDPACK"}</definedName>
    <definedName name="rf" hidden="1">{#N/A,#N/A,FALSE,"TAXC.INDEX";#N/A,#N/A,FALSE,"Schedule I";#N/A,#N/A,FALSE,"Schedule  II";#N/A,#N/A,FALSE,"Schedule III";#N/A,#N/A,FALSE,"Schedule IV";#N/A,#N/A,FALSE,"Schedule IV (Cont'd)";#N/A,#N/A,FALSE,"Schedule V";#N/A,#N/A,FALSE,"Schedule VI";#N/A,#N/A,FALSE,"Schedule VII"}</definedName>
    <definedName name="rf2e" hidden="1">{#N/A,#N/A,FALSE,"Pharm";#N/A,#N/A,FALSE,"WWCM"}</definedName>
    <definedName name="rgfag" hidden="1">{"comps2",#N/A,FALSE,"AERO";"footnotes",#N/A,FALSE,"AERO"}</definedName>
    <definedName name="rhdrh" hidden="1">{"Sum WW A",#N/A,FALSE,"FY95SLS";"Sum WW B",#N/A,FALSE,"FY95SLS";"Sum US A",#N/A,FALSE,"FY95SLS";"Sum US B",#N/A,FALSE,"FY95SLS";"Sum US Bocg",#N/A,FALSE,"FY95SLS";"Sum Can A",#N/A,FALSE,"FY95SLS";"Sum Can B",#N/A,FALSE,"FY95SLS";"Sum Europe",#N/A,FALSE,"FY95SLS";"Sum Row",#N/A,FALSE,"FY95SLS"}</definedName>
    <definedName name="rhrh" hidden="1">{"Units A",#N/A,FALSE,"FY95SLS";"Units B",#N/A,FALSE,"FY95SLS"}</definedName>
    <definedName name="rhrhr" hidden="1">{"Sum WW A",#N/A,FALSE,"FY95SLS";"Sum WW B",#N/A,FALSE,"FY95SLS";"Sum US A",#N/A,FALSE,"FY95SLS";"Sum US B",#N/A,FALSE,"FY95SLS";"Sum US Bocg",#N/A,FALSE,"FY95SLS";"Sum Can A",#N/A,FALSE,"FY95SLS";"Sum Can B",#N/A,FALSE,"FY95SLS";"Sum Europe",#N/A,FALSE,"FY95SLS";"Sum Row",#N/A,FALSE,"FY95SLS"}</definedName>
    <definedName name="rhsdrhr" hidden="1">{"Units A",#N/A,FALSE,"FY95SLS";"Units B",#N/A,FALSE,"FY95SLS"}</definedName>
    <definedName name="ricardo1" hidden="1">{#N/A,#N/A,FALSE,"Cristal D'Oro (Tabela)";#N/A,#N/A,FALSE,"Cond Rio Tietê (Tabela)";#N/A,#N/A,FALSE,"Jacyr Leal (Tabela)";#N/A,#N/A,FALSE,"Paul Cézanne (Tabela)";#N/A,#N/A,FALSE,"Tom Jobim  (Tabela)"}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free" hidden="1">#REF!</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xi" hidden="1">{"oct_res_comm",#N/A,FALSE,"VarToBud"}</definedName>
    <definedName name="rjod" hidden="1">{"detail",#N/A,FALSE,"mfg";"summary",#N/A,FALSE,"mfg"}</definedName>
    <definedName name="rkods" hidden="1">{"detail",#N/A,FALSE,"mfg";"summary",#N/A,FALSE,"mfg"}</definedName>
    <definedName name="rmc"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rngDvalBFP">#REF!</definedName>
    <definedName name="rngDvalCurrency">#REF!</definedName>
    <definedName name="rngDvalCY">#REF!</definedName>
    <definedName name="rngDvalDenomination">#REF!</definedName>
    <definedName name="rngDvalMonths">#REF!</definedName>
    <definedName name="rngDvalTimeline">#REF!</definedName>
    <definedName name="rngDvalYTDNotation1">#REF!</definedName>
    <definedName name="rngDvalYTDNotation2">#REF!</definedName>
    <definedName name="rngSelCurrency">#REF!</definedName>
    <definedName name="Rob" hidden="1">{"Pound Sterling",#N/A,TRUE,"PPD";"Pound Sterling",#N/A,TRUE,"Anaquest";"Pound Sterling",#N/A,TRUE,"Delta";"Pound Sterling",#N/A,TRUE,"INO"}</definedName>
    <definedName name="rowlayoutStart" hidden="1">#REF!</definedName>
    <definedName name="RowsInSheet">_xlfn.lambda(_xlpm.array, MAX(IF(ISBLANK(_xlpm.array), 0, ROW(_xlpm.array))))</definedName>
    <definedName name="rowType" hidden="1">#REF!</definedName>
    <definedName name="rqwrqwrq" hidden="1">{#N/A,#N/A,FALSE,"3";#N/A,#N/A,FALSE,"5";#N/A,#N/A,FALSE,"6";#N/A,#N/A,FALSE,"8";#N/A,#N/A,FALSE,"10";#N/A,#N/A,FALSE,"13";#N/A,#N/A,FALSE,"14";#N/A,#N/A,FALSE,"15";#N/A,#N/A,FALSE,"16"}</definedName>
    <definedName name="rr" hidden="1">{"detail",#N/A,FALSE,"mfg";"summary",#N/A,FALSE,"mfg"}</definedName>
    <definedName name="rr.kk" hidden="1">{#N/A,#N/A,FALSE,"Umsatz CH";#N/A,#N/A,FALSE,"ER CH";#N/A,#N/A,FALSE,"EA CH (2) ";#N/A,#N/A,FALSE,"EA CH";#N/A,#N/A,FALSE,"EA CH (3) ";#N/A,#N/A,FALSE,"EA CH (4)";#N/A,#N/A,FALSE,"KA CH";#N/A,#N/A,FALSE,"KA CH  (2)";#N/A,#N/A,FALSE,"KA CH  (3)";#N/A,#N/A,FALSE,"KA CH (4)"}</definedName>
    <definedName name="rrr" hidden="1">{#N/A,"PURCHM",FALSE,"Business Analysis";#N/A,"SPADD",FALSE,"Business Analysis"}</definedName>
    <definedName name="rrrr" hidden="1">{"vol data",#N/A,FALSE,"Datasheet";"vol graph",#N/A,FALSE,"Volume";"price data",#N/A,FALSE,"Datasheet";"price graph",#N/A,FALSE,"Price";"dp data",#N/A,FALSE,"Datasheet";"dp graph",#N/A,FALSE,"DirectProfit"}</definedName>
    <definedName name="rrrrr" hidden="1">{#N/A,#N/A,FALSE,"Pharm";#N/A,#N/A,FALSE,"WWCM"}</definedName>
    <definedName name="rrrrrr" hidden="1">{"cash plan",#N/A,FALSE,"fccashflow"}</definedName>
    <definedName name="rsac" hidden="1">{"PAGE 1",#N/A,FALSE,"COS Excluding Geismar";"PAGE 2",#N/A,FALSE,"COS Excluding Geismar";"PAGE 3",#N/A,FALSE,"COS Excluding Geismar"}</definedName>
    <definedName name="rt" hidden="1">{"detail",#N/A,FALSE,"mfg";"summary",#N/A,FALSE,"mfg"}</definedName>
    <definedName name="rtds" hidden="1">{"ICD Details",#N/A,FALSE,"Current Yr";"ICD Details",#N/A,FALSE,"Budget";"ICD Details",#N/A,FALSE,"Prior Year"}</definedName>
    <definedName name="rtfg" hidden="1">{"LAPO2N2",#N/A,FALSE,"CM";"TOTTEXAS",#N/A,FALSE,"CM";"LOUISIANA",#N/A,FALSE,"CM";"GENERALH2",#N/A,FALSE,"CM";"PRS",#N/A,FALSE,"CM";"PACKAGE",#N/A,FALSE,"CM";"OTHER",#N/A,FALSE,"CM"}</definedName>
    <definedName name="rtgh" hidden="1">{#N/A,#N/A,TRUE,"Sheet1";#N/A,#N/A,TRUE,"Sheet2";#N/A,#N/A,TRUE,"Sheet3";#N/A,#N/A,TRUE,"Sheet4";#N/A,#N/A,TRUE,"Sheet5";#N/A,#N/A,TRUE,"Sheet6";#N/A,#N/A,TRUE,"Sheet7"}</definedName>
    <definedName name="rtnb" hidden="1">{"vol data",#N/A,FALSE,"Datasheet";"vol graph",#N/A,FALSE,"Volume";"price data",#N/A,FALSE,"Datasheet";"price graph",#N/A,FALSE,"Price";"dp data",#N/A,FALSE,"Datasheet";"dp graph",#N/A,FALSE,"DirectProfit"}</definedName>
    <definedName name="rtqe" hidden="1">{"Units A",#N/A,FALSE,"FY95SLS";"Units B",#N/A,FALSE,"FY95SLS"}</definedName>
    <definedName name="rtrae"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rtre" hidden="1">{#N/A,#N/A,FALSE,"Umsatz CH";#N/A,#N/A,FALSE,"ER CH";#N/A,#N/A,FALSE,"EA CH (2) ";#N/A,#N/A,FALSE,"EA CH";#N/A,#N/A,FALSE,"EA CH (3) ";#N/A,#N/A,FALSE,"EA CH (4)";#N/A,#N/A,FALSE,"KA CH";#N/A,#N/A,FALSE,"KA CH  (2)";#N/A,#N/A,FALSE,"KA CH  (3)";#N/A,#N/A,FALSE,"KA CH (4)"}</definedName>
    <definedName name="rturtu" hidden="1">{#N/A,#N/A,FALSE,"3";#N/A,#N/A,FALSE,"5";#N/A,#N/A,FALSE,"6";#N/A,#N/A,FALSE,"8";#N/A,#N/A,FALSE,"10";#N/A,#N/A,FALSE,"13";#N/A,#N/A,FALSE,"14";#N/A,#N/A,FALSE,"15";#N/A,#N/A,FALSE,"16"}</definedName>
    <definedName name="rturtutr" hidden="1">{#N/A,#N/A,FALSE,"3";#N/A,#N/A,FALSE,"5";#N/A,#N/A,FALSE,"6";#N/A,#N/A,FALSE,"8";#N/A,#N/A,FALSE,"10";#N/A,#N/A,FALSE,"13";#N/A,#N/A,FALSE,"14";#N/A,#N/A,FALSE,"15";#N/A,#N/A,FALSE,"16"}</definedName>
    <definedName name="rturtutrut" hidden="1">{#N/A,#N/A,FALSE,"3";#N/A,#N/A,FALSE,"5";#N/A,#N/A,FALSE,"6";#N/A,#N/A,FALSE,"8";#N/A,#N/A,FALSE,"10";#N/A,#N/A,FALSE,"13";#N/A,#N/A,FALSE,"14";#N/A,#N/A,FALSE,"15";#N/A,#N/A,FALSE,"16"}</definedName>
    <definedName name="rtut" hidden="1">{#N/A,#N/A,FALSE,"3";#N/A,#N/A,FALSE,"5";#N/A,#N/A,FALSE,"6";#N/A,#N/A,FALSE,"8";#N/A,#N/A,FALSE,"10";#N/A,#N/A,FALSE,"13";#N/A,#N/A,FALSE,"14";#N/A,#N/A,FALSE,"15";#N/A,#N/A,FALSE,"16"}</definedName>
    <definedName name="rtutrut" hidden="1">{#N/A,#N/A,FALSE,"3";#N/A,#N/A,FALSE,"5";#N/A,#N/A,FALSE,"6";#N/A,#N/A,FALSE,"8";#N/A,#N/A,FALSE,"10";#N/A,#N/A,FALSE,"13";#N/A,#N/A,FALSE,"14";#N/A,#N/A,FALSE,"15";#N/A,#N/A,FALSE,"16"}</definedName>
    <definedName name="rty" hidden="1">{"ICD Details",#N/A,FALSE,"Current Yr";"ICD Details",#N/A,FALSE,"Budget";"ICD Details",#N/A,FALSE,"Prior Year"}</definedName>
    <definedName name="rtyu" hidden="1">{"BA detail",#N/A,FALSE,"Q3YTD "}</definedName>
    <definedName name="r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ss" hidden="1">{"'Inventory &amp; Anal-Cur Wkbk'!$A$7:$AP$71"}</definedName>
    <definedName name="Ruth" hidden="1">{#N/A,#N/A,FALSE,"Presentation by Unit";#N/A,#N/A,FALSE,"Presentation by BD";#N/A,#N/A,FALSE,"Presentation Split by Biggest U";#N/A,#N/A,FALSE,"Presentation Split by Area";#N/A,#N/A,FALSE,"Presentation Split by BD"}</definedName>
    <definedName name="ruufo" hidden="1">{"detail",#N/A,FALSE,"mfg";"summary",#N/A,FALSE,"mfg"}</definedName>
    <definedName name="rv" hidden="1">{"apci",#N/A,FALSE,"Chem_CY";"eastman",#N/A,FALSE,"Eastman";"betz",#N/A,FALSE,"Betz";"great lakes",#N/A,FALSE,"Great_Lakes";"hercules",#N/A,FALSE,"Hercules Chem Seg Data";"rohm",#N/A,FALSE,"Rohm";"union carbide",#N/A,FALSE,"Union";"witco",#N/A,FALSE,"Witco"}</definedName>
    <definedName name="rw" hidden="1">{#N/A,"PURADD",FALSE,"Business Analysis";#N/A,"PURSPP",FALSE,"Business Analysis";#N/A,"CTGIND",FALSE,"Business Analysis";#N/A,"PURCHM",FALSE,"Business Analysis";#N/A,"SPADD",FALSE,"Business Analysis";#N/A,"EPOXY",FALSE,"Business Analysis";#N/A,"PURPER",FALSE,"Business Analysis"}</definedName>
    <definedName name="rweq" hidden="1">{"TEXO2N2_VOL",#N/A,FALSE,"MTHLYVOL";"TEXH2_VOL",#N/A,FALSE,"MTHLYVOL";"LOUIS_VOL",#N/A,FALSE,"MTHLYVOL";"H2_VOL",#N/A,FALSE,"MTHLYVOL";"O2N2_VOL",#N/A,FALSE,"MTHLYVOL";"PACKAGE_VOL",#N/A,FALSE,"MTHLYVOL"}</definedName>
    <definedName name="rwert" hidden="1">{#N/A,#N/A,FALSE,"Pharm";#N/A,#N/A,FALSE,"WWCM"}</definedName>
    <definedName name="rwetwertrey" hidden="1">{"Units A",#N/A,FALSE,"FY95SLS";"Units B",#N/A,FALSE,"FY95SLS"}</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qrqwrw" hidden="1">{#N/A,#N/A,FALSE,"3";#N/A,#N/A,FALSE,"5";#N/A,#N/A,FALSE,"6";#N/A,#N/A,FALSE,"8";#N/A,#N/A,FALSE,"10";#N/A,#N/A,FALSE,"13";#N/A,#N/A,FALSE,"14";#N/A,#N/A,FALSE,"15";#N/A,#N/A,FALSE,"16"}</definedName>
    <definedName name="rwr" hidden="1">{"CSC_1",#N/A,FALSE,"CSC Outputs";"CSC_2",#N/A,FALSE,"CSC Outputs"}</definedName>
    <definedName name="rwsz" hidden="1">{"Commentary",#N/A,FALSE,"May"}</definedName>
    <definedName name="rwxz" hidden="1">{"TXO2N2_SLS",#N/A,FALSE,"MTHLYSLES";"TXH2_SLS",#N/A,FALSE,"MTHLYSLES";"LOUIS_SLS",#N/A,FALSE,"MTHLYSLES";"H2_SLS",#N/A,FALSE,"MTHLYSLES";"O2N2_SLS",#N/A,FALSE,"MTHLYSLES";"PACKAGE_SLS",#N/A,FALSE,"MTHLYSLES"}</definedName>
    <definedName name="rxs" hidden="1">{"Month Summary",#N/A,FALSE,"Summary";"Total Details",#N/A,FALSE,"Current Yr";"Polymers Details",#N/A,FALSE,"Current Yr";"Performance Details",#N/A,FALSE,"Current Yr";"ICD Details",#N/A,FALSE,"Current Yr"}</definedName>
    <definedName name="ryer" hidden="1">{#N/A,#N/A,FALSE,"3";#N/A,#N/A,FALSE,"5";#N/A,#N/A,FALSE,"6";#N/A,#N/A,FALSE,"8";#N/A,#N/A,FALSE,"10";#N/A,#N/A,FALSE,"13";#N/A,#N/A,FALSE,"14";#N/A,#N/A,FALSE,"15";#N/A,#N/A,FALSE,"16"}</definedName>
    <definedName name="ryti" hidden="1">{"Sum WW A",#N/A,FALSE,"FY95SLS";"Sum WW B",#N/A,FALSE,"FY95SLS";"Sum US A",#N/A,FALSE,"FY95SLS";"Sum US B",#N/A,FALSE,"FY95SLS";"Sum US Bocg",#N/A,FALSE,"FY95SLS";"Sum Can A",#N/A,FALSE,"FY95SLS";"Sum Can B",#N/A,FALSE,"FY95SLS";"Sum Europe",#N/A,FALSE,"FY95SLS";"Sum Row",#N/A,FALSE,"FY95SLS"}</definedName>
    <definedName name="ryyry" hidden="1">{#N/A,#N/A,FALSE,"3";#N/A,#N/A,FALSE,"5";#N/A,#N/A,FALSE,"6";#N/A,#N/A,FALSE,"8";#N/A,#N/A,FALSE,"10";#N/A,#N/A,FALSE,"13";#N/A,#N/A,FALSE,"14";#N/A,#N/A,FALSE,"15";#N/A,#N/A,FALSE,"16"}</definedName>
    <definedName name="s.summit" hidden="1">{#N/A,#N/A,FALSE,"TB";#N/A,#N/A,FALSE,"DR";#N/A,#N/A,FALSE,"AR";#N/A,#N/A,FALSE,"PL";#N/A,#N/A,FALSE,"BS";#N/A,#N/A,FALSE,"NOTES";#N/A,#N/A,FALSE,"NOTES (2)";#N/A,#N/A,FALSE,"NOTES (3)";#N/A,#N/A,FALSE,"DPL";#N/A,#N/A,FALSE,"TAXC.INDEX";#N/A,#N/A,FALSE,"Schedule I";#N/A,#N/A,FALSE,"Adjustments"}</definedName>
    <definedName name="sadf" hidden="1">{"'Internat.oper.netti'!$B$1:$J$25"}</definedName>
    <definedName name="sadv" hidden="1">#REF!</definedName>
    <definedName name="safasf" hidden="1">{#N/A,#N/A,FALSE,"3";#N/A,#N/A,FALSE,"5";#N/A,#N/A,FALSE,"6";#N/A,#N/A,FALSE,"8";#N/A,#N/A,FALSE,"10";#N/A,#N/A,FALSE,"13";#N/A,#N/A,FALSE,"14";#N/A,#N/A,FALSE,"15";#N/A,#N/A,FALSE,"16"}</definedName>
    <definedName name="safd" hidden="1">{#N/A,"PURADD",FALSE,"Business Analysis";#N/A,"PURSPP",FALSE,"Business Analysis";#N/A,"CTGIND",FALSE,"Business Analysis";#N/A,"PURCHM",FALSE,"Business Analysis";#N/A,"SPADD",FALSE,"Business Analysis";#N/A,"EPOXY",FALSE,"Business Analysis";#N/A,"PURPER",FALSE,"Business Analysis"}</definedName>
    <definedName name="saff" hidden="1">{#N/A,#N/A,FALSE,"3";#N/A,#N/A,FALSE,"5";#N/A,#N/A,FALSE,"6";#N/A,#N/A,FALSE,"8";#N/A,#N/A,FALSE,"10";#N/A,#N/A,FALSE,"13";#N/A,#N/A,FALSE,"14";#N/A,#N/A,FALSE,"15";#N/A,#N/A,FALSE,"16"}</definedName>
    <definedName name="sajt" hidden="1">{"Pound Sterling",#N/A,TRUE,"PPD";"Pound Sterling",#N/A,TRUE,"Anaquest";"Pound Sterling",#N/A,TRUE,"Delta";"Pound Sterling",#N/A,TRUE,"INO"}</definedName>
    <definedName name="salesbis" hidden="1">{#N/A,"MacToolsZag",FALSE,"P&amp;L"}</definedName>
    <definedName name="Salespp" hidden="1">{"detail",#N/A,FALSE,"mfg";"summary",#N/A,FALSE,"mfg"}</definedName>
    <definedName name="sally" hidden="1">{#N/A,#N/A,FALSE,"Pharm";#N/A,#N/A,FALSE,"WWCM"}</definedName>
    <definedName name="SAM_year_end" hidden="1">2002</definedName>
    <definedName name="SANDRO" hidden="1">{#N/A,#N/A,FALSE,"Aging Summary";#N/A,#N/A,FALSE,"Ratio Analysis";#N/A,#N/A,FALSE,"Test 120 Day Accts";#N/A,#N/A,FALSE,"Tickmarks"}</definedName>
    <definedName name="SAPBEXdnldView" hidden="1">"6JNNNO36IJ5KPD8H648THM6R5"</definedName>
    <definedName name="SAPBEXhrIndnt" hidden="1">"Wide"</definedName>
    <definedName name="SAPBEXrevision" hidden="1">1</definedName>
    <definedName name="SAPBEXsysID" hidden="1">"BP1"</definedName>
    <definedName name="SAPBEXwbID" hidden="1">"0MB5TOIC7ZU0LX8WJX6QNRCYX"</definedName>
    <definedName name="SAPFuncF4Help" hidden="1">main.sapf4help()</definedName>
    <definedName name="SAPsysID" hidden="1">"708C5W7SBKP804JT78WJ0JNKI"</definedName>
    <definedName name="SAPwbID" hidden="1">"ARS"</definedName>
    <definedName name="sas" hidden="1">{"detail",#N/A,FALSE,"mfg";"summary",#N/A,FALSE,"mfg"}</definedName>
    <definedName name="sASa" hidden="1">{#N/A,#N/A,FALSE,"3";#N/A,#N/A,FALSE,"5";#N/A,#N/A,FALSE,"6";#N/A,#N/A,FALSE,"8";#N/A,#N/A,FALSE,"10";#N/A,#N/A,FALSE,"13";#N/A,#N/A,FALSE,"14";#N/A,#N/A,FALSE,"15";#N/A,#N/A,FALSE,"16"}</definedName>
    <definedName name="say" hidden="1">{#N/A,#N/A,FALSE,"TB";#N/A,#N/A,FALSE,"AR";#N/A,#N/A,FALSE,"BS";#N/A,#N/A,FALSE,"PL";#N/A,#N/A,FALSE,"NOTES";#N/A,#N/A,FALSE,"NOTES (2)";#N/A,#N/A,FALSE,"NOTES (3)";#N/A,#N/A,FALSE,"TAXC.INDEX";#N/A,#N/A,FALSE,"Schedule I";#N/A,#N/A,FALSE,"DPL";#N/A,#N/A,FALSE,"Schedule IV";#N/A,#N/A,FALSE,"Adjustments"}</definedName>
    <definedName name="scasc" hidden="1">{#N/A,#N/A,FALSE,"3";#N/A,#N/A,FALSE,"5";#N/A,#N/A,FALSE,"6";#N/A,#N/A,FALSE,"8";#N/A,#N/A,FALSE,"10";#N/A,#N/A,FALSE,"13";#N/A,#N/A,FALSE,"14";#N/A,#N/A,FALSE,"15";#N/A,#N/A,FALSE,"16"}</definedName>
    <definedName name="SCDim">" "</definedName>
    <definedName name="score" hidden="1">{"detail",#N/A,FALSE,"mfg";"summary",#N/A,FALSE,"mfg"}</definedName>
    <definedName name="scorecardfy00" hidden="1">{"Comp_of_Price_Effect",#N/A,FALSE,"QTRDPVAR"}</definedName>
    <definedName name="scsdaf" hidden="1">{#N/A,#N/A,FALSE,"3";#N/A,#N/A,FALSE,"5";#N/A,#N/A,FALSE,"6";#N/A,#N/A,FALSE,"8";#N/A,#N/A,FALSE,"10";#N/A,#N/A,FALSE,"13";#N/A,#N/A,FALSE,"14";#N/A,#N/A,FALSE,"15";#N/A,#N/A,FALSE,"16"}</definedName>
    <definedName name="sd">#REF!</definedName>
    <definedName name="sdafgs" hidden="1">{#N/A,#N/A,FALSE,"Pharm";#N/A,#N/A,FALSE,"WWCM"}</definedName>
    <definedName name="sdd" hidden="1">{#N/A,#N/A,FALSE,"Cristal D'Oro (Tabela)";#N/A,#N/A,FALSE,"Cond Rio Tietê (Tabela)";#N/A,#N/A,FALSE,"Jacyr Leal (Tabela)";#N/A,#N/A,FALSE,"Paul Cézanne (Tabela)";#N/A,#N/A,FALSE,"Tom Jobim  (Tabela)"}</definedName>
    <definedName name="sdes" hidden="1">{"PACKAGE",#N/A,FALSE,"CM"}</definedName>
    <definedName name="sdf">#REF!</definedName>
    <definedName name="SDFASFASDF" hidden="1">{#N/A,#N/A,FALSE,"00 P&amp;L vs 99"}</definedName>
    <definedName name="sdfdsf" hidden="1">{#N/A,#N/A,FALSE,"KA CH  (2)"}</definedName>
    <definedName name="sdfew" hidden="1">#REF!</definedName>
    <definedName name="sdfg">#REF!</definedName>
    <definedName name="sdfgd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dfgdsg" hidden="1">{#N/A,#N/A,FALSE,"3";#N/A,#N/A,FALSE,"5";#N/A,#N/A,FALSE,"6";#N/A,#N/A,FALSE,"8";#N/A,#N/A,FALSE,"10";#N/A,#N/A,FALSE,"13";#N/A,#N/A,FALSE,"14";#N/A,#N/A,FALSE,"15";#N/A,#N/A,FALSE,"16"}</definedName>
    <definedName name="sdfgh" hidden="1">{"Sum WW A",#N/A,FALSE,"FY95SLS";"Sum WW B",#N/A,FALSE,"FY95SLS";"Sum US A",#N/A,FALSE,"FY95SLS";"Sum US B",#N/A,FALSE,"FY95SLS";"Sum US Bocg",#N/A,FALSE,"FY95SLS";"Sum Can A",#N/A,FALSE,"FY95SLS";"Sum Can B",#N/A,FALSE,"FY95SLS";"Sum Europe",#N/A,FALSE,"FY95SLS";"Sum Row",#N/A,FALSE,"FY95SLS"}</definedName>
    <definedName name="sdfgsdf" hidden="1">{"Sum WW A",#N/A,FALSE,"FY95SLS";"Sum WW B",#N/A,FALSE,"FY95SLS";"Sum US A",#N/A,FALSE,"FY95SLS";"Sum US B",#N/A,FALSE,"FY95SLS";"Sum US Bocg",#N/A,FALSE,"FY95SLS";"Sum Can A",#N/A,FALSE,"FY95SLS";"Sum Can B",#N/A,FALSE,"FY95SLS";"Sum Europe",#N/A,FALSE,"FY95SLS";"Sum Row",#N/A,FALSE,"FY95SLS"}</definedName>
    <definedName name="sdfh" hidden="1">{#N/A,#N/A,FALSE,"Pharm";#N/A,#N/A,FALSE,"WWCM"}</definedName>
    <definedName name="sdfha"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dfhb" hidden="1">{"Sum WW A",#N/A,FALSE,"FY95SLS";"Sum WW B",#N/A,FALSE,"FY95SLS";"Sum US A",#N/A,FALSE,"FY95SLS";"Sum US B",#N/A,FALSE,"FY95SLS";"Sum US Bocg",#N/A,FALSE,"FY95SLS";"Sum Can A",#N/A,FALSE,"FY95SLS";"Sum Can B",#N/A,FALSE,"FY95SLS";"Sum Europe",#N/A,FALSE,"FY95SLS";"Sum Row",#N/A,FALSE,"FY95SLS"}</definedName>
    <definedName name="sdfhdrgh" hidden="1">{"Units A",#N/A,FALSE,"FY95SLS";"Units B",#N/A,FALSE,"FY95SLS"}</definedName>
    <definedName name="sdfksfhj" hidden="1">{"Units A",#N/A,FALSE,"FY95SLS";"Units B",#N/A,FALSE,"FY95SLS"}</definedName>
    <definedName name="sdfnjsgh" hidden="1">{"Pound Sterling",#N/A,TRUE,"PPD";"Pound Sterling",#N/A,TRUE,"Anaquest";"Pound Sterling",#N/A,TRUE,"Delta";"Pound Sterling",#N/A,TRUE,"INO"}</definedName>
    <definedName name="sdfr" hidden="1">{"Units A",#N/A,FALSE,"FY95SLS";"Units B",#N/A,FALSE,"FY95SLS"}</definedName>
    <definedName name="sdfs" hidden="1">#REF!</definedName>
    <definedName name="sdfsfsfd" hidden="1">{#N/A,#N/A,FALSE,"Operations";#N/A,#N/A,FALSE,"Financials"}</definedName>
    <definedName name="sdfsfsfsdf" hidden="1">{#N/A,#N/A,FALSE,"Calc";#N/A,#N/A,FALSE,"Sensitivity";#N/A,#N/A,FALSE,"LT Earn.Dil.";#N/A,#N/A,FALSE,"Dil. AVP"}</definedName>
    <definedName name="sdgagf" hidden="1">{#N/A,#N/A,FALSE,"Pharm";#N/A,#N/A,FALSE,"WWCM"}</definedName>
    <definedName name="sdgd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dgdgdf" hidden="1">{"comp",#N/A,FALSE,"SPEC";"footnotes",#N/A,FALSE,"SPEC"}</definedName>
    <definedName name="sdgfasgsf" hidden="1">{#N/A,#N/A,TRUE,"COVER";#N/A,#N/A,TRUE,"DIR";#N/A,#N/A,TRUE,"AUDIT"}</definedName>
    <definedName name="sdgh" hidden="1">{"qty and inventory value",#N/A,FALSE,"MPartners";"general ledger entries",#N/A,FALSE,"MPartners"}</definedName>
    <definedName name="sdgsd" hidden="1">{"Pound Sterling",#N/A,TRUE,"PPD";"Pound Sterling",#N/A,TRUE,"Anaquest";"Pound Sterling",#N/A,TRUE,"Delta";"Pound Sterling",#N/A,TRUE,"INO"}</definedName>
    <definedName name="sdhrsh" hidden="1">{"US Dollars",#N/A,TRUE,"PPD";"US Dollar",#N/A,TRUE,"Anaquest";"US Dollar",#N/A,TRUE,"Delta";"US Dollar",#N/A,TRUE,"INO"}</definedName>
    <definedName name="sdle" hidden="1">{#N/A,#N/A,FALSE,"TAXC.INDEX";#N/A,#N/A,FALSE,"Schedule I";#N/A,#N/A,FALSE,"Schedule  II";#N/A,#N/A,FALSE,"Schedule III"}</definedName>
    <definedName name="sdsad" hidden="1">{#N/A,#N/A,FALSE,"3";#N/A,#N/A,FALSE,"5";#N/A,#N/A,FALSE,"6";#N/A,#N/A,FALSE,"8";#N/A,#N/A,FALSE,"10";#N/A,#N/A,FALSE,"13";#N/A,#N/A,FALSE,"14";#N/A,#N/A,FALSE,"15";#N/A,#N/A,FALSE,"16"}</definedName>
    <definedName name="sdsadasd" hidden="1">{#N/A,#N/A,FALSE,"Pharm";#N/A,#N/A,FALSE,"WWCM"}</definedName>
    <definedName name="sdsd" hidden="1">{#N/A,#N/A,FALSE,"REPORT"}</definedName>
    <definedName name="SDSDDSSD" hidden="1">{#N/A,#N/A,FALSE,"USD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SDSSDSSSSS" hidden="1">{#N/A,#N/A,FALSE,"Financiel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sdwsa" hidden="1">{#N/A,#N/A,FALSE,"TB";#N/A,#N/A,FALSE,"DR";#N/A,#N/A,FALSE,"AR";#N/A,#N/A,FALSE,"PL";#N/A,#N/A,FALSE,"BS";#N/A,#N/A,FALSE,"NOTES";#N/A,#N/A,FALSE,"NOTES (2)";#N/A,#N/A,FALSE,"NOTES (3)";#N/A,#N/A,FALSE,"DPL";#N/A,#N/A,FALSE,"TAXC.INDEX";#N/A,#N/A,FALSE,"Schedule I";#N/A,#N/A,FALSE,"Adjustments"}</definedName>
    <definedName name="se" hidden="1">{"consolidated",#N/A,FALSE,"Sheet1";"cms",#N/A,FALSE,"Sheet1";"fse",#N/A,FALSE,"Sheet1"}</definedName>
    <definedName name="sea" hidden="1">{"oct_res_comm",#N/A,FALSE,"VarToBud"}</definedName>
    <definedName name="sean" hidden="1">{"'Sample Status'!$A$1:$J$21"}</definedName>
    <definedName name="sedt" hidden="1">{#N/A,#N/A,FALSE,"DIR-REP";#N/A,#N/A,FALSE,"AUD-REPORT";#N/A,#N/A,FALSE,"P7L&amp;BS";#N/A,#N/A,FALSE,"NOTES";#N/A,#N/A,FALSE,"FA";#N/A,#N/A,FALSE,"NOTES (2)";#N/A,#N/A,FALSE,"Schedule  IV";#N/A,#N/A,FALSE,"Schedule V"}</definedName>
    <definedName name="sefs" hidden="1">{"werbung",#N/A,FALSE,"GuV9900-0399";"betrieb",#N/A,FALSE,"GuV9900-0399";"personal",#N/A,FALSE,"GuV9900-0399";"tvg",#N/A,FALSE,"GuV9900-0399";"verwaltung",#N/A,FALSE,"GuV9900-0399"}</definedName>
    <definedName name="sefsef" hidden="1">{"werbung",#N/A,FALSE,"GuV9900-0399";"betrieb",#N/A,FALSE,"GuV9900-0399";"personal",#N/A,FALSE,"GuV9900-0399";"tvg",#N/A,FALSE,"GuV9900-0399";"verwaltung",#N/A,FALSE,"GuV9900-0399"}</definedName>
    <definedName name="SegmentBudget" hidden="1">{"oct_res_comm",#N/A,FALSE,"VarToBud"}</definedName>
    <definedName name="Select1_sheet0" hidden="1">"'Liste'
0
"</definedName>
    <definedName name="Select1_sheets" hidden="1">1</definedName>
    <definedName name="sels" hidden="1">{#N/A,#N/A,TRUE,"COVER";#N/A,#N/A,TRUE,"DIR";#N/A,#N/A,TRUE,"AUDIT"}</definedName>
    <definedName name="sencount" hidden="1">1</definedName>
    <definedName name="seoa" hidden="1">{#N/A,#N/A,FALSE,"TAXC.INDEX";#N/A,#N/A,FALSE,"Schedule I";#N/A,#N/A,FALSE,"Schedule  II";#N/A,#N/A,FALSE,"Schedule III"}</definedName>
    <definedName name="seoas" hidden="1">{#N/A,#N/A,FALSE,"DIR-REP";#N/A,#N/A,FALSE,"AUD-REPORT";#N/A,#N/A,FALSE,"P7L&amp;BS";#N/A,#N/A,FALSE,"NOTES";#N/A,#N/A,FALSE,"FA";#N/A,#N/A,FALSE,"NOTES (2)";#N/A,#N/A,FALSE,"Schedule  IV";#N/A,#N/A,FALSE,"Schedule V"}</definedName>
    <definedName name="seold" hidden="1">{#N/A,#N/A,FALSE,"TAXC.INDEX";#N/A,#N/A,FALSE,"Schedule I";#N/A,#N/A,FALSE,"Schedule  II";#N/A,#N/A,FALSE,"Schedule III";#N/A,#N/A,FALSE,"Schedule IV";#N/A,#N/A,FALSE,"Schedule IV (Cont'd)";#N/A,#N/A,FALSE,"Schedule V";#N/A,#N/A,FALSE,"Schedule VI";#N/A,#N/A,FALSE,"Schedule VII"}</definedName>
    <definedName name="seos" hidden="1">{#N/A,#N/A,FALSE,"TB";#N/A,#N/A,FALSE,"AR";#N/A,#N/A,FALSE,"BS";#N/A,#N/A,FALSE,"PL";#N/A,#N/A,FALSE,"NOTES";#N/A,#N/A,FALSE,"NOTES (2)";#N/A,#N/A,FALSE,"NOTES (3)";#N/A,#N/A,FALSE,"TAXC.INDEX";#N/A,#N/A,FALSE,"Schedule I";#N/A,#N/A,FALSE,"DPL";#N/A,#N/A,FALSE,"Schedule IV";#N/A,#N/A,FALSE,"Adjustments"}</definedName>
    <definedName name="seot" hidden="1">{#N/A,#N/A,FALSE,"TAXC.INDEX";#N/A,#N/A,FALSE,"Schedule I";#N/A,#N/A,FALSE,"Schedule  II";#N/A,#N/A,FALSE,"Schedule III"}</definedName>
    <definedName name="seotl" hidden="1">{#N/A,#N/A,FALSE,"TB";#N/A,#N/A,FALSE,"AR";#N/A,#N/A,FALSE,"BS";#N/A,#N/A,FALSE,"PL";#N/A,#N/A,FALSE,"NOTES";#N/A,#N/A,FALSE,"NOTES (2)";#N/A,#N/A,FALSE,"NOTES (3)";#N/A,#N/A,FALSE,"TAXC.INDEX";#N/A,#N/A,FALSE,"Schedule I";#N/A,#N/A,FALSE,"DPL";#N/A,#N/A,FALSE,"Schedule IV";#N/A,#N/A,FALSE,"Adjustments"}</definedName>
    <definedName name="seotst" hidden="1">{#N/A,#N/A,FALSE,"TAXC.INDEX";#N/A,#N/A,FALSE,"Schedule I";#N/A,#N/A,FALSE,"Schedule  II";#N/A,#N/A,FALSE,"Schedule III"}</definedName>
    <definedName name="ses" hidden="1">{"RESUMEN",#N/A,FALSE,"RESUMEN";"RESUMEN_MARG",#N/A,FALSE,"RESUMEN"}</definedName>
    <definedName name="setols" hidden="1">{#N/A,#N/A,TRUE,"COVER";#N/A,#N/A,TRUE,"DIR";#N/A,#N/A,TRUE,"AUDIT"}</definedName>
    <definedName name="sety" hidden="1">{"LAPO2N2",#N/A,FALSE,"CM"}</definedName>
    <definedName name="sf" hidden="1">{#N/A,#N/A,FALSE,"Sales Graph";#N/A,#N/A,FALSE,"BUC Graph";#N/A,#N/A,FALSE,"P&amp;L - YTD"}</definedName>
    <definedName name="sfaf" hidden="1">{#N/A,#N/A,FALSE,"3";#N/A,#N/A,FALSE,"5";#N/A,#N/A,FALSE,"6";#N/A,#N/A,FALSE,"8";#N/A,#N/A,FALSE,"10";#N/A,#N/A,FALSE,"13";#N/A,#N/A,FALSE,"14";#N/A,#N/A,FALSE,"15";#N/A,#N/A,FALSE,"16"}</definedName>
    <definedName name="sfd" hidden="1">{#N/A,#N/A,FALSE,"Hoja1";#N/A,#N/A,FALSE,"Hoja2"}</definedName>
    <definedName name="sfdg" hidden="1">{#N/A,#N/A,FALSE,"A&amp;E";#N/A,#N/A,FALSE,"HighTop";#N/A,#N/A,FALSE,"JG";#N/A,#N/A,FALSE,"RI";#N/A,#N/A,FALSE,"woHT";#N/A,#N/A,FALSE,"woHT&amp;JG"}</definedName>
    <definedName name="sfdgfgg" hidden="1">{#N/A,#N/A,FALSE,"Umsatz OK";#N/A,#N/A,FALSE,"ER OK ";#N/A,#N/A,FALSE,"EA OK (2)";#N/A,#N/A,FALSE,"EA OK";#N/A,#N/A,FALSE,"EA OK (3)";#N/A,#N/A,FALSE,"EA OK (4)";#N/A,#N/A,FALSE,"KA OK  (2)";#N/A,#N/A,FALSE,"KA OK";#N/A,#N/A,FALSE,"KA OK  (3)";#N/A,#N/A,FALSE,"KA OK (4)"}</definedName>
    <definedName name="sfdirect" hidden="1">{#N/A,#N/A,FALSE,"REPORT"}</definedName>
    <definedName name="sfds"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e" hidden="1">{"werbung",#N/A,FALSE,"GuV9900-0399";"betrieb",#N/A,FALSE,"GuV9900-0399";"personal",#N/A,FALSE,"GuV9900-0399";"tvg",#N/A,FALSE,"GuV9900-0399";"verwaltung",#N/A,FALSE,"GuV9900-0399"}</definedName>
    <definedName name="sfgasd" hidden="1">{0,0,0,0;0,0,0,0;0,0,0,0;0,0,0,0;0,0,0,0;0,0,0,0;0,0,2,0;2,3,3,0;FALSE,FALSE,FALSE,FALSE;TRUE,FALSE,TRUE,TRUE;FALSE,FALSE,TRUE,TRUE;FALSE,0,2.78134444564786E-308,4.45015196281921E-308;7.78776275135711E-308,1.33504516457612E-307,2.22507555776164E-307,3.56012157274209E-307}</definedName>
    <definedName name="sfgdf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fgf" hidden="1">{#N/A,#N/A,FALSE,"Umsatz CH";#N/A,#N/A,FALSE,"ER CH";#N/A,#N/A,FALSE,"EA CH (2) ";#N/A,#N/A,FALSE,"EA CH";#N/A,#N/A,FALSE,"EA CH (3) ";#N/A,#N/A,FALSE,"EA CH (4)";#N/A,#N/A,FALSE,"KA CH";#N/A,#N/A,FALSE,"KA CH  (2)";#N/A,#N/A,FALSE,"KA CH  (3)";#N/A,#N/A,FALSE,"KA CH (4)"}</definedName>
    <definedName name="sfghr" hidden="1">{"Pound Sterling",#N/A,TRUE,"PPD";"Pound Sterling",#N/A,TRUE,"Anaquest";"Pound Sterling",#N/A,TRUE,"Delta";"Pound Sterling",#N/A,TRUE,"INO"}</definedName>
    <definedName name="sfgjsk" hidden="1">{"Units A",#N/A,FALSE,"FY95SLS";"Units B",#N/A,FALSE,"FY95SLS"}</definedName>
    <definedName name="sfgns" hidden="1">{"Pound Sterling",#N/A,TRUE,"PPD";"Pound Sterling",#N/A,TRUE,"Anaquest";"Pound Sterling",#N/A,TRUE,"Delta";"Pound Sterling",#N/A,TRUE,"INO"}</definedName>
    <definedName name="sfgv" hidden="1">{"consolidated",#N/A,FALSE,"Sheet1";"cms",#N/A,FALSE,"Sheet1";"fse",#N/A,FALSE,"Sheet1"}</definedName>
    <definedName name="sfh" hidden="1">{"Units A",#N/A,FALSE,"FY95SLS";"Units B",#N/A,FALSE,"FY95SLS"}</definedName>
    <definedName name="sfhfbs"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fhs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fjjk"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fjksfk" hidden="1">{"Units A",#N/A,FALSE,"FY95SLS";"Units B",#N/A,FALSE,"FY95SLS"}</definedName>
    <definedName name="sfjne" hidden="1">{"werbung",#N/A,FALSE,"GuV9900-0399";"betrieb",#N/A,FALSE,"GuV9900-0399";"personal",#N/A,FALSE,"GuV9900-0399";"tvg",#N/A,FALSE,"GuV9900-0399";"verwaltung",#N/A,FALSE,"GuV9900-0399"}</definedName>
    <definedName name="sfnhgfh" hidden="1">{"Pound Sterling",#N/A,TRUE,"PPD";"Pound Sterling",#N/A,TRUE,"Anaquest";"Pound Sterling",#N/A,TRUE,"Delta";"Pound Sterling",#N/A,TRUE,"INO"}</definedName>
    <definedName name="sfq" hidden="1">{#N/A,#N/A,FALSE,"Calc";#N/A,#N/A,FALSE,"Sensitivity";#N/A,#N/A,FALSE,"LT Earn.Dil.";#N/A,#N/A,FALSE,"Dil. AVP"}</definedName>
    <definedName name="sfsaf" hidden="1">{#N/A,#N/A,FALSE,"3";#N/A,#N/A,FALSE,"5";#N/A,#N/A,FALSE,"6";#N/A,#N/A,FALSE,"8";#N/A,#N/A,FALSE,"10";#N/A,#N/A,FALSE,"13";#N/A,#N/A,FALSE,"14";#N/A,#N/A,FALSE,"15";#N/A,#N/A,FALSE,"16"}</definedName>
    <definedName name="sfsdfsf" hidden="1">{"First Page",#N/A,FALSE,"Surfactants LBO";"Second Page",#N/A,FALSE,"Surfactants LBO"}</definedName>
    <definedName name="sfsf" hidden="1">{#N/A,#N/A,FALSE,"3";#N/A,#N/A,FALSE,"5";#N/A,#N/A,FALSE,"6";#N/A,#N/A,FALSE,"8";#N/A,#N/A,FALSE,"10";#N/A,#N/A,FALSE,"13";#N/A,#N/A,FALSE,"14";#N/A,#N/A,FALSE,"15";#N/A,#N/A,FALSE,"16"}</definedName>
    <definedName name="sfsfsdf" hidden="1">{#N/A,#N/A,FALSE,"Calc";#N/A,#N/A,FALSE,"Sensitivity";#N/A,#N/A,FALSE,"LT Earn.Dil.";#N/A,#N/A,FALSE,"Dil. AVP"}</definedName>
    <definedName name="sfsfsfsfsfd" hidden="1">{"away stand alones",#N/A,FALSE,"Target"}</definedName>
    <definedName name="sg" hidden="1">{#N/A,#N/A,FALSE,"Umsatz CH";#N/A,#N/A,FALSE,"ER CH";#N/A,#N/A,FALSE,"EA CH (2) ";#N/A,#N/A,FALSE,"EA CH";#N/A,#N/A,FALSE,"EA CH (3) ";#N/A,#N/A,FALSE,"EA CH (4)";#N/A,#N/A,FALSE,"KA CH";#N/A,#N/A,FALSE,"KA CH  (2)";#N/A,#N/A,FALSE,"KA CH  (3)";#N/A,#N/A,FALSE,"KA CH (4)"}</definedName>
    <definedName name="sgaergweh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gdg" hidden="1">{#N/A,#N/A,FALSE,"Calc";#N/A,#N/A,FALSE,"Sensitivity";#N/A,#N/A,FALSE,"LT Earn.Dil.";#N/A,#N/A,FALSE,"Dil. AVP"}</definedName>
    <definedName name="sgdzhet" hidden="1">{"subs",#N/A,FALSE,"database ";"proportional",#N/A,FALSE,"database "}</definedName>
    <definedName name="sgegeg" hidden="1">{"Pound Sterling",#N/A,TRUE,"PPD";"Pound Sterling",#N/A,TRUE,"Anaquest";"Pound Sterling",#N/A,TRUE,"Delta";"Pound Sterling",#N/A,TRUE,"INO"}</definedName>
    <definedName name="sgeseg" hidden="1">{"US Dollars",#N/A,TRUE,"PPD";"US Dollar",#N/A,TRUE,"Anaquest";"US Dollar",#N/A,TRUE,"Delta";"US Dollar",#N/A,TRUE,"INO"}</definedName>
    <definedName name="sgf" hidden="1">{#N/A,#N/A,TRUE,"financial";#N/A,#N/A,TRUE,"plants"}</definedName>
    <definedName name="sgh" hidden="1">{#N/A,#N/A,TRUE,"Pro Forma";#N/A,#N/A,TRUE,"PF_Bal";#N/A,#N/A,TRUE,"PF_INC";#N/A,#N/A,TRUE,"CBE";#N/A,#N/A,TRUE,"SWK"}</definedName>
    <definedName name="sgherhe" hidden="1">{"Sum WW A",#N/A,FALSE,"FY95SLS";"Sum WW B",#N/A,FALSE,"FY95SLS";"Sum US A",#N/A,FALSE,"FY95SLS";"Sum US B",#N/A,FALSE,"FY95SLS";"Sum US Bocg",#N/A,FALSE,"FY95SLS";"Sum Can A",#N/A,FALSE,"FY95SLS";"Sum Can B",#N/A,FALSE,"FY95SLS";"Sum Europe",#N/A,FALSE,"FY95SLS";"Sum Row",#N/A,FALSE,"FY95SLS"}</definedName>
    <definedName name="sghser" hidden="1">{"US Dollars",#N/A,TRUE,"PPD";"US Dollar",#N/A,TRUE,"Anaquest";"US Dollar",#N/A,TRUE,"Delta";"US Dollar",#N/A,TRUE,"INO"}</definedName>
    <definedName name="sghsfh" hidden="1">{"Pound Sterling",#N/A,TRUE,"PPD";"Pound Sterling",#N/A,TRUE,"Anaquest";"Pound Sterling",#N/A,TRUE,"Delta";"Pound Sterling",#N/A,TRUE,"INO"}</definedName>
    <definedName name="sgrhtrh" hidden="1">{"Pound Sterling",#N/A,TRUE,"PPD";"Pound Sterling",#N/A,TRUE,"Anaquest";"Pound Sterling",#N/A,TRUE,"Delta";"Pound Sterling",#N/A,TRUE,"INO"}</definedName>
    <definedName name="sgrjsrt" hidden="1">{"Pound Sterling",#N/A,TRUE,"PPD";"Pound Sterling",#N/A,TRUE,"Anaquest";"Pound Sterling",#N/A,TRUE,"Delta";"Pound Sterling",#N/A,TRUE,"INO"}</definedName>
    <definedName name="SGSDGA" hidden="1">{#N/A,#N/A,FALSE,"FScover";#N/A,#N/A,FALSE,"Balsht";#N/A,#N/A,FALSE,"income";#N/A,#N/A,FALSE,"cashflw";#N/A,#N/A,FALSE,"g&amp;a";#N/A,#N/A,FALSE,"cos"}</definedName>
    <definedName name="sgsx" hidden="1">{"consolidated",#N/A,FALSE,"Sheet1";"cms",#N/A,FALSE,"Sheet1";"fse",#N/A,FALSE,"Sheet1"}</definedName>
    <definedName name="shdfh" hidden="1">{"Sum WW A",#N/A,FALSE,"FY95SLS";"Sum WW B",#N/A,FALSE,"FY95SLS";"Sum US A",#N/A,FALSE,"FY95SLS";"Sum US B",#N/A,FALSE,"FY95SLS";"Sum US Bocg",#N/A,FALSE,"FY95SLS";"Sum Can A",#N/A,FALSE,"FY95SLS";"Sum Can B",#N/A,FALSE,"FY95SLS";"Sum Europe",#N/A,FALSE,"FY95SLS";"Sum Row",#N/A,FALSE,"FY95SLS"}</definedName>
    <definedName name="sheet" hidden="1">{"Assumptions1",#N/A,FALSE,"Assumptions";"MergerPlans1","20yearamort",FALSE,"MergerPlans";"MergerPlans1","40yearamort",FALSE,"MergerPlans";"MergerPlans2",#N/A,FALSE,"MergerPlans";"inputs",#N/A,FALSE,"MergerPlans"}</definedName>
    <definedName name="sheettwo" hidden="1">{"'MVS'!$A$5:$O$716"}</definedName>
    <definedName name="shelf" hidden="1">{#N/A,#N/A,FALSE,"CHANGES";#N/A,#N/A,FALSE,"PROD SUMMARY";#N/A,#N/A,FALSE,"1995 PO SUM";#N/A,#N/A,FALSE,"1995 GEOG SUM";#N/A,#N/A,FALSE,"1996 PO SUM";#N/A,#N/A,FALSE,"1996 GEOG SUM"}</definedName>
    <definedName name="shr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hrsdh" hidden="1">{"Units A",#N/A,FALSE,"FY95SLS";"Units B",#N/A,FALSE,"FY95SLS"}</definedName>
    <definedName name="shsgr" hidden="1">{"Units A",#N/A,FALSE,"FY95SLS";"Units B",#N/A,FALSE,"FY95SLS"}</definedName>
    <definedName name="shsr" hidden="1">{"Units A",#N/A,FALSE,"FY95SLS";"Units B",#N/A,FALSE,"FY95SLS"}</definedName>
    <definedName name="shwthw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iemens" hidden="1">{"'comite'!$A$9:$G$44","'comite'!$A$1:$G$6"}</definedName>
    <definedName name="SIG_ACFCOM_firstLine" hidden="1">#REF!</definedName>
    <definedName name="SIG_ACFCOM_IsControlOK" hidden="1">#REF!</definedName>
    <definedName name="SIG_ACFCOM_lastLine" hidden="1">#REF!</definedName>
    <definedName name="SIG_ACFCOM_TITLECOL" hidden="1">#REF!</definedName>
    <definedName name="SIG_ACFCOM_TITLELINE" hidden="1">#REF!</definedName>
    <definedName name="SIG_AISCOM_firstLine" hidden="1">#REF!</definedName>
    <definedName name="SIG_AISCOM_IsControlOK" hidden="1">#REF!</definedName>
    <definedName name="SIG_AISCOM_lastLine" hidden="1">#REF!</definedName>
    <definedName name="SIG_AISCOM_TITLECOL" hidden="1">#REF!</definedName>
    <definedName name="SIG_AISCOM_TITLELINE" hidden="1">#REF!</definedName>
    <definedName name="SIG_AISTOT_firstLine" hidden="1">#REF!</definedName>
    <definedName name="SIG_AISTOT_IsControlOK" hidden="1">#REF!</definedName>
    <definedName name="SIG_AISTOT_lastLine" hidden="1">#REF!</definedName>
    <definedName name="SIG_AISTOT_TITLECOL" hidden="1">#REF!</definedName>
    <definedName name="SIG_AISTOT_TITLELINE" hidden="1">#REF!</definedName>
    <definedName name="SIG_ANACOM_firstLine" hidden="1">#REF!</definedName>
    <definedName name="SIG_ANACOM_IsControlOK" hidden="1">#REF!</definedName>
    <definedName name="SIG_ANACOM_lastLine" hidden="1">#REF!</definedName>
    <definedName name="SIG_ANACOM_TITLECOL" hidden="1">#REF!</definedName>
    <definedName name="SIG_ANACOM_TITLELINE" hidden="1">#REF!</definedName>
    <definedName name="SIG_ARATIOS_firstLine" hidden="1">#REF!</definedName>
    <definedName name="SIG_ARATIOS_IsControlOK" hidden="1">#REF!</definedName>
    <definedName name="SIG_ARATIOS_lastLine" hidden="1">#REF!</definedName>
    <definedName name="SIG_ARATIOS_TITLECOL" hidden="1">#REF!</definedName>
    <definedName name="SIG_ARATIOS_TITLELINE" hidden="1">#REF!</definedName>
    <definedName name="SIG_AZISTOT_firstLine" hidden="1">#REF!</definedName>
    <definedName name="SIG_AZISTOT_IsControlOK" hidden="1">#REF!</definedName>
    <definedName name="SIG_AZISTOT_lastLine" hidden="1">#REF!</definedName>
    <definedName name="SIG_AZISTOT_TITLECOL" hidden="1">#REF!</definedName>
    <definedName name="SIG_AZISTOT_TITLELINE" hidden="1">#REF!</definedName>
    <definedName name="SIG_BILACT_firstLine" hidden="1">#REF!</definedName>
    <definedName name="SIG_BILACT_H349" hidden="1">#REF!</definedName>
    <definedName name="SIG_BILACT_H350" hidden="1">#REF!</definedName>
    <definedName name="SIG_BILACT_H351" hidden="1">#REF!</definedName>
    <definedName name="SIG_BILACT_H352" hidden="1">#REF!</definedName>
    <definedName name="SIG_BILACT_H353" hidden="1">#REF!</definedName>
    <definedName name="SIG_BILACT_H354" hidden="1">#REF!</definedName>
    <definedName name="SIG_BILACT_H355" hidden="1">#REF!</definedName>
    <definedName name="SIG_BILACT_H356" hidden="1">#REF!</definedName>
    <definedName name="SIG_BILACT_H357" hidden="1">#REF!</definedName>
    <definedName name="SIG_BILACT_H358" hidden="1">#REF!</definedName>
    <definedName name="SIG_BILACT_H359" hidden="1">#REF!</definedName>
    <definedName name="SIG_BILACT_H360" hidden="1">#REF!</definedName>
    <definedName name="SIG_BILACT_H361" hidden="1">#REF!</definedName>
    <definedName name="SIG_BILACT_H362" hidden="1">#REF!</definedName>
    <definedName name="SIG_BILACT_H363" hidden="1">#REF!</definedName>
    <definedName name="SIG_BILACT_H364" hidden="1">#REF!</definedName>
    <definedName name="SIG_BILACT_H365" hidden="1">#REF!</definedName>
    <definedName name="SIG_BILACT_IsControlOK" hidden="1">#REF!</definedName>
    <definedName name="SIG_BILACT_lastLine" hidden="1">#REF!</definedName>
    <definedName name="SIG_BILACT_TITLECOL" hidden="1">#REF!</definedName>
    <definedName name="SIG_BILACT_TITLELINE" hidden="1">#REF!</definedName>
    <definedName name="SIG_CONTROLE" hidden="1">#REF!</definedName>
    <definedName name="SIG_DERNIERECOLONNE" hidden="1">#REF!</definedName>
    <definedName name="SIG_EFFECTV_firstLine" hidden="1">#REF!</definedName>
    <definedName name="SIG_EFFECTV_H001" hidden="1">#REF!</definedName>
    <definedName name="SIG_EFFECTV_H002" hidden="1">#REF!</definedName>
    <definedName name="SIG_EFFECTV_H003" hidden="1">#REF!</definedName>
    <definedName name="SIG_EFFECTV_H004" hidden="1">#REF!</definedName>
    <definedName name="SIG_EFFECTV_H005" hidden="1">#REF!</definedName>
    <definedName name="SIG_EFFECTV_H006" hidden="1">#REF!</definedName>
    <definedName name="SIG_EFFECTV_H007" hidden="1">#REF!</definedName>
    <definedName name="SIG_EFFECTV_H008" hidden="1">#REF!</definedName>
    <definedName name="SIG_EFFECTV_H009" hidden="1">#REF!</definedName>
    <definedName name="SIG_EFFECTV_H010" hidden="1">#REF!</definedName>
    <definedName name="SIG_EFFECTV_H011" hidden="1">#REF!</definedName>
    <definedName name="SIG_EFFECTV_H012" hidden="1">#REF!</definedName>
    <definedName name="SIG_EFFECTV_IsControlOK" hidden="1">#REF!</definedName>
    <definedName name="SIG_EFFECTV_lastLine" hidden="1">#REF!</definedName>
    <definedName name="SIG_EFFECTV_TITLELINE" hidden="1">#REF!</definedName>
    <definedName name="SIG_LngApp" hidden="1">#REF!</definedName>
    <definedName name="SIG_PTBD_ACFCOM" hidden="1">#REF!</definedName>
    <definedName name="SIG_PTBD_AISCOM" hidden="1">#REF!</definedName>
    <definedName name="SIG_PTBD_AISTOT" hidden="1">#REF!</definedName>
    <definedName name="SIG_PTBD_ANACOM" hidden="1">#REF!</definedName>
    <definedName name="SIG_PTBD_ARATIOS" hidden="1">#REF!</definedName>
    <definedName name="SIG_PTBD_AZISTOT" hidden="1">#REF!</definedName>
    <definedName name="SIG_PTBD_BILACT" hidden="1">#REF!</definedName>
    <definedName name="SIG_PTBD_EFFECTV" hidden="1">#REF!</definedName>
    <definedName name="SIG_PTHG_ACFCOM" hidden="1">#REF!</definedName>
    <definedName name="SIG_PTHG_AISCOM" hidden="1">#REF!</definedName>
    <definedName name="SIG_PTHG_AISTOT" hidden="1">#REF!</definedName>
    <definedName name="SIG_PTHG_ANACOM" hidden="1">#REF!</definedName>
    <definedName name="SIG_PTHG_ARATIOS" hidden="1">#REF!</definedName>
    <definedName name="SIG_PTHG_AZISTOT" hidden="1">#REF!</definedName>
    <definedName name="SIG_PTHG_BILACT" hidden="1">#REF!</definedName>
    <definedName name="SIG_PTHG_EFFECTV" hidden="1">#REF!</definedName>
    <definedName name="SingleClassificationColumn">_xlfn.lambda(_xlpm.classificationlevel,_xlpm.filterbycolumn,_xlpm.filterbylabel,_xlpm.sortbycolumn,_xlpm.entitycolumn,_xlpm.entitylabel, _xlfn.LET( _xlpm.header_row, Headings, _xlpm.master_sheet, Master, _xlpm.classification_range, INDEX(_xlpm.master_sheet, 0, MATCH(_xlpm.classificationlevel, _xlpm.header_row, 0)), _xlpm.filterby_range, INDEX(_xlpm.master_sheet, 0, MATCH(_xlpm.filterbycolumn, _xlpm.header_row, 0)), _xlpm.sortby_range, INDEX(_xlpm.master_sheet, 0, MATCH(_xlpm.sortbycolumn, _xlpm.header_row, 0)), _xlpm.entity_range, IF(_xlfn.isomitted(_xlpm.entitycolumn), "", INDEX(_xlpm.master_sheet, 0, MATCH(_xlpm.entitycolumn, _xlpm.header_row, 0))),  _xlpm.classification_range_filtered, _xlfn._xlws.FILTER(_xlpm.classification_range, (_xlpm.filterby_range=_xlpm.filterbylabel)*(IF(_xlfn.isomitted(_xlpm.entitylabel), TRUE(), _xlpm.entity_range=_xlpm.entitylabel))), _xlpm.sortby_range_filtered, _xlfn._xlws.FILTER(_xlpm.sortby_range, (_xlpm.filterby_range=_xlpm.filterbylabel)*(IF(_xlfn.isomitted(_xlpm.entitylabel), TRUE(), _xlpm.entity_range=_xlpm.entitylabel))),  _xlpm.combined_range, _xlfn.hstack(_xlpm.classification_range_filtered, _xlpm.sortby_range_filtered), _xlpm.classification_unique, _xlfn.UNIQUE(_xlfn.take(_xlpm.combined_range, , 1)), _xlpm.summarized_array, _xlfn.hstack(_xlpm.classification_unique, _xlfn.byrow(_xlpm.classification_unique, _xlfn.lambda(_xlpm.r, SUM((INDEX(_xlpm.combined_range, , 2))*(INDEX(_xlpm.combined_range, , 1)=INDEX(_xlpm.r, , 1)))))), _xlpm.sorted_array, _xlfn.SORTBY(_xlpm.summarized_array, ABS(INDEX(_xlpm.summarized_array, , 2)), -1), _xlpm.classification_column, INDEX(_xlpm.sorted_array, , 1), _xlpm.classification_column) )</definedName>
    <definedName name="SingleMasterLevelList">_xlfn.lambda(_xlpm.outputlevel,_xlpm.filtercolumn,_xlpm.filtertext,_xlpm.sortcolumn,_xlpm.entitycolumn,_xlpm.entitytext,_xlop.optionalsortorder,_xlop.optionalsorttotop,_xlop.optionalfiltercolumn2,_xlop.optionalfiltertext2,_xlop.optionalexcludecolumn,_xlop.optionalexcludefiltertext, IF(OR(ISERROR(_xlpm.outputlevel), ISERROR(_xlpm.filtercolumn), ISERROR(_xlpm.filtertext), ISERROR(_xlpm.sortcolumn), ISERROR(_xlpm.entitycolumn), ISERROR(_xlpm.entitytext), ISERROR(_xlpm.optionalsortorder), ISERROR(_xlpm.optionalsorttotop), ISERROR(_xlpm.optionalfiltercolumn2), ISERROR(_xlpm.optionalfiltertext2), ISERROR(_xlpm.optionalexcludecolumn), ISERROR(_xlpm.optionalexcludefiltertext)), "Error in inputs", _xlfn.LET( _xlpm.lookupcolumn,_xlfn.lambda(_xlpm.column_name, INDEX(Master,0,_xlfn.XMATCH(_xlpm.column_name,Headings))), _xlpm.sortorderinput,IF(_xlfn.isomitted(_xlpm.optionalsortorder),-1,_xlpm.optionalsortorder), _xlpm.inputtext,IF(COLUMNS(optionalinputtext)&gt;1,TRANSPOSE(_xlfn._xlws.FILTER(optionalinputtext,optionalinputtext&lt;&gt;"")),_xlfn._xlws.FILTER(optionalinputtext,optionalinputtext&lt;&gt;"")), _xlpm.filtercondition,              (_xlpm.lookupcolumn(_xlpm.filtercolumn)=_xlpm.filtertext)*              (_xlpm.lookupcolumn(_xlpm.entitycolumn)=_xlpm.entitytext)*              (IF(_xlfn.isomitted(_xlpm.optionalfiltercolumn2), TRUE(), IF(_xlfn.isomitted(_xlpm.optionalfiltercolumn2), "", _xlpm.lookupcolumn(_xlpm.optionalfiltercolumn2))=_xlpm.optionalfiltertext2))*              (IF(_xlfn.isomitted(_xlpm.optionalexcludecolumn), TRUE(), IF(_xlfn.isomitted(_xlpm.optionalexcludecolumn), "", ISNA(MATCH(_xlpm.lookupcolumn(_xlpm.optionalexcludecolumn), _xlpm.optionalexcludefiltertext, 0))))), _xlpm.combinedrng,_xlfn.hstack(_xlfn._xlws.FILTER(_xlpm.lookupcolumn(_xlpm.outputlevel),_xlpm.filtercondition),_xlfn._xlws.FILTER(_xlpm.lookupcolumn(_xlpm.sortcolumn),_xlpm.filtercondition)), _xlpm.uniquetext,_xlfn.UNIQUE(_xlfn.take(_xlpm.combinedrng,,1)), _xlpm.aggarray,_xlfn.hstack(_xlpm.uniquetext,_xlfn.byrow(_xlpm.uniquetext,_xlfn.lambda(_xlpm.r,SUM((INDEX(_xlpm.combinedrng,,2))*(INDEX(_xlpm.combinedrng,,1)=INDEX(_xlpm.r,,1)))))), _xlpm.sortedtext,INDEX(_xlfn.SORTBY(_xlpm.aggarray,          IF(ISNUMBER(_xlfn.XMATCH(INDEX(_xlpm.aggarray,,1), _xlpm.optionalsorttotop)), _xlfn.XMATCH(INDEX(_xlpm.aggarray,,1), _xlpm.optionalsorttotop), 1E+300),1,          LEFT(INDEX(_xlpm.aggarray,,1),5)="Other",1,          INDEX(_xlpm.aggarray,,2),_xlpm.sortorderinput),,1), IFERROR(IF(_xlpm.sortedtext=0,"",_xlpm.sortedtext),"") )))</definedName>
    <definedName name="sjedo" hidden="1">{#N/A,#N/A,FALSE,"TAXC.INDEX";#N/A,#N/A,FALSE,"Schedule I";#N/A,#N/A,FALSE,"Schedule  II";#N/A,#N/A,FALSE,"Schedule III"}</definedName>
    <definedName name="sjgosjf" hidden="1">{#N/A,#N/A,FALSE,"TB";#N/A,#N/A,FALSE,"DR";#N/A,#N/A,FALSE,"AR";#N/A,#N/A,FALSE,"PL";#N/A,#N/A,FALSE,"BS";#N/A,#N/A,FALSE,"NOTES";#N/A,#N/A,FALSE,"NOTES (2)";#N/A,#N/A,FALSE,"NOTES (3)";#N/A,#N/A,FALSE,"DPL";#N/A,#N/A,FALSE,"TAXC.INDEX";#N/A,#N/A,FALSE,"Schedule I";#N/A,#N/A,FALSE,"Adjustments"}</definedName>
    <definedName name="sjoe" hidden="1">{#N/A,#N/A,TRUE,"COVER";#N/A,#N/A,TRUE,"DIR";#N/A,#N/A,TRUE,"AUDIT"}</definedName>
    <definedName name="sjog" hidden="1">{#N/A,#N/A,FALSE,"TB";#N/A,#N/A,FALSE,"DR";#N/A,#N/A,FALSE,"AR";#N/A,#N/A,FALSE,"PL";#N/A,#N/A,FALSE,"BS";#N/A,#N/A,FALSE,"NOTES";#N/A,#N/A,FALSE,"NOTES (2)";#N/A,#N/A,FALSE,"NOTES (3)";#N/A,#N/A,FALSE,"DPL";#N/A,#N/A,FALSE,"TAXC.INDEX";#N/A,#N/A,FALSE,"Schedule I";#N/A,#N/A,FALSE,"Adjustments"}</definedName>
    <definedName name="sjtsrj" hidden="1">{"Sum WW A",#N/A,FALSE,"FY95SLS";"Sum WW B",#N/A,FALSE,"FY95SLS";"Sum US A",#N/A,FALSE,"FY95SLS";"Sum US B",#N/A,FALSE,"FY95SLS";"Sum US Bocg",#N/A,FALSE,"FY95SLS";"Sum Can A",#N/A,FALSE,"FY95SLS";"Sum Can B",#N/A,FALSE,"FY95SLS";"Sum Europe",#N/A,FALSE,"FY95SLS";"Sum Row",#N/A,FALSE,"FY95SLS"}</definedName>
    <definedName name="sk" hidden="1">{#N/A,#N/A,FALSE,"A&amp;E";#N/A,#N/A,FALSE,"HighTop";#N/A,#N/A,FALSE,"JG";#N/A,#N/A,FALSE,"RI";#N/A,#N/A,FALSE,"woHT";#N/A,#N/A,FALSE,"woHT&amp;JG"}</definedName>
    <definedName name="skjfe" hidden="1">{"werbung",#N/A,FALSE,"GuV9900-0399";"betrieb",#N/A,FALSE,"GuV9900-0399";"personal",#N/A,FALSE,"GuV9900-0399";"tvg",#N/A,FALSE,"GuV9900-0399";"verwaltung",#N/A,FALSE,"GuV9900-0399"}</definedName>
    <definedName name="skjfiej" hidden="1">{"werbung",#N/A,FALSE,"GuV9900-0399";"betrieb",#N/A,FALSE,"GuV9900-0399";"personal",#N/A,FALSE,"GuV9900-0399";"tvg",#N/A,FALSE,"GuV9900-0399";"verwaltung",#N/A,FALSE,"GuV9900-0399"}</definedName>
    <definedName name="sky" hidden="1">{"Summary analysis",#N/A,FALSE,"Total";"OCPH analysis",#N/A,FALSE,"Total";"detail analysis",#N/A,FALSE,"Total"}</definedName>
    <definedName name="sleo" hidden="1">{#N/A,#N/A,FALSE,"TB";#N/A,#N/A,FALSE,"DR";#N/A,#N/A,FALSE,"AR";#N/A,#N/A,FALSE,"BS";#N/A,#N/A,FALSE,"PL";#N/A,#N/A,FALSE,"NOTES";#N/A,#N/A,FALSE,"NOTES (2)";#N/A,#N/A,FALSE,"NOTES (3)";#N/A,#N/A,FALSE,"DPL";#N/A,#N/A,FALSE,"DPL"}</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llie" hidden="1">{#N/A,#N/A,FALSE,"TB";#N/A,#N/A,FALSE,"DR";#N/A,#N/A,FALSE,"AR";#N/A,#N/A,FALSE,"PL";#N/A,#N/A,FALSE,"BS";#N/A,#N/A,FALSE,"NOTES";#N/A,#N/A,FALSE,"NOTES (2)";#N/A,#N/A,FALSE,"NOTES (3)";#N/A,#N/A,FALSE,"DPL";#N/A,#N/A,FALSE,"TAXC.INDEX";#N/A,#N/A,FALSE,"Schedule I";#N/A,#N/A,FALSE,"Adjustments"}</definedName>
    <definedName name="slloo" hidden="1">{#N/A,#N/A,FALSE,"TB";#N/A,#N/A,FALSE,"AR";#N/A,#N/A,FALSE,"BS";#N/A,#N/A,FALSE,"PL";#N/A,#N/A,FALSE,"NOTES";#N/A,#N/A,FALSE,"NOTES (2)";#N/A,#N/A,FALSE,"NOTES (3)";#N/A,#N/A,FALSE,"TAXC.INDEX";#N/A,#N/A,FALSE,"Schedule I";#N/A,#N/A,FALSE,"DPL";#N/A,#N/A,FALSE,"Schedule IV";#N/A,#N/A,FALSE,"Adjustments"}</definedName>
    <definedName name="Smart_Chart_Data_Table_37766bbc2ca4400da6d7309a6548fc29">#REF!</definedName>
    <definedName name="smk" hidden="1">{"QTD_GENERALH2",#N/A,FALSE,"QTD"}</definedName>
    <definedName name="SnecmaFAT" hidden="1">{#N/A,#N/A,TRUE,"Pro Forma";#N/A,#N/A,TRUE,"PF_Bal";#N/A,#N/A,TRUE,"PF_INC";#N/A,#N/A,TRUE,"CBE";#N/A,#N/A,TRUE,"SWK"}</definedName>
    <definedName name="soctl" hidden="1">{#N/A,#N/A,FALSE,"TB";#N/A,#N/A,FALSE,"DR";#N/A,#N/A,FALSE,"AR";#N/A,#N/A,FALSE,"PL";#N/A,#N/A,FALSE,"BS";#N/A,#N/A,FALSE,"NOTES";#N/A,#N/A,FALSE,"NOTES (2)";#N/A,#N/A,FALSE,"NOTES (3)";#N/A,#N/A,FALSE,"DPL";#N/A,#N/A,FALSE,"TAXC.INDEX";#N/A,#N/A,FALSE,"Schedule I";#N/A,#N/A,FALSE,"Adjustments"}</definedName>
    <definedName name="soe" hidden="1">{#N/A,#N/A,FALSE,"TAXC.INDEX";#N/A,#N/A,FALSE,"Schedule I";#N/A,#N/A,FALSE,"Schedule  II";#N/A,#N/A,FALSE,"Schedule III"}</definedName>
    <definedName name="soe.ct" hidden="1">{#N/A,#N/A,FALSE,"TB";#N/A,#N/A,FALSE,"AR";#N/A,#N/A,FALSE,"BS";#N/A,#N/A,FALSE,"PL";#N/A,#N/A,FALSE,"NOTES";#N/A,#N/A,FALSE,"NOTES (2)";#N/A,#N/A,FALSE,"NOTES (3)";#N/A,#N/A,FALSE,"TAXC.INDEX";#N/A,#N/A,FALSE,"Schedule I";#N/A,#N/A,FALSE,"DPL";#N/A,#N/A,FALSE,"Schedule IV";#N/A,#N/A,FALSE,"Adjustments"}</definedName>
    <definedName name="soeg" hidden="1">{#N/A,#N/A,FALSE,"TB";#N/A,#N/A,FALSE,"DR";#N/A,#N/A,FALSE,"AR";#N/A,#N/A,FALSE,"BS";#N/A,#N/A,FALSE,"PL";#N/A,#N/A,FALSE,"NOTES";#N/A,#N/A,FALSE,"NOTES (2)";#N/A,#N/A,FALSE,"NOTES (3)";#N/A,#N/A,FALSE,"DPL";#N/A,#N/A,FALSE,"DPL"}</definedName>
    <definedName name="soelt" hidden="1">{#N/A,#N/A,FALSE,"TB";#N/A,#N/A,FALSE,"DR";#N/A,#N/A,FALSE,"AR";#N/A,#N/A,FALSE,"BS";#N/A,#N/A,FALSE,"PL";#N/A,#N/A,FALSE,"NOTES";#N/A,#N/A,FALSE,"NOTES (2)";#N/A,#N/A,FALSE,"NOTES (3)";#N/A,#N/A,FALSE,"DPL";#N/A,#N/A,FALSE,"DPL"}</definedName>
    <definedName name="soetjl" hidden="1">{#N/A,#N/A,FALSE,"TAXC.INDEX";#N/A,#N/A,FALSE,"Schedule I";#N/A,#N/A,FALSE,"Schedule  II";#N/A,#N/A,FALSE,"Schedule III";#N/A,#N/A,FALSE,"Schedule IV";#N/A,#N/A,FALSE,"Schedule IV (Cont'd)";#N/A,#N/A,FALSE,"Schedule V";#N/A,#N/A,FALSE,"Schedule VI";#N/A,#N/A,FALSE,"Schedule VII"}</definedName>
    <definedName name="sof" hidden="1">{#N/A,#N/A,FALSE,"DIR-REP";#N/A,#N/A,FALSE,"AUD-REPORT";#N/A,#N/A,FALSE,"P7L&amp;BS";#N/A,#N/A,FALSE,"NOTES";#N/A,#N/A,FALSE,"FA";#N/A,#N/A,FALSE,"NOTES (2)";#N/A,#N/A,FALSE,"Schedule  IV";#N/A,#N/A,FALSE,"Schedule V"}</definedName>
    <definedName name="solver_cvg" hidden="1">0.0001</definedName>
    <definedName name="solver_drv" hidden="1">1</definedName>
    <definedName name="solver_eng"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7</definedName>
    <definedName name="solver_rhs2" hidden="1">7</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ooot" hidden="1">{#N/A,#N/A,FALSE,"DIR-REP";#N/A,#N/A,FALSE,"AUD-REPORT";#N/A,#N/A,FALSE,"P7L&amp;BS";#N/A,#N/A,FALSE,"NOTES";#N/A,#N/A,FALSE,"FA";#N/A,#N/A,FALSE,"NOTES (2)";#N/A,#N/A,FALSE,"Schedule  IV";#N/A,#N/A,FALSE,"Schedule V"}</definedName>
    <definedName name="sort" hidden="1">#REF!</definedName>
    <definedName name="sotaljt" hidden="1">{#N/A,#N/A,FALSE,"TB";#N/A,#N/A,FALSE,"AR";#N/A,#N/A,FALSE,"BS";#N/A,#N/A,FALSE,"PL";#N/A,#N/A,FALSE,"NOTES";#N/A,#N/A,FALSE,"NOTES (2)";#N/A,#N/A,FALSE,"NOTES (3)";#N/A,#N/A,FALSE,"TAXC.INDEX";#N/A,#N/A,FALSE,"Schedule I";#N/A,#N/A,FALSE,"DPL";#N/A,#N/A,FALSE,"Schedule IV";#N/A,#N/A,FALSE,"Adjustments"}</definedName>
    <definedName name="sp" hidden="1">{#N/A,#N/A,TRUE,"Resumo";#N/A,#N/A,TRUE,"iNDICES";#N/A,#N/A,TRUE,"TOT_MI";#N/A,#N/A,TRUE,"COT";#N/A,#N/A,TRUE,"LIM";#N/A,#N/A,TRUE,"SIF";#N/A,#N/A,TRUE,"RIO";#N/A,#N/A,TRUE,"MESA";#N/A,#N/A,TRUE,"POA_EST_MTN_SLP";#N/A,#N/A,TRUE,"PEL";#N/A,#N/A,TRUE,"PSF";#N/A,#N/A,TRUE,"CXS";#N/A,#N/A,TRUE,"CAA";#N/A,#N/A,TRUE,"REC";#N/A,#N/A,TRUE,"BRA";#N/A,#N/A,TRUE,"ANA";#N/A,#N/A,TRUE,"TOT ME";#N/A,#N/A,TRUE,"TOT"}</definedName>
    <definedName name="spo" hidden="1">{#N/A,#N/A,FALSE,"TB";#N/A,#N/A,FALSE,"DR";#N/A,#N/A,FALSE,"AR";#N/A,#N/A,FALSE,"PL";#N/A,#N/A,FALSE,"BS";#N/A,#N/A,FALSE,"NOTES";#N/A,#N/A,FALSE,"NOTES (2)";#N/A,#N/A,FALSE,"NOTES (3)";#N/A,#N/A,FALSE,"DPL";#N/A,#N/A,FALSE,"TAXC.INDEX";#N/A,#N/A,FALSE,"Schedule I";#N/A,#N/A,FALSE,"Adjustments"}</definedName>
    <definedName name="sprog">#REF!</definedName>
    <definedName name="sq" hidden="1">{"vue1",#N/A,FALSE,"synthese";"vue2",#N/A,FALSE,"synthese"}</definedName>
    <definedName name="sqdqs" hidden="1">{#N/A,#N/A,FALSE,"EV.D.P.BC";#N/A,#N/A,FALSE,"EV.D.P.HC";#N/A,#N/A,FALSE,"EV.D.P.LC";#N/A,#N/A,FALSE,"AN.CIV.BC";#N/A,#N/A,FALSE,"AN.CIV.HC";#N/A,#N/A,FALSE,"AN.CIV.LC";#N/A,#N/A,FALSE,"Res.1";#N/A,#N/A,FALSE,"AN.GAZ.BC";#N/A,#N/A,FALSE,"AN.GAZ.HC";#N/A,#N/A,FALSE,"AN.GAZ.LC";#N/A,#N/A,FALSE,"AN.GAZ.BC M3";#N/A,#N/A,FALSE,"AN.GAZ.HC M3";#N/A,#N/A,FALSE,"AN.GAZ.LC M3";#N/A,#N/A,FALSE,"Res.2"}</definedName>
    <definedName name="sqf" hidden="1">{#N/A,#N/A,FALSE,"EV.D.P.BC";#N/A,#N/A,FALSE,"EV.D.P.HC";#N/A,#N/A,FALSE,"EV.D.P.LC";#N/A,#N/A,FALSE,"AN.CIV.BC";#N/A,#N/A,FALSE,"AN.CIV.HC";#N/A,#N/A,FALSE,"AN.CIV.LC";#N/A,#N/A,FALSE,"Res.1";#N/A,#N/A,FALSE,"AN.GAZ.BC";#N/A,#N/A,FALSE,"AN.GAZ.HC";#N/A,#N/A,FALSE,"AN.GAZ.LC";#N/A,#N/A,FALSE,"AN.GAZ.BC M3";#N/A,#N/A,FALSE,"AN.GAZ.HC M3";#N/A,#N/A,FALSE,"AN.GAZ.LC M3";#N/A,#N/A,FALSE,"Res.2"}</definedName>
    <definedName name="sqkjskq" hidden="1">{#N/A,#N/A,FALSE,"INPUTS";#N/A,#N/A,FALSE,"PROFORMA BSHEET";#N/A,#N/A,FALSE,"COMBINED";#N/A,#N/A,FALSE,"ACQUIROR";#N/A,#N/A,FALSE,"TARGET 1";#N/A,#N/A,FALSE,"TARGET 2";#N/A,#N/A,FALSE,"HIGH YIELD";#N/A,#N/A,FALSE,"OVERFUND"}</definedName>
    <definedName name="sql_statement" hidden="1">"select distinct acct_cat,sum(cyr),sum(lyr),sum(cbd),mult_x005F_x000D_
from r1_datasum_x005F_x000D_
group by acct_cat_x005F_x000D_
_x005F_x000D_
"</definedName>
    <definedName name="sre" hidden="1">{"vol data",#N/A,FALSE,"Datasheet";"vol graph",#N/A,FALSE,"Volume";"price data",#N/A,FALSE,"Datasheet";"price graph",#N/A,FALSE,"Price";"dp data",#N/A,FALSE,"Datasheet";"dp graph",#N/A,FALSE,"DirectProfit"}</definedName>
    <definedName name="srgserg"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rhsr" hidden="1">{"Sum WW A",#N/A,FALSE,"FY95SLS";"Sum WW B",#N/A,FALSE,"FY95SLS";"Sum US A",#N/A,FALSE,"FY95SLS";"Sum US B",#N/A,FALSE,"FY95SLS";"Sum US Bocg",#N/A,FALSE,"FY95SLS";"Sum Can A",#N/A,FALSE,"FY95SLS";"Sum Can B",#N/A,FALSE,"FY95SLS";"Sum Europe",#N/A,FALSE,"FY95SLS";"Sum Row",#N/A,FALSE,"FY95SLS"}</definedName>
    <definedName name="srtgh" hidden="1">{#N/A,#N/A,FALSE,"3";#N/A,#N/A,FALSE,"5";#N/A,#N/A,FALSE,"6";#N/A,#N/A,FALSE,"8";#N/A,#N/A,FALSE,"10";#N/A,#N/A,FALSE,"13";#N/A,#N/A,FALSE,"14";#N/A,#N/A,FALSE,"15";#N/A,#N/A,FALSE,"16"}</definedName>
    <definedName name="ss" hidden="1">{"detail",#N/A,FALSE,"mfg";"summary",#N/A,FALSE,"mfg"}</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hidden="1">{#N/A,#N/A,FALSE,"REPORT"}</definedName>
    <definedName name="sse" hidden="1">{"YD GENERALH2",#N/A,FALSE,"YTD"}</definedName>
    <definedName name="sss" hidden="1">{#N/A,#N/A,FALSE,"Pharm";#N/A,#N/A,FALSE,"WWCM"}</definedName>
    <definedName name="ssss" hidden="1">{#N/A,"PURCHM",FALSE,"Business Analysis";#N/A,"SPADD",FALSE,"Business Analysis"}</definedName>
    <definedName name="sssss" hidden="1">{#N/A,"PURCHM",FALSE,"Business Analysis";#N/A,"SPADD",FALSE,"Business Analysis"}</definedName>
    <definedName name="ssssss" hidden="1">{#N/A,#N/A,FALSE,"TB";#N/A,#N/A,FALSE,"AR";#N/A,#N/A,FALSE,"BS";#N/A,#N/A,FALSE,"PL";#N/A,#N/A,FALSE,"NOTES";#N/A,#N/A,FALSE,"NOTES (2)";#N/A,#N/A,FALSE,"NOTES (3)";#N/A,#N/A,FALSE,"TAXC.INDEX";#N/A,#N/A,FALSE,"Schedule I";#N/A,#N/A,FALSE,"DPL";#N/A,#N/A,FALSE,"Schedule IV";#N/A,#N/A,FALSE,"Adjustments"}</definedName>
    <definedName name="sssssss" hidden="1">{#N/A,#N/A,FALSE,"TB";#N/A,#N/A,FALSE,"DR";#N/A,#N/A,FALSE,"AR";#N/A,#N/A,FALSE,"BS";#N/A,#N/A,FALSE,"PL";#N/A,#N/A,FALSE,"NOTES";#N/A,#N/A,FALSE,"NOTES (2)";#N/A,#N/A,FALSE,"NOTES (3)";#N/A,#N/A,FALSE,"DPL";#N/A,#N/A,FALSE,"DPL"}</definedName>
    <definedName name="ssssssss" hidden="1">{#N/A,#N/A,FALSE,"TB";#N/A,#N/A,FALSE,"DR";#N/A,#N/A,FALSE,"AR";#N/A,#N/A,FALSE,"BS";#N/A,#N/A,FALSE,"PL";#N/A,#N/A,FALSE,"NOTES";#N/A,#N/A,FALSE,"NOTES (2)";#N/A,#N/A,FALSE,"NOTES (3)";#N/A,#N/A,FALSE,"DPL";#N/A,#N/A,FALSE,"DPL"}</definedName>
    <definedName name="sssssssssssssssss" hidden="1">{"detail",#N/A,FALSE,"mfg";"summary",#N/A,FALSE,"mfg"}</definedName>
    <definedName name="sssswwww" hidden="1">{#N/A,"PURCHM",FALSE,"Business Analysis";#N/A,"SPADD",FALSE,"Business Analysis"}</definedName>
    <definedName name="Staril" hidden="1">{#N/A,#N/A,FALSE,"REPORT"}</definedName>
    <definedName name="STARTDATE" hidden="1">" "</definedName>
    <definedName name="stef" hidden="1">{#N/A,#N/A,TRUE,"Cover sheet";#N/A,#N/A,TRUE,"Summary";#N/A,#N/A,TRUE,"Key Assumptions";#N/A,#N/A,TRUE,"Profit &amp; Loss";#N/A,#N/A,TRUE,"Balance Sheet";#N/A,#N/A,TRUE,"Cashflow";#N/A,#N/A,TRUE,"IRR";#N/A,#N/A,TRUE,"Ratios";#N/A,#N/A,TRUE,"Debt analysis"}</definedName>
    <definedName name="stephanie" hidden="1">{#N/A,#N/A,FALSE,"3";#N/A,#N/A,FALSE,"5";#N/A,#N/A,FALSE,"6";#N/A,#N/A,FALSE,"8";#N/A,#N/A,FALSE,"10";#N/A,#N/A,FALSE,"13";#N/A,#N/A,FALSE,"14";#N/A,#N/A,FALSE,"15";#N/A,#N/A,FALSE,"16"}</definedName>
    <definedName name="StratPlanAP" hidden="1">{#N/A,#N/A,FALSE,"Pharm";#N/A,#N/A,FALSE,"WWCM"}</definedName>
    <definedName name="strwyu" hidden="1">{"Pound Sterling",#N/A,TRUE,"PPD";"Pound Sterling",#N/A,TRUE,"Anaquest";"Pound Sterling",#N/A,TRUE,"Delta";"Pound Sterling",#N/A,TRUE,"INO"}</definedName>
    <definedName name="SubsGrowth" hidden="1">#REF!</definedName>
    <definedName name="sum" hidden="1">{"Sum WW A",#N/A,FALSE,"FY95SLS";"Sum WW B",#N/A,FALSE,"FY95SLS";"Sum US A",#N/A,FALSE,"FY95SLS";"Sum US B",#N/A,FALSE,"FY95SLS";"Sum US Bocg",#N/A,FALSE,"FY95SLS";"Sum Can A",#N/A,FALSE,"FY95SLS";"Sum Can B",#N/A,FALSE,"FY95SLS";"Sum Europe",#N/A,FALSE,"FY95SLS";"Sum Row",#N/A,FALSE,"FY95SLS"}</definedName>
    <definedName name="SumColumn">_xlfn.lambda(_xlpm.column,      INDEX(#REF!, 0,          MATCH(_xlpm.column,#REF!, 0) + 1     ) )</definedName>
    <definedName name="SUMM." hidden="1">{#N/A,#N/A,FALSE,"SUMMARY"}</definedName>
    <definedName name="summm" hidden="1">{"Units A",#N/A,FALSE,"FY95SLS";"Units B",#N/A,FALSE,"FY95SLS"}</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san" hidden="1">{#N/A,#N/A,FALSE,"Revised cover";#N/A,#N/A,FALSE,"Trends";"main view",#N/A,FALSE,"As Reported";#N/A,#N/A,FALSE,"delegations";#N/A,#N/A,FALSE,"(un) Commited"}</definedName>
    <definedName name="suub"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V_AUTO_CONN_CATALOG" hidden="1">"NEWCO"</definedName>
    <definedName name="SV_AUTO_CONN_SERVER" hidden="1">"BAMSQL01"</definedName>
    <definedName name="SV_ENCPT_AUTO_CONN_PASSWORD" hidden="1">"083096084083070089098104103051052050069091087033"</definedName>
    <definedName name="SV_ENCPT_AUTO_CONN_USER" hidden="1">"095094088070084089098104103"</definedName>
    <definedName name="SV_ENCPT_LOGON_PWD" hidden="1">"078104085088070"</definedName>
    <definedName name="SV_ENCPT_LOGON_USER" hidden="1">"095094088070084071069078075078"</definedName>
    <definedName name="sw" hidden="1">{#N/A,"PURCHM",FALSE,"Business Analysis";#N/A,"SPADD",FALSE,"Business Analysis"}</definedName>
    <definedName name="swaw" hidden="1">{"TEXO2N2_VOL",#N/A,FALSE,"MTHLYVOL";"TEXH2_VOL",#N/A,FALSE,"MTHLYVOL";"LOUIS_VOL",#N/A,FALSE,"MTHLYVOL";"H2_VOL",#N/A,FALSE,"MTHLYVOL";"O2N2_VOL",#N/A,FALSE,"MTHLYVOL";"PACKAGE_VOL",#N/A,FALSE,"MTHLYVOL"}</definedName>
    <definedName name="Switch">#REF!</definedName>
    <definedName name="swjgt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wju" hidden="1">{"Pound Sterling",#N/A,TRUE,"PPD";"Pound Sterling",#N/A,TRUE,"Anaquest";"Pound Sterling",#N/A,TRUE,"Delta";"Pound Sterling",#N/A,TRUE,"INO"}</definedName>
    <definedName name="swq" hidden="1">{#N/A,"PURCHM",FALSE,"Business Analysis";#N/A,"SPADD",FALSE,"Business Analysis"}</definedName>
    <definedName name="swr" hidden="1">{"Polymers Details",#N/A,FALSE,"Current Yr";"Polymer Details",#N/A,FALSE,"Budget";"Polymer Details",#N/A,FALSE,"Prior Year"}</definedName>
    <definedName name="Swvu.ce_storici." hidden="1">#REF!</definedName>
    <definedName name="Swvu.dd." hidden="1">#REF!</definedName>
    <definedName name="swyrjryjtr" hidden="1">{"Sum WW A",#N/A,FALSE,"FY95SLS";"Sum WW B",#N/A,FALSE,"FY95SLS";"Sum US A",#N/A,FALSE,"FY95SLS";"Sum US B",#N/A,FALSE,"FY95SLS";"Sum US Bocg",#N/A,FALSE,"FY95SLS";"Sum Can A",#N/A,FALSE,"FY95SLS";"Sum Can B",#N/A,FALSE,"FY95SLS";"Sum Europe",#N/A,FALSE,"FY95SLS";"Sum Row",#N/A,FALSE,"FY95SLS"}</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hidden="1">{"LAPO2N2",#N/A,FALSE,"CM"}</definedName>
    <definedName name="t" hidden="1">{"'下期集計（10.27迄・速報値）'!$Q$16"}</definedName>
    <definedName name="t.2" hidden="1">{#N/A,#N/A,FALSE,"Umsatz EO BP";#N/A,#N/A,FALSE,"Umsatz EO OP";#N/A,#N/A,FALSE,"ER EO BP";#N/A,#N/A,FALSE,"ER EO OP";#N/A,#N/A,FALSE,"EA EO (2)";#N/A,#N/A,FALSE,"EA EO";#N/A,#N/A,FALSE,"EA EO (3)";#N/A,#N/A,FALSE,"EA EO (4)";#N/A,#N/A,FALSE,"KA EO  (2)";#N/A,#N/A,FALSE,"KA EO";#N/A,#N/A,FALSE,"KA EO  (3)";#N/A,#N/A,FALSE,"KA EO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a" hidden="1">{"BA detail",#N/A,FALSE,"Q3YTD "}</definedName>
    <definedName name="taber" hidden="1">1/eurextoiep</definedName>
    <definedName name="tabla" hidden="1">{#N/A,#N/A,FALSE,"Resumen";#N/A,#N/A,FALSE,"Full";#N/A,"Carabeer",FALSE,"Dscto.";#N/A,"Disbracentro",FALSE,"Dscto.";#N/A,"Andes",FALSE,"Dscto.";#N/A,"Mar Caribe",FALSE,"Dscto.";#N/A,"Río Beer",FALSE,"Dscto.";#N/A,#N/A,FALSE,"P.L.Full";#N/A,#N/A,FALSE,"P.L.Desc."}</definedName>
    <definedName name="tabla1" hidden="1">{#N/A,#N/A,FALSE,"Resumen";#N/A,#N/A,FALSE,"Full";#N/A,"Carabeer",FALSE,"Dscto.";#N/A,"Disbracentro",FALSE,"Dscto.";#N/A,"Andes",FALSE,"Dscto.";#N/A,"Mar Caribe",FALSE,"Dscto.";#N/A,"Río Beer",FALSE,"Dscto.";#N/A,#N/A,FALSE,"P.L.Full";#N/A,#N/A,FALSE,"P.L.Desc."}</definedName>
    <definedName name="table" hidden="1">{#N/A,#N/A,TRUE,"Income";#N/A,#N/A,TRUE,"IncomeDetail";#N/A,#N/A,TRUE,"Balance";#N/A,#N/A,TRUE,"BalDetail"}</definedName>
    <definedName name="tai.v4" hidden="1">{#N/A,#N/A,FALSE,"Umsatz EO BP";#N/A,#N/A,FALSE,"Umsatz EO OP";#N/A,#N/A,FALSE,"ER EO BP";#N/A,#N/A,FALSE,"ER EO OP";#N/A,#N/A,FALSE,"EA EO (2)";#N/A,#N/A,FALSE,"EA EO";#N/A,#N/A,FALSE,"EA EO (3)";#N/A,#N/A,FALSE,"EA EO (4)";#N/A,#N/A,FALSE,"KA EO  (2)";#N/A,#N/A,FALSE,"KA EO";#N/A,#N/A,FALSE,"KA EO  (3)";#N/A,#N/A,FALSE,"KA EO (4)"}</definedName>
    <definedName name="Tail.2" hidden="1">{#N/A,#N/A,FALSE,"KA CH  (2)"}</definedName>
    <definedName name="Target_name">#REF!</definedName>
    <definedName name="tat" hidden="1">{#N/A,#N/A,FALSE,"TB";#N/A,#N/A,FALSE,"AR";#N/A,#N/A,FALSE,"BS";#N/A,#N/A,FALSE,"PL";#N/A,#N/A,FALSE,"NOTES";#N/A,#N/A,FALSE,"NOTES (2)";#N/A,#N/A,FALSE,"NOTES (3)";#N/A,#N/A,FALSE,"TAXC.INDEX";#N/A,#N/A,FALSE,"Schedule I";#N/A,#N/A,FALSE,"DPL";#N/A,#N/A,FALSE,"Schedule IV";#N/A,#N/A,FALSE,"Adjustments"}</definedName>
    <definedName name="taxol" hidden="1">{#N/A,#N/A,FALSE,"Pharm";#N/A,#N/A,FALSE,"WWCM"}</definedName>
    <definedName name="Taxpb" hidden="1">#REF!</definedName>
    <definedName name="tay" hidden="1">{#N/A,#N/A,FALSE,"TAXC.INDEX";#N/A,#N/A,FALSE,"Schedule I";#N/A,#N/A,FALSE,"Schedule  II";#N/A,#N/A,FALSE,"Schedule III";#N/A,#N/A,FALSE,"Schedule IV";#N/A,#N/A,FALSE,"Schedule IV (Cont'd)";#N/A,#N/A,FALSE,"Schedule V";#N/A,#N/A,FALSE,"Schedule VI";#N/A,#N/A,FALSE,"Schedule VII"}</definedName>
    <definedName name="tb"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aae738a5_d061_445f_912b_a2eadaf96880" hidden="1">#REF!</definedName>
    <definedName name="TBbc800a9d_d4c7_465f_ae2a_4ebae9aa6b8f" hidden="1">#REF!</definedName>
    <definedName name="TBc51b1d13_fc00_4b78_826a_109d4093cd3d" hidden="1">#REF!</definedName>
    <definedName name="tcot" hidden="1">{#N/A,#N/A,FALSE,"TB";#N/A,#N/A,FALSE,"DR";#N/A,#N/A,FALSE,"AR";#N/A,#N/A,FALSE,"PL";#N/A,#N/A,FALSE,"BS";#N/A,#N/A,FALSE,"NOTES";#N/A,#N/A,FALSE,"NOTES (2)";#N/A,#N/A,FALSE,"NOTES (3)";#N/A,#N/A,FALSE,"DPL";#N/A,#N/A,FALSE,"TAXC.INDEX";#N/A,#N/A,FALSE,"Schedule I";#N/A,#N/A,FALSE,"Adjustments"}</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DS" hidden="1">{#N/A,#N/A,FALSE,"3";#N/A,#N/A,FALSE,"5";#N/A,#N/A,FALSE,"6";#N/A,#N/A,FALSE,"8";#N/A,#N/A,FALSE,"10";#N/A,#N/A,FALSE,"13";#N/A,#N/A,FALSE,"14";#N/A,#N/A,FALSE,"15";#N/A,#N/A,FALSE,"16"}</definedName>
    <definedName name="tdsissco" hidden="1">{#N/A,#N/A,FALSE,"3";#N/A,#N/A,FALSE,"5";#N/A,#N/A,FALSE,"6";#N/A,#N/A,FALSE,"8";#N/A,#N/A,FALSE,"10";#N/A,#N/A,FALSE,"13";#N/A,#N/A,FALSE,"14";#N/A,#N/A,FALSE,"15";#N/A,#N/A,FALSE,"16"}</definedName>
    <definedName name="TDSplan" hidden="1">{#N/A,#N/A,FALSE,"3";#N/A,#N/A,FALSE,"5";#N/A,#N/A,FALSE,"6";#N/A,#N/A,FALSE,"8";#N/A,#N/A,FALSE,"10";#N/A,#N/A,FALSE,"13";#N/A,#N/A,FALSE,"14";#N/A,#N/A,FALSE,"15";#N/A,#N/A,FALSE,"16"}</definedName>
    <definedName name="te" hidden="1">{"pro_view",#N/A,FALSE,"EEFSNAP2";"rep_view",#N/A,FALSE,"EEFSNAP2"}</definedName>
    <definedName name="telop" hidden="1">{#N/A,#N/A,FALSE,"Eastern";#N/A,#N/A,FALSE,"Western"}</definedName>
    <definedName name="Tem" hidden="1">{#N/A,#N/A,FALSE,"Pharm";#N/A,#N/A,FALSE,"WWCM"}</definedName>
    <definedName name="Temp" hidden="1">{#N/A,#N/A,FALSE,"TB";#N/A,#N/A,FALSE,"AR";#N/A,#N/A,FALSE,"BS";#N/A,#N/A,FALSE,"PL";#N/A,#N/A,FALSE,"NOTES";#N/A,#N/A,FALSE,"NOTES (2)";#N/A,#N/A,FALSE,"NOTES (3)";#N/A,#N/A,FALSE,"TAXC.INDEX";#N/A,#N/A,FALSE,"Schedule I";#N/A,#N/A,FALSE,"DPL";#N/A,#N/A,FALSE,"Schedule IV";#N/A,#N/A,FALSE,"Adjustments"}</definedName>
    <definedName name="TEMP1" hidden="1">{"contributory1",#N/A,FALSE,"Contributory Assets Detail";"contributory2",#N/A,FALSE,"Contributory Assets Detail"}</definedName>
    <definedName name="temp2" hidden="1">{#N/A,#N/A,FALSE,"Op_Stmt";#N/A,#N/A,FALSE,"Consol_Op_Stmt";#N/A,#N/A,FALSE,"rev_summ";#N/A,#N/A,FALSE,"Unit_Summ";#N/A,#N/A,FALSE,"EBIT_summ";#N/A,#N/A,FALSE,"RONA_NetAssets"}</definedName>
    <definedName name="temp3" hidden="1">{#N/A,#N/A,FALSE,"Op_Stmt";#N/A,#N/A,FALSE,"Consol_Op_Stmt";#N/A,#N/A,FALSE,"rev_summ";#N/A,#N/A,FALSE,"Unit_Summ";#N/A,#N/A,FALSE,"EBIT_summ";#N/A,#N/A,FALSE,"RONA_NetAssets"}</definedName>
    <definedName name="Template"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TemplateVersion" hidden="1">#REF!</definedName>
    <definedName name="teq" hidden="1">{#N/A,#N/A,FALSE,"Pharm";#N/A,#N/A,FALSE,"WWCM"}</definedName>
    <definedName name="Tequin" hidden="1">{#N/A,#N/A,FALSE,"Pharm";#N/A,#N/A,FALSE,"WWCM"}</definedName>
    <definedName name="tequinol" hidden="1">{#N/A,#N/A,FALSE,"REPORT"}</definedName>
    <definedName name="ter"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hidden="1">{"YD GENERALH2",#N/A,FALSE,"YTD"}</definedName>
    <definedName name="terghrtjrt" hidden="1">{"Units A",#N/A,FALSE,"FY95SLS";"Units B",#N/A,FALSE,"FY95SLS"}</definedName>
    <definedName name="terywer" hidden="1">{"Pound Sterling",#N/A,TRUE,"PPD";"Pound Sterling",#N/A,TRUE,"Anaquest";"Pound Sterling",#N/A,TRUE,"Delta";"Pound Sterling",#N/A,TRUE,"INO"}</definedName>
    <definedName name="test">{#N/A,"S 0373 ",TRUE,"Sheet1";#N/A,"S 0374 ",TRUE,"Sheet1";#N/A,"S 0375 ",TRUE,"Sheet1";#N/A,"S 0376 ",TRUE,"Sheet1";#N/A,"S 0699 ",TRUE,"Sheet1";#N/A,"S 0705 ",TRUE,"Sheet1";#N/A,"S 0707 ",TRUE,"Sheet1";#N/A,"S 0708 ",TRUE,"Sheet1";#N/A,"S 0709 ",TRUE,"Sheet1";#N/A,"S 0714 ",TRUE,"Sheet1";#N/A,"S 0716 ",TRUE,"Sheet1";#N/A,"S 0719 ",TRUE,"Sheet1";#N/A,"S 0723 ",TRUE,"Sheet1"}</definedName>
    <definedName name="test.table.test" hidden="1">{#N/A,#N/A,FALSE,"Inc Stmt";#N/A,#N/A,FALSE,"Indirect Costs";#N/A,#N/A,FALSE,"Capital"}</definedName>
    <definedName name="test.test.123"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test1" hidden="1">{#N/A,#N/A,FALSE,"Umsatz";#N/A,#N/A,FALSE,"Base V.02";#N/A,#N/A,FALSE,"Charts"}</definedName>
    <definedName name="test123" hidden="1">{#N/A,#N/A,FALSE,"BreakoutFY95";#N/A,#N/A,FALSE,"BreakoutFY96";#N/A,#N/A,FALSE,"BreakoutFY97";#N/A,#N/A,FALSE,"BreakoutFY98"}</definedName>
    <definedName name="test123456" hidden="1">{#N/A,#N/A,FALSE,"Assumptions";#N/A,#N/A,FALSE,"N-IS-Sum";#N/A,#N/A,FALSE,"N-St-Sum";#N/A,#N/A,FALSE,"Inc Stmt";#N/A,#N/A,FALSE,"Stats"}</definedName>
    <definedName name="Test2" hidden="1">#REF!,#REF!,#REF!,#REF!,#REF!,#REF!,#REF!,#REF!,#REF!,#REF!,#REF!,#REF!,#REF!,#REF!,#REF!</definedName>
    <definedName name="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4" hidden="1">{"ASCONGRP","COMPANIES",TRUE}</definedName>
    <definedName name="test5" hidden="1">{"EUUTIGRP","COMPANIES",TRUE}</definedName>
    <definedName name="test6" hidden="1">{"EUUTI","COMPANIES",TRUE}</definedName>
    <definedName name="teste" hidden="1">{#N/A,#N/A,FALSE,"Pharm";#N/A,#N/A,FALSE,"WWCM"}</definedName>
    <definedName name="tests" hidden="1">{#N/A,#N/A,FALSE,"F_Plan";#N/A,#N/A,FALSE,"Parameter"}</definedName>
    <definedName name="TextRefCopyRangeCount" hidden="1">4</definedName>
    <definedName name="tf" hidden="1">{"Performance Details",#N/A,FALSE,"Current Yr";"Performance Details",#N/A,FALSE,"Budget";"Performance Details",#N/A,FALSE,"Prior Year"}</definedName>
    <definedName name="tftchristine" hidden="1">{#N/A,#N/A,FALSE,"3";#N/A,#N/A,FALSE,"5";#N/A,#N/A,FALSE,"6";#N/A,#N/A,FALSE,"8";#N/A,#N/A,FALSE,"10";#N/A,#N/A,FALSE,"13";#N/A,#N/A,FALSE,"14";#N/A,#N/A,FALSE,"15";#N/A,#N/A,FALSE,"16"}</definedName>
    <definedName name="tftchristine2" hidden="1">{#N/A,#N/A,FALSE,"3";#N/A,#N/A,FALSE,"5";#N/A,#N/A,FALSE,"6";#N/A,#N/A,FALSE,"8";#N/A,#N/A,FALSE,"10";#N/A,#N/A,FALSE,"13";#N/A,#N/A,FALSE,"14";#N/A,#N/A,FALSE,"15";#N/A,#N/A,FALSE,"16"}</definedName>
    <definedName name="tg" hidden="1">{#N/A,"MacToolsZag",FALSE,"P&amp;L"}</definedName>
    <definedName name="tgvu" hidden="1">{#N/A,#N/A,FALSE,"TAXC.INDEX";#N/A,#N/A,FALSE,"Schedule I";#N/A,#N/A,FALSE,"Schedule  II";#N/A,#N/A,FALSE,"Schedule III";#N/A,#N/A,FALSE,"Schedule IV";#N/A,#N/A,FALSE,"Schedule IV (Cont'd)";#N/A,#N/A,FALSE,"Schedule V";#N/A,#N/A,FALSE,"Schedule VI";#N/A,#N/A,FALSE,"Schedule VII"}</definedName>
    <definedName name="tha.2" hidden="1">{#N/A,#N/A,FALSE,"Produkte Erw.";#N/A,#N/A,FALSE,"Produkte Plan";#N/A,#N/A,FALSE,"Leistungen Erw.";#N/A,#N/A,FALSE,"Leistungen Plan";#N/A,#N/A,FALSE,"KA Allg.Kosten (2)";#N/A,#N/A,FALSE,"KA All.Kosten"}</definedName>
    <definedName name="tha.3" hidden="1">{#N/A,#N/A,FALSE,"KA CH  (2)"}</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hidden="1">{#N/A,#N/A,FALSE,"Umsatz 99";#N/A,#N/A,FALSE,"ER 99 "}</definedName>
    <definedName name="Thail.2" hidden="1">{#N/A,#N/A,FALSE,"Umsatz 99";#N/A,#N/A,FALSE,"ER 99 "}</definedName>
    <definedName name="thank" hidden="1">{#N/A,#N/A,FALSE,"TB";#N/A,#N/A,FALSE,"AR";#N/A,#N/A,FALSE,"BS";#N/A,#N/A,FALSE,"PL";#N/A,#N/A,FALSE,"NOTES";#N/A,#N/A,FALSE,"NOTES (2)";#N/A,#N/A,FALSE,"NOTES (3)";#N/A,#N/A,FALSE,"TAXC.INDEX";#N/A,#N/A,FALSE,"Schedule I";#N/A,#N/A,FALSE,"DPL";#N/A,#N/A,FALSE,"Schedule IV";#N/A,#N/A,FALSE,"Adjustments"}</definedName>
    <definedName name="thierry" hidden="1">{"Totax",#N/A,FALSE,"Sheet1";#N/A,#N/A,FALSE,"Law Output"}</definedName>
    <definedName name="thth" hidden="1">{#N/A,#N/A,FALSE,"Calc";#N/A,#N/A,FALSE,"Sensitivity";#N/A,#N/A,FALSE,"LT Earn.Dil.";#N/A,#N/A,FALSE,"Dil. AVP"}</definedName>
    <definedName name="thtrhtrh" hidden="1">{"Sum WW A",#N/A,FALSE,"FY95SLS";"Sum WW B",#N/A,FALSE,"FY95SLS";"Sum US A",#N/A,FALSE,"FY95SLS";"Sum US B",#N/A,FALSE,"FY95SLS";"Sum US Bocg",#N/A,FALSE,"FY95SLS";"Sum Can A",#N/A,FALSE,"FY95SLS";"Sum Can B",#N/A,FALSE,"FY95SLS";"Sum Europe",#N/A,FALSE,"FY95SLS";"Sum Row",#N/A,FALSE,"FY95SLS"}</definedName>
    <definedName name="thwrthw"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TIMEPRIS">#REF!</definedName>
    <definedName name="tisg" hidden="1">{#N/A,#N/A,FALSE,"TB";#N/A,#N/A,FALSE,"DR";#N/A,#N/A,FALSE,"AR";#N/A,#N/A,FALSE,"PL";#N/A,#N/A,FALSE,"BS";#N/A,#N/A,FALSE,"NOTES";#N/A,#N/A,FALSE,"NOTES (2)";#N/A,#N/A,FALSE,"NOTES (3)";#N/A,#N/A,FALSE,"DPL";#N/A,#N/A,FALSE,"TAXC.INDEX";#N/A,#N/A,FALSE,"Schedule I";#N/A,#N/A,FALSE,"Adjustments"}</definedName>
    <definedName name="titi" hidden="1">#REF!</definedName>
    <definedName name="titleCol" hidden="1">#REF!</definedName>
    <definedName name="tjd" hidden="1">{"Sum WW A",#N/A,FALSE,"FY95SLS";"Sum WW B",#N/A,FALSE,"FY95SLS";"Sum US A",#N/A,FALSE,"FY95SLS";"Sum US B",#N/A,FALSE,"FY95SLS";"Sum US Bocg",#N/A,FALSE,"FY95SLS";"Sum Can A",#N/A,FALSE,"FY95SLS";"Sum Can B",#N/A,FALSE,"FY95SLS";"Sum Europe",#N/A,FALSE,"FY95SLS";"Sum Row",#N/A,FALSE,"FY95SLS"}</definedName>
    <definedName name="tjrjtr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tjxot" hidden="1">{#N/A,#N/A,FALSE,"DIR-REP";#N/A,#N/A,FALSE,"AUD-REPORT";#N/A,#N/A,FALSE,"P7L&amp;BS";#N/A,#N/A,FALSE,"NOTES";#N/A,#N/A,FALSE,"FA";#N/A,#N/A,FALSE,"NOTES (2)";#N/A,#N/A,FALSE,"Schedule  IV";#N/A,#N/A,FALSE,"Schedule V"}</definedName>
    <definedName name="tl" hidden="1">{"Commentary",#N/A,FALSE,"May"}</definedName>
    <definedName name="TLA.087" hidden="1">0</definedName>
    <definedName name="tlsm" hidden="1">{#N/A,#N/A,FALSE,"TB";#N/A,#N/A,FALSE,"DR";#N/A,#N/A,FALSE,"AR";#N/A,#N/A,FALSE,"PL";#N/A,#N/A,FALSE,"BS";#N/A,#N/A,FALSE,"NOTES";#N/A,#N/A,FALSE,"NOTES (2)";#N/A,#N/A,FALSE,"NOTES (3)";#N/A,#N/A,FALSE,"DPL";#N/A,#N/A,FALSE,"TAXC.INDEX";#N/A,#N/A,FALSE,"Schedule I";#N/A,#N/A,FALSE,"Adjustments"}</definedName>
    <definedName name="tltalta" hidden="1">{#N/A,#N/A,FALSE,"TAXC.INDEX";#N/A,#N/A,FALSE,"Schedule I";#N/A,#N/A,FALSE,"Schedule  II";#N/A,#N/A,FALSE,"Schedule III"}</definedName>
    <definedName name="tm" hidden="1">{"ICD Details",#N/A,FALSE,"Current Yr";"ICD Details",#N/A,FALSE,"Budget";"ICD Details",#N/A,FALSE,"Prior Year"}</definedName>
    <definedName name="tm1_SchutzPasswort" hidden="1">"elKom"</definedName>
    <definedName name="tmp" hidden="1">{#N/A,#N/A,FALSE,"Op_Stmt";#N/A,#N/A,FALSE,"Consol_Op_Stmt";#N/A,#N/A,FALSE,"rev_summ";#N/A,#N/A,FALSE,"Unit_Summ";#N/A,#N/A,FALSE,"EBIT_summ";#N/A,#N/A,FALSE,"RONA_NetAssets"}</definedName>
    <definedName name="tmto" hidden="1">{"detail",#N/A,FALSE,"mfg";"summary",#N/A,FALSE,"mfg"}</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hidden="1">{#N/A,#N/A,FALSE,"TAXC.INDEX";#N/A,#N/A,FALSE,"Schedule I";#N/A,#N/A,FALSE,"Schedule  II";#N/A,#N/A,FALSE,"Schedule III";#N/A,#N/A,FALSE,"Schedule IV";#N/A,#N/A,FALSE,"Schedule IV (Cont'd)";#N/A,#N/A,FALSE,"Schedule V";#N/A,#N/A,FALSE,"Schedule VI";#N/A,#N/A,FALSE,"Schedule VII"}</definedName>
    <definedName name="toamtoamotm" hidden="1">{#N/A,#N/A,TRUE,"Resumo";#N/A,#N/A,TRUE,"iNDICES";#N/A,#N/A,TRUE,"TOT_MI";#N/A,#N/A,TRUE,"COT";#N/A,#N/A,TRUE,"LIM";#N/A,#N/A,TRUE,"SIF";#N/A,#N/A,TRUE,"RIO";#N/A,#N/A,TRUE,"MESA";#N/A,#N/A,TRUE,"POA_EST_MTN_SLP";#N/A,#N/A,TRUE,"PEL";#N/A,#N/A,TRUE,"PSF";#N/A,#N/A,TRUE,"CXS";#N/A,#N/A,TRUE,"CAA";#N/A,#N/A,TRUE,"REC";#N/A,#N/A,TRUE,"BRA";#N/A,#N/A,TRUE,"ANA";#N/A,#N/A,TRUE,"TOT ME";#N/A,#N/A,TRUE,"TOT"}</definedName>
    <definedName name="todl" hidden="1">{#N/A,#N/A,FALSE,"DIR-REP";#N/A,#N/A,FALSE,"AUD-REPORT";#N/A,#N/A,FALSE,"P7L&amp;BS";#N/A,#N/A,FALSE,"NOTES";#N/A,#N/A,FALSE,"FA";#N/A,#N/A,FALSE,"NOTES (2)";#N/A,#N/A,FALSE,"Schedule  IV";#N/A,#N/A,FALSE,"Schedule V"}</definedName>
    <definedName name="tolet" hidden="1">{#N/A,#N/A,FALSE,"DIR-REP";#N/A,#N/A,FALSE,"AUD-REPORT";#N/A,#N/A,FALSE,"P7L&amp;BS";#N/A,#N/A,FALSE,"NOTES";#N/A,#N/A,FALSE,"FA";#N/A,#N/A,FALSE,"NOTES (2)";#N/A,#N/A,FALSE,"Schedule  IV";#N/A,#N/A,FALSE,"Schedule V"}</definedName>
    <definedName name="tony" hidden="1">{"Summary analysis",#N/A,FALSE,"Total";"OCPH analysis",#N/A,FALSE,"Total";"detail analysis",#N/A,FALSE,"Total"}</definedName>
    <definedName name="Top_N_Sorting">OFFSET(#REF!, 0, 0, 1, COUNTA(#REF!))</definedName>
    <definedName name="TopN_By_Fiscal_period">_xlfn.lambda(_xlpm.topncount,_xlpm.metric,_xlpm.fiscalperiod,_xlpm.fiscalrange,_xlpm.customerrange,_xlpm.metricnamerange,_xlpm.valuesrange, _xlfn.LET( _xlpm.customerrangefiltered,_xlfn._xlws.FILTER(_xlpm.customerrange,(_xlpm.fiscalrange=_xlpm.fiscalperiod)*(_xlpm.metricnamerange=_xlpm.metric)), _xlpm.valuesrangefiltered,_xlfn._xlws.FILTER(_xlpm.valuesrange,(_xlpm.fiscalrange=_xlpm.fiscalperiod)*(_xlpm.metricnamerange=_xlpm.metric)), _xlpm.allcustomerssorted,_xlfn.SORTBY(_xlpm.customerrangefiltered,_xlpm.valuesrangefiltered,-1), _xlpm.topncustomers,INDEX(_xlpm.allcustomerssorted,_xlfn.SEQUENCE(_xlpm.topncount)), _xlpm.topncustomers) )</definedName>
    <definedName name="TopN_Customers_By_Fiscal_period">_xlfn.lambda(_xlpm.topncount,_xlpm.metric,_xlpm.fiscalperiod,_xlpm.fiscalrange,_xlpm.customerrange,_xlpm.metricnamerange,_xlpm.valuesrange, _xlfn.LET( _xlpm.customerrangefiltered,_xlfn._xlws.FILTER(_xlpm.customerrange,(_xlpm.fiscalrange=_xlpm.fiscalperiod)*(_xlpm.metricnamerange=_xlpm.metric)), _xlpm.valuesrangefiltered,_xlfn._xlws.FILTER(_xlpm.valuesrange,(_xlpm.fiscalrange=_xlpm.fiscalperiod)*(_xlpm.metricnamerange=_xlpm.metric)), _xlpm.allcustomerssorted,_xlfn.SORTBY(_xlpm.customerrangefiltered,_xlpm.valuesrangefiltered,-1), _xlpm.topncustomers,INDEX(_xlpm.allcustomerssorted,_xlfn.SEQUENCE(_xlpm.topncount)), _xlpm.topncustomers) )</definedName>
    <definedName name="TopN_manual_sorting">OFFSET(#REF!, 0, 0, 1, COUNTA(#REF!))</definedName>
    <definedName name="TopN_test">_xlfn.lambda(_xlpm.firsttopn,_xlpm.secondtopn,_xlpm.metric,_xlpm.fiscalperiodarray,_xlpm.fiscalrange,_xlpm.customerrange,_xlpm.metricnamerange,_xlpm.valuesrange,_xlop.showremaininginothers,     _xlfn.LET(         _xlpm.showremaining, IF(_xlfn.isomitted(_xlpm.showremaininginothers), "no", _xlpm.showremaininginothers),          _xlpm.gettopnlist, _xlfn.lambda(_xlpm.n, _xlfn.reduce("", _xlpm.fiscalperiodarray, _xlfn.lambda(_xlpm.x,_xlpm.fiscalperiod,             _xlfn.vstack(_xlpm.x, TopN_By_Fiscal_period(_xlpm.n, _xlpm.metric, _xlpm.fiscalperiod, _xlpm.fiscalrange, _xlpm.customerrange, _xlpm.metricnamerange, _xlpm.valuesrange))))),          _xlpm.topfirstlist, IF(ISBLANK(_xlpm.firsttopn), "", _xlfn.UNIQUE(_xlpm.gettopnlist(_xlpm.firsttopn))),         _xlpm.topsecondlist, IF(ISBLANK(_xlpm.secondtopn), "", _xlfn.UNIQUE(_xlfn._xlws.FILTER(_xlpm.gettopnlist(_xlpm.secondtopn), ISNA(MATCH(_xlpm.gettopnlist(_xlpm.secondtopn), _xlpm.topfirstlist, 0))))),          _xlpm.otherslist, IF(OR(ISBLANK(_xlpm.showremaining), _xlpm.showremaining="no"),             "Others",             _xlfn.UNIQUE(_xlfn._xlws.FILTER(_xlpm.customerrange, ISNA(MATCH(_xlpm.customerrange, _xlfn.vstack(_xlpm.topfirstlist, _xlpm.topsecondlist), 0)) * (_xlpm.customerrange&lt;&gt;"")))         ),          _xlpm.finallist, _xlfn.vstack(             _xlfn.UNIQUE(_xlfn._xlws.FILTER(_xlpm.topfirstlist, _xlpm.topfirstlist&lt;&gt;"")),             "Top " &amp; TEXT(_xlpm.firsttopn, "0"),             _xlfn.UNIQUE(_xlfn._xlws.FILTER(_xlpm.topsecondlist, _xlpm.topsecondlist&lt;&gt;"")),             "Top " &amp; TEXT(_xlpm.firsttopn+1, "0") &amp; " - " &amp; TEXT(_xlpm.secondtopn, "0"),             _xlpm.otherslist         ),          _xlpm.finallist     ) )</definedName>
    <definedName name="TopNCountryInput">#REF!</definedName>
    <definedName name="TopNCustomerInput">#REF!</definedName>
    <definedName name="total" hidden="1">{"detail",#N/A,FALSE,"mfg";"summary",#N/A,FALSE,"mfg"}</definedName>
    <definedName name="TOTAL.TSET.NUMBER"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TOTAL_IN" hidden="1">{"Informes",#N/A,FALSE,"CA";"Informes",#N/A,FALSE,"CN";"Informes",#N/A,FALSE,"INVERSIONES";"Informes",#N/A,FALSE,"CN Oficial";"Informes",#N/A,FALSE,"CA Oficial";"Informes",#N/A,FALSE,"Res Datos Areas"}</definedName>
    <definedName name="TOTAL_INFORMES" hidden="1">{"Informes",#N/A,FALSE,"CA";"Informes",#N/A,FALSE,"CN";"Informes",#N/A,FALSE,"INVERSIONES";"Informes",#N/A,FALSE,"CN Oficial";"Informes",#N/A,FALSE,"CA Oficial";"Informes",#N/A,FALSE,"Res Datos Areas"}</definedName>
    <definedName name="TotalAssets" hidden="1">#REF!</definedName>
    <definedName name="TotalRevenue" hidden="1">#REF!</definedName>
    <definedName name="toto" hidden="1">{#N/A,#N/A,FALSE,"3";#N/A,#N/A,FALSE,"5";#N/A,#N/A,FALSE,"6";#N/A,#N/A,FALSE,"8";#N/A,#N/A,FALSE,"10";#N/A,#N/A,FALSE,"13";#N/A,#N/A,FALSE,"14";#N/A,#N/A,FALSE,"15";#N/A,#N/A,FALSE,"16"}</definedName>
    <definedName name="toto2" hidden="1">{#N/A,#N/A,FALSE,"3";#N/A,#N/A,FALSE,"5";#N/A,#N/A,FALSE,"6";#N/A,#N/A,FALSE,"8";#N/A,#N/A,FALSE,"10";#N/A,#N/A,FALSE,"13";#N/A,#N/A,FALSE,"14";#N/A,#N/A,FALSE,"15";#N/A,#N/A,FALSE,"16"}</definedName>
    <definedName name="tototo2" hidden="1">{#N/A,#N/A,FALSE,"3";#N/A,#N/A,FALSE,"5";#N/A,#N/A,FALSE,"6";#N/A,#N/A,FALSE,"8";#N/A,#N/A,FALSE,"10";#N/A,#N/A,FALSE,"13";#N/A,#N/A,FALSE,"14";#N/A,#N/A,FALSE,"15";#N/A,#N/A,FALSE,"16"}</definedName>
    <definedName name="tr"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trans" hidden="1">#REF!</definedName>
    <definedName name="Transf" hidden="1">{#N/A,#N/A,FALSE,"Cristal D'Oro (Tabela)";#N/A,#N/A,FALSE,"Cond Rio Tietê (Tabela)";#N/A,#N/A,FALSE,"Jacyr Leal (Tabela)";#N/A,#N/A,FALSE,"Paul Cézanne (Tabela)";#N/A,#N/A,FALSE,"Tom Jobim  (Tabela)"}</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ltla" hidden="1">{#N/A,#N/A,FALSE,"TB";#N/A,#N/A,FALSE,"DR";#N/A,#N/A,FALSE,"AR";#N/A,#N/A,FALSE,"BS";#N/A,#N/A,FALSE,"PL";#N/A,#N/A,FALSE,"NOTES";#N/A,#N/A,FALSE,"NOTES (2)";#N/A,#N/A,FALSE,"NOTES (3)";#N/A,#N/A,FALSE,"DPL";#N/A,#N/A,FALSE,"DPL"}</definedName>
    <definedName name="tre" hidden="1">{"pro_view",#N/A,FALSE,"EEFSNAP2";"rep_view",#N/A,FALSE,"EEFSNAP2"}</definedName>
    <definedName name="treeList" hidden="1">"00000000000000000000000000000000000000000000000000000000000000000000000000000000000000000000000000000000000000000000000000000000000000000000000000000000000000000000000000000000000000000000000000000000"</definedName>
    <definedName name="trhtrhy" hidden="1">{"Units A",#N/A,FALSE,"FY95SLS";"Units B",#N/A,FALSE,"FY95SLS"}</definedName>
    <definedName name="trh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triyuri" hidden="1">{"Pound Sterling",#N/A,TRUE,"PPD";"Pound Sterling",#N/A,TRUE,"Anaquest";"Pound Sterling",#N/A,TRUE,"Delta";"Pound Sterling",#N/A,TRUE,"INO"}</definedName>
    <definedName name="trjwjtr" hidden="1">{"Units A",#N/A,FALSE,"FY95SLS";"Units B",#N/A,FALSE,"FY95SLS"}</definedName>
    <definedName name="trmp" hidden="1">{#N/A,#N/A,FALSE,"A"}</definedName>
    <definedName name="trtlt" hidden="1">{#N/A,#N/A,FALSE,"TB";#N/A,#N/A,FALSE,"AR";#N/A,#N/A,FALSE,"BS";#N/A,#N/A,FALSE,"PL";#N/A,#N/A,FALSE,"NOTES";#N/A,#N/A,FALSE,"NOTES (2)";#N/A,#N/A,FALSE,"NOTES (3)";#N/A,#N/A,FALSE,"TAXC.INDEX";#N/A,#N/A,FALSE,"Schedule I";#N/A,#N/A,FALSE,"DPL";#N/A,#N/A,FALSE,"Schedule IV";#N/A,#N/A,FALSE,"Adjustments"}</definedName>
    <definedName name="truir" hidden="1">{"Pound Sterling",#N/A,TRUE,"PPD";"Pound Sterling",#N/A,TRUE,"Anaquest";"Pound Sterling",#N/A,TRUE,"Delta";"Pound Sterling",#N/A,TRUE,"INO"}</definedName>
    <definedName name="trurtu" hidden="1">{#N/A,#N/A,FALSE,"3";#N/A,#N/A,FALSE,"5";#N/A,#N/A,FALSE,"6";#N/A,#N/A,FALSE,"8";#N/A,#N/A,FALSE,"10";#N/A,#N/A,FALSE,"13";#N/A,#N/A,FALSE,"14";#N/A,#N/A,FALSE,"15";#N/A,#N/A,FALSE,"16"}</definedName>
    <definedName name="trurturturt" hidden="1">{#N/A,#N/A,FALSE,"3";#N/A,#N/A,FALSE,"5";#N/A,#N/A,FALSE,"6";#N/A,#N/A,FALSE,"8";#N/A,#N/A,FALSE,"10";#N/A,#N/A,FALSE,"13";#N/A,#N/A,FALSE,"14";#N/A,#N/A,FALSE,"15";#N/A,#N/A,FALSE,"16"}</definedName>
    <definedName name="trurtutru" hidden="1">{#N/A,#N/A,FALSE,"3";#N/A,#N/A,FALSE,"5";#N/A,#N/A,FALSE,"6";#N/A,#N/A,FALSE,"8";#N/A,#N/A,FALSE,"10";#N/A,#N/A,FALSE,"13";#N/A,#N/A,FALSE,"14";#N/A,#N/A,FALSE,"15";#N/A,#N/A,FALSE,"16"}</definedName>
    <definedName name="trutrturt" hidden="1">{#N/A,#N/A,FALSE,"3";#N/A,#N/A,FALSE,"5";#N/A,#N/A,FALSE,"6";#N/A,#N/A,FALSE,"8";#N/A,#N/A,FALSE,"10";#N/A,#N/A,FALSE,"13";#N/A,#N/A,FALSE,"14";#N/A,#N/A,FALSE,"15";#N/A,#N/A,FALSE,"16"}</definedName>
    <definedName name="tryeuyit" hidden="1">{#N/A,#N/A,FALSE,"Pharm";#N/A,#N/A,FALSE,"WWCM"}</definedName>
    <definedName name="trywty" hidden="1">{"Sum WW A",#N/A,FALSE,"FY95SLS";"Sum WW B",#N/A,FALSE,"FY95SLS";"Sum US A",#N/A,FALSE,"FY95SLS";"Sum US B",#N/A,FALSE,"FY95SLS";"Sum US Bocg",#N/A,FALSE,"FY95SLS";"Sum Can A",#N/A,FALSE,"FY95SLS";"Sum Can B",#N/A,FALSE,"FY95SLS";"Sum Europe",#N/A,FALSE,"FY95SLS";"Sum Row",#N/A,FALSE,"FY95SLS"}</definedName>
    <definedName name="ts" hidden="1">{"oct_res_comm",#N/A,FALSE,"VarToBud"}</definedName>
    <definedName name="tsllo" hidden="1">{#N/A,#N/A,FALSE,"TAXC.INDEX";#N/A,#N/A,FALSE,"Schedule I";#N/A,#N/A,FALSE,"Schedule  II";#N/A,#N/A,FALSE,"Schedule III"}</definedName>
    <definedName name="tsoa" hidden="1">{#N/A,#N/A,FALSE,"TB";#N/A,#N/A,FALSE,"AR";#N/A,#N/A,FALSE,"BS";#N/A,#N/A,FALSE,"PL";#N/A,#N/A,FALSE,"NOTES";#N/A,#N/A,FALSE,"NOTES (2)";#N/A,#N/A,FALSE,"NOTES (3)";#N/A,#N/A,FALSE,"TAXC.INDEX";#N/A,#N/A,FALSE,"Schedule I";#N/A,#N/A,FALSE,"DPL";#N/A,#N/A,FALSE,"Schedule IV";#N/A,#N/A,FALSE,"Adjustments"}</definedName>
    <definedName name="tsos" hidden="1">{#N/A,#N/A,FALSE,"TAXC.INDEX";#N/A,#N/A,FALSE,"Schedule I";#N/A,#N/A,FALSE,"Schedule  II";#N/A,#N/A,FALSE,"Schedule III";#N/A,#N/A,FALSE,"Schedule IV";#N/A,#N/A,FALSE,"Schedule IV (Cont'd)";#N/A,#N/A,FALSE,"Schedule V";#N/A,#N/A,FALSE,"Schedule VI";#N/A,#N/A,FALSE,"Schedule VII"}</definedName>
    <definedName name="tsot" hidden="1">{#N/A,#N/A,FALSE,"TB";#N/A,#N/A,FALSE,"DR";#N/A,#N/A,FALSE,"AR";#N/A,#N/A,FALSE,"PL";#N/A,#N/A,FALSE,"BS";#N/A,#N/A,FALSE,"NOTES";#N/A,#N/A,FALSE,"NOTES (2)";#N/A,#N/A,FALSE,"NOTES (3)";#N/A,#N/A,FALSE,"DPL";#N/A,#N/A,FALSE,"TAXC.INDEX";#N/A,#N/A,FALSE,"Schedule I";#N/A,#N/A,FALSE,"Adjustments"}</definedName>
    <definedName name="tt" hidden="1">{#N/A,#N/A,FALSE,"Umsatz EO BP";#N/A,#N/A,FALSE,"Umsatz EO OP";#N/A,#N/A,FALSE,"ER EO BP";#N/A,#N/A,FALSE,"ER EO OP";#N/A,#N/A,FALSE,"EA EO (2)";#N/A,#N/A,FALSE,"EA EO";#N/A,#N/A,FALSE,"EA EO (3)";#N/A,#N/A,FALSE,"EA EO (4)";#N/A,#N/A,FALSE,"KA EO  (2)";#N/A,#N/A,FALSE,"KA EO";#N/A,#N/A,FALSE,"KA EO  (3)";#N/A,#N/A,FALSE,"KA EO (4)"}</definedName>
    <definedName name="tt.8" hidden="1">{#N/A,#N/A,FALSE,"PMW Gruppe 99_98";#N/A,#N/A,FALSE,"PMW KG 98_99";#N/A,#N/A,FALSE,"PMW Inc. 99_98";#N/A,#N/A,FALSE,"PMW VTECH 99_98";#N/A,#N/A,FALSE,"PMW Thail. 99_98";#N/A,#N/A,FALSE,"PMW Canada 99_98";#N/A,#N/A,FALSE,"Währungsabw. 99_98"}</definedName>
    <definedName name="ttt" hidden="1">{#N/A,"PURCHM",FALSE,"Business Analysis";#N/A,"SPADD",FALSE,"Business Analysis"}</definedName>
    <definedName name="tttt" hidden="1">{#N/A,#N/A,FALSE,"Produkte Erw.";#N/A,#N/A,FALSE,"Produkte Plan";#N/A,#N/A,FALSE,"Leistungen Erw.";#N/A,#N/A,FALSE,"Leistungen Plan";#N/A,#N/A,FALSE,"KA Allg.Kosten (2)";#N/A,#N/A,FALSE,"KA All.Kosten"}</definedName>
    <definedName name="ttttt" hidden="1">{#N/A,#N/A,FALSE,"3";#N/A,#N/A,FALSE,"5";#N/A,#N/A,FALSE,"6";#N/A,#N/A,FALSE,"8";#N/A,#N/A,FALSE,"10";#N/A,#N/A,FALSE,"13";#N/A,#N/A,FALSE,"14";#N/A,#N/A,FALSE,"15";#N/A,#N/A,FALSE,"16"}</definedName>
    <definedName name="tttttttt" hidden="1">{#N/A,#N/A,FALSE,"3";#N/A,#N/A,FALSE,"5";#N/A,#N/A,FALSE,"6";#N/A,#N/A,FALSE,"8";#N/A,#N/A,FALSE,"10";#N/A,#N/A,FALSE,"13";#N/A,#N/A,FALSE,"14";#N/A,#N/A,FALSE,"15";#N/A,#N/A,FALSE,"16"}</definedName>
    <definedName name="ttzz" hidden="1">{#N/A,#N/A,FALSE,"Umsatz CH";#N/A,#N/A,FALSE,"ER CH";#N/A,#N/A,FALSE,"EA CH (2) ";#N/A,#N/A,FALSE,"EA CH";#N/A,#N/A,FALSE,"EA CH (3) ";#N/A,#N/A,FALSE,"EA CH (4)";#N/A,#N/A,FALSE,"KA CH";#N/A,#N/A,FALSE,"KA CH  (2)";#N/A,#N/A,FALSE,"KA CH  (3)";#N/A,#N/A,FALSE,"KA CH (4)"}</definedName>
    <definedName name="turd" hidden="1">{"detail",#N/A,FALSE,"mfg";"summary",#N/A,FALSE,"mfg"}</definedName>
    <definedName name="turu" hidden="1">{#N/A,#N/A,FALSE,"3";#N/A,#N/A,FALSE,"5";#N/A,#N/A,FALSE,"6";#N/A,#N/A,FALSE,"8";#N/A,#N/A,FALSE,"10";#N/A,#N/A,FALSE,"13";#N/A,#N/A,FALSE,"14";#N/A,#N/A,FALSE,"15";#N/A,#N/A,FALSE,"16"}</definedName>
    <definedName name="tuut" hidden="1">{#N/A,#N/A,FALSE,"3";#N/A,#N/A,FALSE,"5";#N/A,#N/A,FALSE,"6";#N/A,#N/A,FALSE,"8";#N/A,#N/A,FALSE,"10";#N/A,#N/A,FALSE,"13";#N/A,#N/A,FALSE,"14";#N/A,#N/A,FALSE,"15";#N/A,#N/A,FALSE,"16"}</definedName>
    <definedName name="tuytu" hidden="1">{#N/A,#N/A,FALSE,"3";#N/A,#N/A,FALSE,"5";#N/A,#N/A,FALSE,"6";#N/A,#N/A,FALSE,"8";#N/A,#N/A,FALSE,"10";#N/A,#N/A,FALSE,"13";#N/A,#N/A,FALSE,"14";#N/A,#N/A,FALSE,"15";#N/A,#N/A,FALSE,"16"}</definedName>
    <definedName name="t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wergsdf" hidden="1">{"Pound Sterling",#N/A,TRUE,"PPD";"Pound Sterling",#N/A,TRUE,"Anaquest";"Pound Sterling",#N/A,TRUE,"Delta";"Pound Sterling",#N/A,TRUE,"INO"}</definedName>
    <definedName name="twregfasd" hidden="1">{#N/A,#N/A,FALSE,"3";#N/A,#N/A,FALSE,"5";#N/A,#N/A,FALSE,"6";#N/A,#N/A,FALSE,"8";#N/A,#N/A,FALSE,"10";#N/A,#N/A,FALSE,"13";#N/A,#N/A,FALSE,"14";#N/A,#N/A,FALSE,"15";#N/A,#N/A,FALSE,"16"}</definedName>
    <definedName name="ty" hidden="1">{#N/A,#N/A,FALSE,"DIR-REP";#N/A,#N/A,FALSE,"AUD-REPORT";#N/A,#N/A,FALSE,"P7L&amp;BS";#N/A,#N/A,FALSE,"NOTES";#N/A,#N/A,FALSE,"FA";#N/A,#N/A,FALSE,"NOTES (2)";#N/A,#N/A,FALSE,"Schedule  IV";#N/A,#N/A,FALSE,"Schedule V"}</definedName>
    <definedName name="tyertqergt" hidden="1">{"US Dollars",#N/A,TRUE,"PPD";"US Dollar",#N/A,TRUE,"Anaquest";"US Dollar",#N/A,TRUE,"Delta";"US Dollar",#N/A,TRUE,"INO"}</definedName>
    <definedName name="tynm" hidden="1">{"apci",#N/A,FALSE,"Chem_CY";"eastman",#N/A,FALSE,"Eastman";"betz",#N/A,FALSE,"Betz";"great lakes",#N/A,FALSE,"Great_Lakes";"hercules",#N/A,FALSE,"Hercules Chem Seg Data";"rohm",#N/A,FALSE,"Rohm";"union carbide",#N/A,FALSE,"Union";"witco",#N/A,FALSE,"Witco"}</definedName>
    <definedName name="Type_1">#REF!</definedName>
    <definedName name="Type_2">#REF!</definedName>
    <definedName name="Type_3">#REF!</definedName>
    <definedName name="Type_4">#REF!</definedName>
    <definedName name="Type_5">#REF!</definedName>
    <definedName name="tyu" hidden="1">{"oct_res_comm",#N/A,FALSE,"VarToBud"}</definedName>
    <definedName name="tyui" hidden="1">{"ICD Details",#N/A,FALSE,"Current Yr";"ICD Details",#N/A,FALSE,"Budget";"ICD Details",#N/A,FALSE,"Prior Year"}</definedName>
    <definedName name="tyutytyi" hidden="1">{#N/A,#N/A,FALSE,"Pharm";#N/A,#N/A,FALSE,"WWCM"}</definedName>
    <definedName name="tyutyutyu" hidden="1">{#N/A,#N/A,FALSE,"3";#N/A,#N/A,FALSE,"5";#N/A,#N/A,FALSE,"6";#N/A,#N/A,FALSE,"8";#N/A,#N/A,FALSE,"10";#N/A,#N/A,FALSE,"13";#N/A,#N/A,FALSE,"14";#N/A,#N/A,FALSE,"15";#N/A,#N/A,FALSE,"16"}</definedName>
    <definedName name="tyyufkjkhjd" hidden="1">{#N/A,#N/A,FALSE,"Pharm";#N/A,#N/A,FALSE,"WWCM"}</definedName>
    <definedName name="tzt" hidden="1">{#N/A,#N/A,FALSE,"Umsatz HM";#N/A,#N/A,FALSE,"ER HM";#N/A,#N/A,FALSE,"EA HM  (2)";#N/A,#N/A,FALSE,"EA HM ";#N/A,#N/A,FALSE,"EA HM  (4)";#N/A,#N/A,FALSE,"EA HM  (3)";#N/A,#N/A,FALSE,"KA HM  (2)";#N/A,#N/A,FALSE,"KA HM";#N/A,#N/A,FALSE,"KA HM  (3)";#N/A,#N/A,FALSE,"KA HM (4)"}</definedName>
    <definedName name="tzutz.lkjkljk" hidden="1">{#N/A,#N/A,FALSE,"Umsatz CH";#N/A,#N/A,FALSE,"ER CH";#N/A,#N/A,FALSE,"EA CH (2) ";#N/A,#N/A,FALSE,"EA CH";#N/A,#N/A,FALSE,"EA CH (3) ";#N/A,#N/A,FALSE,"EA CH (4)";#N/A,#N/A,FALSE,"KA CH";#N/A,#N/A,FALSE,"KA CH  (2)";#N/A,#N/A,FALSE,"KA CH  (3)";#N/A,#N/A,FALSE,"KA CH (4)"}</definedName>
    <definedName name="u" hidden="1">{"'Internat.oper.netti'!$B$1:$J$25"}</definedName>
    <definedName name="uay" hidden="1">{#N/A,#N/A,FALSE,"DIR-REP";#N/A,#N/A,FALSE,"AUD-REPORT";#N/A,#N/A,FALSE,"P7L&amp;BS";#N/A,#N/A,FALSE,"NOTES";#N/A,#N/A,FALSE,"FA";#N/A,#N/A,FALSE,"NOTES (2)";#N/A,#N/A,FALSE,"Schedule  IV";#N/A,#N/A,FALSE,"Schedule V"}</definedName>
    <definedName name="udi" hidden="1">{#N/A,#N/A,FALSE,"00 P&amp;L vs 99"}</definedName>
    <definedName name="ueytu" hidden="1">{"Pound Sterling",#N/A,TRUE,"PPD";"Pound Sterling",#N/A,TRUE,"Anaquest";"Pound Sterling",#N/A,TRUE,"Delta";"Pound Sterling",#N/A,TRUE,"INO"}</definedName>
    <definedName name="ugfegfydilgfy" hidden="1">{"away stand alones",#N/A,FALSE,"Target"}</definedName>
    <definedName name="uh" hidden="1">{"detail",#N/A,FALSE,"mfg";"summary",#N/A,FALSE,"mfg"}</definedName>
    <definedName name="ui" hidden="1">{#N/A,#N/A,FALSE,"TB";#N/A,#N/A,FALSE,"AR";#N/A,#N/A,FALSE,"BS";#N/A,#N/A,FALSE,"PL";#N/A,#N/A,FALSE,"NOTES";#N/A,#N/A,FALSE,"NOTES (2)";#N/A,#N/A,FALSE,"NOTES (3)";#N/A,#N/A,FALSE,"TAXC.INDEX";#N/A,#N/A,FALSE,"Schedule I";#N/A,#N/A,FALSE,"DPL";#N/A,#N/A,FALSE,"Schedule IV";#N/A,#N/A,FALSE,"Adjustments"}</definedName>
    <definedName name="uidrtyue" hidden="1">{"Units A",#N/A,FALSE,"FY95SLS";"Units B",#N/A,FALSE,"FY95SLS"}</definedName>
    <definedName name="uiim" hidden="1">{"Pg1",#N/A,FALSE,"OpExYTDvsBud";"Pg2",#N/A,FALSE,"OpExYTDvsBud"}</definedName>
    <definedName name="uiluliuliul" hidden="1">{#N/A,#N/A,FALSE,"3";#N/A,#N/A,FALSE,"5";#N/A,#N/A,FALSE,"6";#N/A,#N/A,FALSE,"8";#N/A,#N/A,FALSE,"10";#N/A,#N/A,FALSE,"13";#N/A,#N/A,FALSE,"14";#N/A,#N/A,FALSE,"15";#N/A,#N/A,FALSE,"16"}</definedName>
    <definedName name="uiou" hidden="1">{#N/A,#N/A,FALSE,"TAXC.INDEX";#N/A,#N/A,FALSE,"Schedule I";#N/A,#N/A,FALSE,"Schedule  II";#N/A,#N/A,FALSE,"Schedule III"}</definedName>
    <definedName name="uiryuo" hidden="1">{"US Dollars",#N/A,TRUE,"PPD";"US Dollar",#N/A,TRUE,"Anaquest";"US Dollar",#N/A,TRUE,"Delta";"US Dollar",#N/A,TRUE,"INO"}</definedName>
    <definedName name="uiui" hidden="1">{#N/A,#N/A,FALSE,"Umsatz HM";#N/A,#N/A,FALSE,"ER HM";#N/A,#N/A,FALSE,"EA HM  (2)";#N/A,#N/A,FALSE,"EA HM ";#N/A,#N/A,FALSE,"EA HM  (4)";#N/A,#N/A,FALSE,"EA HM  (3)";#N/A,#N/A,FALSE,"KA HM  (2)";#N/A,#N/A,FALSE,"KA HM";#N/A,#N/A,FALSE,"KA HM  (3)";#N/A,#N/A,FALSE,"KA HM (4)"}</definedName>
    <definedName name="uiuriiuyjk" hidden="1">{"Pound Sterling",#N/A,TRUE,"PPD";"Pound Sterling",#N/A,TRUE,"Anaquest";"Pound Sterling",#N/A,TRUE,"Delta";"Pound Sterling",#N/A,TRUE,"INO"}</definedName>
    <definedName name="uiuyi" hidden="1">{#N/A,#N/A,FALSE,"3";#N/A,#N/A,FALSE,"5";#N/A,#N/A,FALSE,"6";#N/A,#N/A,FALSE,"8";#N/A,#N/A,FALSE,"10";#N/A,#N/A,FALSE,"13";#N/A,#N/A,FALSE,"14";#N/A,#N/A,FALSE,"15";#N/A,#N/A,FALSE,"16"}</definedName>
    <definedName name="uiuyo" hidden="1">{"Sum WW A",#N/A,FALSE,"FY95SLS";"Sum WW B",#N/A,FALSE,"FY95SLS";"Sum US A",#N/A,FALSE,"FY95SLS";"Sum US B",#N/A,FALSE,"FY95SLS";"Sum US Bocg",#N/A,FALSE,"FY95SLS";"Sum Can A",#N/A,FALSE,"FY95SLS";"Sum Can B",#N/A,FALSE,"FY95SLS";"Sum Europe",#N/A,FALSE,"FY95SLS";"Sum Row",#N/A,FALSE,"FY95SLS"}</definedName>
    <definedName name="uj" hidden="1">{#N/A,#N/A,FALSE,"DIR-REP";#N/A,#N/A,FALSE,"AUD-REPORT";#N/A,#N/A,FALSE,"P7L&amp;BS";#N/A,#N/A,FALSE,"NOTES";#N/A,#N/A,FALSE,"FA";#N/A,#N/A,FALSE,"NOTES (2)";#N/A,#N/A,FALSE,"Schedule  IV";#N/A,#N/A,FALSE,"Schedule V"}</definedName>
    <definedName name="uk" hidden="1">{"Sum WW A",#N/A,FALSE,"FY95SLS";"Sum WW B",#N/A,FALSE,"FY95SLS";"Sum US A",#N/A,FALSE,"FY95SLS";"Sum US B",#N/A,FALSE,"FY95SLS";"Sum US Bocg",#N/A,FALSE,"FY95SLS";"Sum Can A",#N/A,FALSE,"FY95SLS";"Sum Can B",#N/A,FALSE,"FY95SLS";"Sum Europe",#N/A,FALSE,"FY95SLS";"Sum Row",#N/A,FALSE,"FY95SLS"}</definedName>
    <definedName name="ukdkgh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ukyukluy" hidden="1">{"Pound Sterling",#N/A,TRUE,"PPD";"Pound Sterling",#N/A,TRUE,"Anaquest";"Pound Sterling",#N/A,TRUE,"Delta";"Pound Sterling",#N/A,TRUE,"INO"}</definedName>
    <definedName name="ul" hidden="1">{"Title",#N/A,TRUE,"Title";"Content",#N/A,TRUE,"Title";"Section1",#N/A,TRUE,"Title";"Output1",#N/A,TRUE,"Output";"Section2",#N/A,TRUE,"Title";"Graph1",#N/A,TRUE,"Output";"Section3",#N/A,TRUE,"Title";"Graph2",#N/A,TRUE,"Output";"Section4",#N/A,TRUE,"Title";"Gap1",#N/A,TRUE,"Output";"Section5",#N/A,TRUE,"Title";"Model_all",#N/A,TRUE,"Autostrade S.p.A."}</definedName>
    <definedName name="ULTIMOCAD">#REF!</definedName>
    <definedName name="ULTIMOEUR">#REF!</definedName>
    <definedName name="ULTIMOHKD">#REF!</definedName>
    <definedName name="ULTIMONOK">#REF!</definedName>
    <definedName name="ULTIMOSAR">#REF!</definedName>
    <definedName name="ULTIMOTRY">#REF!</definedName>
    <definedName name="ULTIMOUSD">#REF!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indicator">#REF!</definedName>
    <definedName name="uoro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UPDATEACT" hidden="1">TRUE()</definedName>
    <definedName name="UPDATEADHOC" hidden="1">FALSE()</definedName>
    <definedName name="UPDATEBUD" hidden="1">FALSE()</definedName>
    <definedName name="UPDATELY" hidden="1">TRUE()</definedName>
    <definedName name="UPDATEPRG" hidden="1">FALSE()</definedName>
    <definedName name="uq" hidden="1">{"detail",#N/A,FALSE,"mfg";"summary",#N/A,FALSE,"mfg"}</definedName>
    <definedName name="URGENT" hidden="1">{#N/A,#N/A,FALSE,"AHF"}</definedName>
    <definedName name="ut" hidden="1">{#N/A,"PURCHM",FALSE,"Business Analysis";#N/A,"SPADD",FALSE,"Business Analysis"}</definedName>
    <definedName name="utyu" hidden="1">{#N/A,#N/A,FALSE,"3";#N/A,#N/A,FALSE,"5";#N/A,#N/A,FALSE,"6";#N/A,#N/A,FALSE,"8";#N/A,#N/A,FALSE,"10";#N/A,#N/A,FALSE,"13";#N/A,#N/A,FALSE,"14";#N/A,#N/A,FALSE,"15";#N/A,#N/A,FALSE,"16"}</definedName>
    <definedName name="uu" hidden="1">{#N/A,#N/A,FALSE,"TAXC.INDEX";#N/A,#N/A,FALSE,"Schedule I";#N/A,#N/A,FALSE,"Schedule  II";#N/A,#N/A,FALSE,"Schedule III"}</definedName>
    <definedName name="uu.kk" hidden="1">{#N/A,#N/A,FALSE,"KA CH  (2)"}</definedName>
    <definedName name="üü.l" hidden="1">{#N/A,#N/A,FALSE,"Umsatz EO BP";#N/A,#N/A,FALSE,"Umsatz EO OP";#N/A,#N/A,FALSE,"ER EO BP";#N/A,#N/A,FALSE,"ER EO OP";#N/A,#N/A,FALSE,"EA EO (2)";#N/A,#N/A,FALSE,"EA EO";#N/A,#N/A,FALSE,"EA EO (3)";#N/A,#N/A,FALSE,"EA EO (4)";#N/A,#N/A,FALSE,"KA EO  (2)";#N/A,#N/A,FALSE,"KA EO";#N/A,#N/A,FALSE,"KA EO  (3)";#N/A,#N/A,FALSE,"KA EO (4)"}</definedName>
    <definedName name="uuu" hidden="1">{#N/A,#N/A,TRUE,"COVER";#N/A,#N/A,TRUE,"DIR";#N/A,#N/A,TRUE,"AUDIT"}</definedName>
    <definedName name="üüü" hidden="1">{#N/A,#N/A,FALSE,"Umsatz HM";#N/A,#N/A,FALSE,"ER HM";#N/A,#N/A,FALSE,"EA HM  (2)";#N/A,#N/A,FALSE,"EA HM ";#N/A,#N/A,FALSE,"EA HM  (4)";#N/A,#N/A,FALSE,"EA HM  (3)";#N/A,#N/A,FALSE,"KA HM  (2)";#N/A,#N/A,FALSE,"KA HM";#N/A,#N/A,FALSE,"KA HM  (3)";#N/A,#N/A,FALSE,"KA HM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u" hidden="1">1/eurextofrf</definedName>
    <definedName name="uyikuyik" hidden="1">{#N/A,#N/A,FALSE,"3";#N/A,#N/A,FALSE,"5";#N/A,#N/A,FALSE,"6";#N/A,#N/A,FALSE,"8";#N/A,#N/A,FALSE,"10";#N/A,#N/A,FALSE,"13";#N/A,#N/A,FALSE,"14";#N/A,#N/A,FALSE,"15";#N/A,#N/A,FALSE,"16"}</definedName>
    <definedName name="uyirui"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uy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hidden="1">{#N/A,"PURCHM",FALSE,"Business Analysis";#N/A,"SPADD",FALSE,"Business Analysis"}</definedName>
    <definedName name="uztuz" hidden="1">{#N/A,#N/A,FALSE,"Umsatz OK";#N/A,#N/A,FALSE,"ER OK ";#N/A,#N/A,FALSE,"EA OK (2)";#N/A,#N/A,FALSE,"EA OK";#N/A,#N/A,FALSE,"EA OK (3)";#N/A,#N/A,FALSE,"EA OK (4)";#N/A,#N/A,FALSE,"KA OK  (2)";#N/A,#N/A,FALSE,"KA OK";#N/A,#N/A,FALSE,"KA OK  (3)";#N/A,#N/A,FALSE,"KA OK (4)"}</definedName>
    <definedName name="uzuztt" hidden="1">{#N/A,#N/A,FALSE,"Umsatz HM";#N/A,#N/A,FALSE,"ER HM";#N/A,#N/A,FALSE,"EA HM  (2)";#N/A,#N/A,FALSE,"EA HM ";#N/A,#N/A,FALSE,"EA HM  (4)";#N/A,#N/A,FALSE,"EA HM  (3)";#N/A,#N/A,FALSE,"KA HM  (2)";#N/A,#N/A,FALSE,"KA HM";#N/A,#N/A,FALSE,"KA HM  (3)";#N/A,#N/A,FALSE,"KA HM (4)"}</definedName>
    <definedName name="v" hidden="1">{#N/A,#N/A,FALSE,"Umsatz CH";#N/A,#N/A,FALSE,"ER CH";#N/A,#N/A,FALSE,"EA CH (2) ";#N/A,#N/A,FALSE,"EA CH";#N/A,#N/A,FALSE,"EA CH (3) ";#N/A,#N/A,FALSE,"EA CH (4)";#N/A,#N/A,FALSE,"KA CH";#N/A,#N/A,FALSE,"KA CH  (2)";#N/A,#N/A,FALSE,"KA CH  (3)";#N/A,#N/A,FALSE,"KA CH (4)"}</definedName>
    <definedName name="v.1" hidden="1">{#N/A,#N/A,FALSE,"Umsatz HM";#N/A,#N/A,FALSE,"ER HM";#N/A,#N/A,FALSE,"EA HM  (2)";#N/A,#N/A,FALSE,"EA HM ";#N/A,#N/A,FALSE,"EA HM  (4)";#N/A,#N/A,FALSE,"EA HM  (3)";#N/A,#N/A,FALSE,"KA HM  (2)";#N/A,#N/A,FALSE,"KA HM";#N/A,#N/A,FALSE,"KA HM  (3)";#N/A,#N/A,FALSE,"KA HM (4)"}</definedName>
    <definedName name="v.1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hidden="1">{#N/A,#N/A,FALSE,"Produkte Erw.";#N/A,#N/A,FALSE,"Produkte Plan";#N/A,#N/A,FALSE,"Leistungen Erw.";#N/A,#N/A,FALSE,"Leistungen Plan";#N/A,#N/A,FALSE,"KA Allg.Kosten (2)";#N/A,#N/A,FALSE,"KA All.Kosten"}</definedName>
    <definedName name="val" hidden="1">{"detail",#N/A,FALSE,"mfg";"summary",#N/A,FALSE,"mfg"}</definedName>
    <definedName name="vamnos" hidden="1">#REF!</definedName>
    <definedName name="vay" hidden="1">{#N/A,#N/A,TRUE,"COVER";#N/A,#N/A,TRUE,"DIR";#N/A,#N/A,TRUE,"AUDIT"}</definedName>
    <definedName name="vbadfga"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vbhj" hidden="1">{#N/A,"PURCHM",FALSE,"Business Analysis";#N/A,"SPADD",FALSE,"Business Analysis"}</definedName>
    <definedName name="vbnm" hidden="1">{"net assets",#N/A,FALSE,"summary";"asset turnover",#N/A,FALSE,"summary";"orona",#N/A,FALSE,"summary"}</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 hidden="1">"c116"</definedName>
    <definedName name="vc_01" hidden="1">#REF!</definedName>
    <definedName name="vcb" hidden="1">{#N/A,#N/A,FALSE,"3";#N/A,#N/A,FALSE,"5";#N/A,#N/A,FALSE,"6";#N/A,#N/A,FALSE,"8";#N/A,#N/A,FALSE,"10";#N/A,#N/A,FALSE,"13";#N/A,#N/A,FALSE,"14";#N/A,#N/A,FALSE,"15";#N/A,#N/A,FALSE,"16"}</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g" hidden="1">{#N/A,#N/A,FALSE,"TB";#N/A,#N/A,FALSE,"DR";#N/A,#N/A,FALSE,"AR";#N/A,#N/A,FALSE,"BS";#N/A,#N/A,FALSE,"PL";#N/A,#N/A,FALSE,"NOTES";#N/A,#N/A,FALSE,"NOTES (2)";#N/A,#N/A,FALSE,"NOTES (3)";#N/A,#N/A,FALSE,"DPL";#N/A,#N/A,FALSE,"DPL"}</definedName>
    <definedName name="vcncvnc"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vcncvncnb" hidden="1">{"comps",#N/A,FALSE,"HANDPACK";"footnotes",#N/A,FALSE,"HANDPACK"}</definedName>
    <definedName name="vcvc" hidden="1">{"Polymers Details",#N/A,FALSE,"Current Yr";"Polymer Details",#N/A,FALSE,"Budget";"Polymer Details",#N/A,FALSE,"Prior Year"}</definedName>
    <definedName name="vcvcv" hidden="1">{#N/A,#N/A,FALSE,"Umsatz EO BP";#N/A,#N/A,FALSE,"Umsatz EO OP";#N/A,#N/A,FALSE,"ER EO BP";#N/A,#N/A,FALSE,"ER EO OP";#N/A,#N/A,FALSE,"EA EO (2)";#N/A,#N/A,FALSE,"EA EO";#N/A,#N/A,FALSE,"EA EO (3)";#N/A,#N/A,FALSE,"EA EO (4)";#N/A,#N/A,FALSE,"KA EO  (2)";#N/A,#N/A,FALSE,"KA EO";#N/A,#N/A,FALSE,"KA EO  (3)";#N/A,#N/A,FALSE,"KA EO (4)"}</definedName>
    <definedName name="vcx" hidden="1">{"YD PACKAGE",#N/A,FALSE,"YTD"}</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enga" hidden="1">#REF!</definedName>
    <definedName name="version1" hidden="1">{"'Internat.oper.netti'!$B$1:$J$25"}</definedName>
    <definedName name="VersionNumber" hidden="1">"4.5.5708"</definedName>
    <definedName name="vf" hidden="1">{#N/A,"PURADD",FALSE,"Business Analysis";#N/A,"PURSPP",FALSE,"Business Analysis";#N/A,"CTGIND",FALSE,"Business Analysis";#N/A,"PURCHM",FALSE,"Business Analysis";#N/A,"SPADD",FALSE,"Business Analysis";#N/A,"EPOXY",FALSE,"Business Analysis";#N/A,"PURPER",FALSE,"Business Analysis"}</definedName>
    <definedName name="vfcd" hidden="1">{"QTD",#N/A,FALSE,"SUM"}</definedName>
    <definedName name="vfhy" hidden="1">{"GENERALH2",#N/A,FALSE,"CM"}</definedName>
    <definedName name="vgf" hidden="1">{"GENERALH2",#N/A,FALSE,"CM"}</definedName>
    <definedName name="vgkt" hidden="1">{#N/A,#N/A,FALSE,"DIR-REP";#N/A,#N/A,FALSE,"AUD-REPORT";#N/A,#N/A,FALSE,"P7L&amp;BS";#N/A,#N/A,FALSE,"NOTES";#N/A,#N/A,FALSE,"FA";#N/A,#N/A,FALSE,"NOTES (2)";#N/A,#N/A,FALSE,"Schedule  IV";#N/A,#N/A,FALSE,"Schedule V"}</definedName>
    <definedName name="vhj" hidden="1">#REF!</definedName>
    <definedName name="vhvhvhvhvhv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Viastar" hidden="1">{#N/A,#N/A,FALSE,"Assumptions";#N/A,#N/A,FALSE,"N-IS-Sum";#N/A,#N/A,FALSE,"N-St-Sum";#N/A,#N/A,FALSE,"Inc Stmt";#N/A,#N/A,FALSE,"Stats"}</definedName>
    <definedName name="vin" hidden="1">#REF!</definedName>
    <definedName name="vince" hidden="1">{#N/A,#N/A,TRUE,"Cover sheet";#N/A,#N/A,TRUE,"DCF analysis";#N/A,#N/A,TRUE,"WACC calculation"}</definedName>
    <definedName name="vj" hidden="1">{#N/A,#N/A,TRUE,"COVER";#N/A,#N/A,TRUE,"DIR";#N/A,#N/A,TRUE,"AUDIT"}</definedName>
    <definedName name="vjdfo" hidden="1">{#N/A,#N/A,FALSE,"DIR-REP";#N/A,#N/A,FALSE,"AUD-REPORT";#N/A,#N/A,FALSE,"P7L&amp;BS";#N/A,#N/A,FALSE,"NOTES";#N/A,#N/A,FALSE,"FA";#N/A,#N/A,FALSE,"NOTES (2)";#N/A,#N/A,FALSE,"Schedule  IV";#N/A,#N/A,FALSE,"Schedule V"}</definedName>
    <definedName name="vjo" hidden="1">{#N/A,#N/A,FALSE,"TB";#N/A,#N/A,FALSE,"AR";#N/A,#N/A,FALSE,"BS";#N/A,#N/A,FALSE,"PL";#N/A,#N/A,FALSE,"NOTES";#N/A,#N/A,FALSE,"NOTES (2)";#N/A,#N/A,FALSE,"NOTES (3)";#N/A,#N/A,FALSE,"TAXC.INDEX";#N/A,#N/A,FALSE,"Schedule I";#N/A,#N/A,FALSE,"DPL";#N/A,#N/A,FALSE,"Schedule IV";#N/A,#N/A,FALSE,"Adjustments"}</definedName>
    <definedName name="vlle" hidden="1">{#N/A,#N/A,FALSE,"DIR-REP";#N/A,#N/A,FALSE,"AUD-REPORT";#N/A,#N/A,FALSE,"P7L&amp;BS";#N/A,#N/A,FALSE,"NOTES";#N/A,#N/A,FALSE,"FA";#N/A,#N/A,FALSE,"NOTES (2)";#N/A,#N/A,FALSE,"Schedule  IV";#N/A,#N/A,FALSE,"Schedule V"}</definedName>
    <definedName name="vn.2" hidden="1">{#N/A,#N/A,FALSE,"KA CH  (2)"}</definedName>
    <definedName name="vn.9" hidden="1">{#N/A,#N/A,FALSE,"Umsatz CH";#N/A,#N/A,FALSE,"ER CH";#N/A,#N/A,FALSE,"EA CH (2) ";#N/A,#N/A,FALSE,"EA CH";#N/A,#N/A,FALSE,"EA CH (3) ";#N/A,#N/A,FALSE,"EA CH (4)";#N/A,#N/A,FALSE,"KA CH";#N/A,#N/A,FALSE,"KA CH  (2)";#N/A,#N/A,FALSE,"KA CH  (3)";#N/A,#N/A,FALSE,"KA CH (4)"}</definedName>
    <definedName name="vnb" hidden="1">{#N/A,#N/A,FALSE,"3";#N/A,#N/A,FALSE,"5";#N/A,#N/A,FALSE,"6";#N/A,#N/A,FALSE,"8";#N/A,#N/A,FALSE,"10";#N/A,#N/A,FALSE,"13";#N/A,#N/A,FALSE,"14";#N/A,#N/A,FALSE,"15";#N/A,#N/A,FALSE,"16"}</definedName>
    <definedName name="vo" hidden="1">{"consolidated",#N/A,FALSE,"Sheet1";"cms",#N/A,FALSE,"Sheet1";"fse",#N/A,FALSE,"Sheet1"}</definedName>
    <definedName name="vqefge" hidden="1">{"Units A",#N/A,FALSE,"FY95SLS";"Units B",#N/A,FALSE,"FY95SLS"}</definedName>
    <definedName name="vv" hidden="1">{#N/A,#N/A,FALSE,"IS US";#N/A,#N/A,FALSE,"BS US";#N/A,#N/A,FALSE,"IS LOCAL";#N/A,#N/A,FALSE,"BS INPUT";#N/A,#N/A,FALSE,"EQUITY";#N/A,#N/A,FALSE,"LOCAL ADJ";#N/A,#N/A,FALSE,"GAAP ADJ"}</definedName>
    <definedName name="VVV" hidden="1">{#N/A,#N/A,FALSE,"CA";#N/A,#N/A,FALSE,"CN";#N/A,#N/A,FALSE,"Inv";#N/A,#N/A,FALSE,"Inv Acc";"Miguel_balance",#N/A,FALSE,"Bal";#N/A,#N/A,FALSE,"Plantilla";#N/A,#N/A,FALSE,"CA (2)";#N/A,#N/A,FALSE,"CN (2)"}</definedName>
    <definedName name="vvvvvvvvvv" hidden="1">{"net assets",#N/A,FALSE,"summary";"asset turnover",#N/A,FALSE,"summary";"orona",#N/A,FALSE,"summary"}</definedName>
    <definedName name="vz" hidden="1">{"detail",#N/A,FALSE,"mfg";"summary",#N/A,FALSE,"mfg"}</definedName>
    <definedName name="w" hidden="1">{#N/A,"PURCHM",FALSE,"Business Analysis";#N/A,"SPADD",FALSE,"Business Analysis"}</definedName>
    <definedName name="w.l" hidden="1">{#N/A,#N/A,FALSE,"Umsatz HM";#N/A,#N/A,FALSE,"ER HM";#N/A,#N/A,FALSE,"EA HM  (2)";#N/A,#N/A,FALSE,"EA HM ";#N/A,#N/A,FALSE,"EA HM  (4)";#N/A,#N/A,FALSE,"EA HM  (3)";#N/A,#N/A,FALSE,"KA HM  (2)";#N/A,#N/A,FALSE,"KA HM";#N/A,#N/A,FALSE,"KA HM  (3)";#N/A,#N/A,FALSE,"KA HM (4)"}</definedName>
    <definedName name="w2f" hidden="1">{"QTD_LPO2N2",#N/A,FALSE,"QTD";"QTD_HYCO",#N/A,FALSE,"QTD";"QTD_LOUISIANA",#N/A,FALSE,"QTD";"QTD_GENERALH2",#N/A,FALSE,"QTD";"QTD_PACKAGE",#N/A,FALSE,"QTD";"QTD_PRS",#N/A,FALSE,"QTD";"QTD_OTHER",#N/A,FALSE,"QTD"}</definedName>
    <definedName name="w2r5" hidden="1">{"QTD_OTHER",#N/A,FALSE,"QTD"}</definedName>
    <definedName name="wa" hidden="1">{"apci",#N/A,FALSE,"Chem_CY";"eastman",#N/A,FALSE,"Eastman";"betz",#N/A,FALSE,"Betz";"great lakes",#N/A,FALSE,"Great_Lakes";"hercules",#N/A,FALSE,"Hercules Chem Seg Data";"rohm",#N/A,FALSE,"Rohm";"union carbide",#N/A,FALSE,"Union";"witco",#N/A,FALSE,"Witco"}</definedName>
    <definedName name="waccnew" hidden="1">{#N/A,#N/A,FALSE,"Aging Summary";#N/A,#N/A,FALSE,"Ratio Analysis";#N/A,#N/A,FALSE,"Test 120 Day Accts";#N/A,#N/A,FALSE,"Tickmarks"}</definedName>
    <definedName name="wae.2" hidden="1">{#N/A,#N/A,FALSE,"Umsatz CH";#N/A,#N/A,FALSE,"ER CH";#N/A,#N/A,FALSE,"EA CH (2) ";#N/A,#N/A,FALSE,"EA CH";#N/A,#N/A,FALSE,"EA CH (3) ";#N/A,#N/A,FALSE,"EA CH (4)";#N/A,#N/A,FALSE,"KA CH";#N/A,#N/A,FALSE,"KA CH  (2)";#N/A,#N/A,FALSE,"KA CH  (3)";#N/A,#N/A,FALSE,"KA CH (4)"}</definedName>
    <definedName name="wae.er_er." hidden="1">{#N/A,#N/A,FALSE,"Umsatz EO BP";#N/A,#N/A,FALSE,"Umsatz EO OP";#N/A,#N/A,FALSE,"ER EO BP";#N/A,#N/A,FALSE,"ER EO OP";#N/A,#N/A,FALSE,"EA EO (2)";#N/A,#N/A,FALSE,"EA EO";#N/A,#N/A,FALSE,"EA EO (3)";#N/A,#N/A,FALSE,"EA EO (4)";#N/A,#N/A,FALSE,"KA EO  (2)";#N/A,#N/A,FALSE,"KA EO";#N/A,#N/A,FALSE,"KA EO  (3)";#N/A,#N/A,FALSE,"KA EO (4)"}</definedName>
    <definedName name="was" hidden="1">{#N/A,#N/A,FALSE,"Sales Graph";#N/A,#N/A,FALSE,"BUC Graph";#N/A,#N/A,FALSE,"P&amp;L - YTD"}</definedName>
    <definedName name="Watsco" hidden="1">{#N/A,#N/A,FALSE,"Eastern";#N/A,#N/A,FALSE,"Western"}</definedName>
    <definedName name="way" hidden="1">{#N/A,#N/A,FALSE,"CONTENTS";#N/A,#N/A,FALSE,"DR";#N/A,#N/A,FALSE,"PL";#N/A,#N/A,FALSE,"BS";#N/A,#N/A,FALSE,"Cash Flow";#N/A,#N/A,FALSE,"NOTES";#N/A,#N/A,FALSE,"NOTES (FA)";#N/A,#N/A,FALSE,"Notes(3)";#N/A,#N/A,FALSE,"NOTES (4)";#N/A,#N/A,FALSE,"DP&amp;L";#N/A,#N/A,FALSE,"EXPENSES";#N/A,#N/A,FALSE,"EXPENSES-1"}</definedName>
    <definedName name="wb" hidden="1">{#N/A,#N/A,FALSE,"Pharm";#N/A,#N/A,FALSE,"WWCM"}</definedName>
    <definedName name="wc" hidden="1">{#N/A,#N/A,FALSE,"Pharm";#N/A,#N/A,FALSE,"WWCM"}</definedName>
    <definedName name="wcom" hidden="1">{"IS",#N/A,FALSE,"IS";"RPTIS",#N/A,FALSE,"RPTIS";"STATS",#N/A,FALSE,"STATS";"BS",#N/A,FALSE,"BS"}</definedName>
    <definedName name="wcy" hidden="1">{"YD PRS",#N/A,FALSE,"YTD"}</definedName>
    <definedName name="we" hidden="1">{#N/A,#N/A,FALSE,"Pharm";#N/A,#N/A,FALSE,"WWCM"}</definedName>
    <definedName name="we.3" hidden="1">{#N/A,#N/A,FALSE,"PMW Gruppe 99_98";#N/A,#N/A,FALSE,"PMW KG 98_99";#N/A,#N/A,FALSE,"PMW Inc. 99_98";#N/A,#N/A,FALSE,"PMW VTECH 99_98";#N/A,#N/A,FALSE,"PMW Thail. 99_98";#N/A,#N/A,FALSE,"PMW Canada 99_98";#N/A,#N/A,FALSE,"Währungsabw. 99_98"}</definedName>
    <definedName name="we.gb.gg" hidden="1">{#N/A,#N/A,FALSE,"Umsatz HM";#N/A,#N/A,FALSE,"ER HM";#N/A,#N/A,FALSE,"EA HM  (2)";#N/A,#N/A,FALSE,"EA HM ";#N/A,#N/A,FALSE,"EA HM  (4)";#N/A,#N/A,FALSE,"EA HM  (3)";#N/A,#N/A,FALSE,"KA HM  (2)";#N/A,#N/A,FALSE,"KA HM";#N/A,#N/A,FALSE,"KA HM  (3)";#N/A,#N/A,FALSE,"KA HM (4)"}</definedName>
    <definedName name="we3x" hidden="1">{"QTD_LPO2N2",#N/A,FALSE,"QTD"}</definedName>
    <definedName name="weaw" hidden="1">{"YTD",#N/A,FALSE,"SUM"}</definedName>
    <definedName name="weawe" hidden="1">{"QTD_HYCO",#N/A,FALSE,"QTD"}</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hidden="1">{"QTD_PRS",#N/A,FALSE,"QTD"}</definedName>
    <definedName name="wecsd" hidden="1">{"sales growth",#N/A,FALSE,"summary";"oper income",#N/A,FALSE,"summary";"oros rank",#N/A,FALSE,"summary";"net assets",#N/A,FALSE,"summary";"asset turnover",#N/A,FALSE,"summary";"orona",#N/A,FALSE,"summary"}</definedName>
    <definedName name="wed" hidden="1">{#N/A,#N/A,FALSE,"Aging Summary";#N/A,#N/A,FALSE,"Ratio Analysis";#N/A,#N/A,FALSE,"Test 120 Day Accts";#N/A,#N/A,FALSE,"Tickmarks"}</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hidden="1">{"overview",#N/A,FALSE,"summary";"net assets",#N/A,FALSE,"summary";"asset turnover",#N/A,FALSE,"summary";"orona",#N/A,FALSE,"summary"}</definedName>
    <definedName name="wee" hidden="1">{#N/A,#N/A,FALSE,"KA CH  (2)"}</definedName>
    <definedName name="wefd" hidden="1">{"werbung",#N/A,FALSE,"GuV9900-0399";"betrieb",#N/A,FALSE,"GuV9900-0399";"personal",#N/A,FALSE,"GuV9900-0399";"tvg",#N/A,FALSE,"GuV9900-0399";"verwaltung",#N/A,FALSE,"GuV9900-0399"}</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gji" hidden="1">{"Sum WW A",#N/A,FALSE,"FY95SLS";"Sum WW B",#N/A,FALSE,"FY95SLS";"Sum US A",#N/A,FALSE,"FY95SLS";"Sum US B",#N/A,FALSE,"FY95SLS";"Sum US Bocg",#N/A,FALSE,"FY95SLS";"Sum Can A",#N/A,FALSE,"FY95SLS";"Sum Can B",#N/A,FALSE,"FY95SLS";"Sum Europe",#N/A,FALSE,"FY95SLS";"Sum Row",#N/A,FALSE,"FY95SLS"}</definedName>
    <definedName name="wei.units" hidden="1">{"Units A",#N/A,FALSE,"FY95SLS";"Units B",#N/A,FALSE,"FY95SLS"}</definedName>
    <definedName name="weix" hidden="1">{"Comp_of_Price_Effect",#N/A,FALSE,"QTRDPVAR"}</definedName>
    <definedName name="wels" hidden="1">{#N/A,#N/A,FALSE,"TAXC.INDEX";#N/A,#N/A,FALSE,"Schedule I";#N/A,#N/A,FALSE,"Schedule  II";#N/A,#N/A,FALSE,"Schedule III"}</definedName>
    <definedName name="wen.gb._hm." hidden="1">{#N/A,#N/A,FALSE,"Umsatz HM";#N/A,#N/A,FALSE,"ER HM";#N/A,#N/A,FALSE,"EA HM  (2)";#N/A,#N/A,FALSE,"EA HM ";#N/A,#N/A,FALSE,"EA HM  (4)";#N/A,#N/A,FALSE,"EA HM  (3)";#N/A,#N/A,FALSE,"KA HM  (2)";#N/A,#N/A,FALSE,"KA HM";#N/A,#N/A,FALSE,"KA HM  (3)";#N/A,#N/A,FALSE,"KA HM (4)"}</definedName>
    <definedName name="wend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eop" hidden="1">{"oct_res_comm",#N/A,FALSE,"VarToBud"}</definedName>
    <definedName name="wer" hidden="1">{#N/A,#N/A,FALSE,"TB";#N/A,#N/A,FALSE,"AR";#N/A,#N/A,FALSE,"BS";#N/A,#N/A,FALSE,"PL";#N/A,#N/A,FALSE,"NOTES";#N/A,#N/A,FALSE,"NOTES (2)";#N/A,#N/A,FALSE,"NOTES (3)";#N/A,#N/A,FALSE,"TAXC.INDEX";#N/A,#N/A,FALSE,"Schedule I";#N/A,#N/A,FALSE,"DPL";#N/A,#N/A,FALSE,"Schedule IV";#N/A,#N/A,FALSE,"Adjustments"}</definedName>
    <definedName name="wer.g" hidden="1">{#N/A,#N/A,FALSE,"KA CH  (2)"}</definedName>
    <definedName name="werrr" hidden="1">{#N/A,#N/A,FALSE,"Pharm";#N/A,#N/A,FALSE,"WWCM"}</definedName>
    <definedName name="wert" hidden="1">{#N/A,"PURADD",FALSE,"Business Analysis";#N/A,"PURSPP",FALSE,"Business Analysis";#N/A,"CTGIND",FALSE,"Business Analysis";#N/A,"PURCHM",FALSE,"Business Analysis";#N/A,"SPADD",FALSE,"Business Analysis";#N/A,"EPOXY",FALSE,"Business Analysis";#N/A,"PURPER",FALSE,"Business Analysis"}</definedName>
    <definedName name="Westlake" hidden="1">{#N/A,#N/A,FALSE,"A"}</definedName>
    <definedName name="wetqe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ew"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e" hidden="1">{"LOUISIANA",#N/A,FALSE,"CM"}</definedName>
    <definedName name="wews" hidden="1">{"pro_view",#N/A,FALSE,"EEFSNAP2";"rep_view",#N/A,FALSE,"EEFSNAP2"}</definedName>
    <definedName name="weza" hidden="1">{"QTD_PACKAGE",#N/A,FALSE,"QTD"}</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hidden="1">{"YD PACKAGE",#N/A,FALSE,"YTD"}</definedName>
    <definedName name="wfeab" hidden="1">{"werbung",#N/A,FALSE,"GuV9900-0399";"betrieb",#N/A,FALSE,"GuV9900-0399";"personal",#N/A,FALSE,"GuV9900-0399";"tvg",#N/A,FALSE,"GuV9900-0399";"verwaltung",#N/A,FALSE,"GuV9900-0399"}</definedName>
    <definedName name="what"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ever" hidden="1">{#N/A,#N/A,FALSE,"CHANGES";#N/A,#N/A,FALSE,"PROD SUMMARY";#N/A,#N/A,FALSE,"1995 PO SUM";#N/A,#N/A,FALSE,"1995 GEOG SUM";#N/A,#N/A,FALSE,"1996 PO SUM";#N/A,#N/A,FALSE,"1996 GEOG SUM"}</definedName>
    <definedName name="wjtrujt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wlds" hidden="1">{#N/A,#N/A,FALSE,"TB";#N/A,#N/A,FALSE,"AR";#N/A,#N/A,FALSE,"BS";#N/A,#N/A,FALSE,"PL";#N/A,#N/A,FALSE,"NOTES";#N/A,#N/A,FALSE,"NOTES (2)";#N/A,#N/A,FALSE,"NOTES (3)";#N/A,#N/A,FALSE,"TAXC.INDEX";#N/A,#N/A,FALSE,"Schedule I";#N/A,#N/A,FALSE,"DPL";#N/A,#N/A,FALSE,"Schedule IV";#N/A,#N/A,FALSE,"Adjustments"}</definedName>
    <definedName name="wm.tiger." hidden="1">{#N/A,#N/A,FALSE,"TB";#N/A,#N/A,FALSE,"DR";#N/A,#N/A,FALSE,"AR";#N/A,#N/A,FALSE,"BS";#N/A,#N/A,FALSE,"PL";#N/A,#N/A,FALSE,"NOTES";#N/A,#N/A,FALSE,"NOTES (2)";#N/A,#N/A,FALSE,"NOTES (3)";#N/A,#N/A,FALSE,"DPL";#N/A,#N/A,FALSE,"DPL"}</definedName>
    <definedName name="wn" hidden="1">{#N/A,#N/A,FALSE,"3";#N/A,#N/A,FALSE,"5";#N/A,#N/A,FALSE,"6";#N/A,#N/A,FALSE,"8";#N/A,#N/A,FALSE,"10";#N/A,#N/A,FALSE,"13";#N/A,#N/A,FALSE,"14";#N/A,#N/A,FALSE,"15";#N/A,#N/A,FALSE,"16"}</definedName>
    <definedName name="wnr" hidden="1">{"Sum WW A",#N/A,FALSE,"FY95SLS";"Sum WW B",#N/A,FALSE,"FY95SLS";"Sum US A",#N/A,FALSE,"FY95SLS";"Sum US B",#N/A,FALSE,"FY95SLS";"Sum US Bocg",#N/A,FALSE,"FY95SLS";"Sum Can A",#N/A,FALSE,"FY95SLS";"Sum Can B",#N/A,FALSE,"FY95SLS";"Sum Europe",#N/A,FALSE,"FY95SLS";"Sum Row",#N/A,FALSE,"FY95SLS"}</definedName>
    <definedName name="woi" hidden="1">{"detail",#N/A,FALSE,"mfg";"summary",#N/A,FALSE,"mfg"}</definedName>
    <definedName name="womxien" hidden="1">{"detail",#N/A,FALSE,"mfg";"summary",#N/A,FALSE,"mfg"}</definedName>
    <definedName name="working" hidden="1">{#N/A,#N/A,FALSE,"REPORT"}</definedName>
    <definedName name="Workload" hidden="1">{#N/A,#N/A,FALSE,"Presentation by Unit";#N/A,#N/A,FALSE,"Presentation by BD";#N/A,#N/A,FALSE,"Presentation Split by Biggest U";#N/A,#N/A,FALSE,"Presentation Split by Area";#N/A,#N/A,FALSE,"Presentation Split by BD"}</definedName>
    <definedName name="wq" hidden="1">{"PRS",#N/A,FALSE,"CM"}</definedName>
    <definedName name="wqa" hidden="1">{#N/A,"PURCHM",FALSE,"Business Analysis";#N/A,"SPADD",FALSE,"Business Analysis"}</definedName>
    <definedName name="wqc" hidden="1">{"ACT",#N/A,FALSE,"Q3Elec P&amp;L fy 99  ";"BUD",#N/A,FALSE,"Q3Elec P&amp;L fy 99  ";"PRIOR",#N/A,FALSE,"Q3Elec P&amp;L fy 99  "}</definedName>
    <definedName name="wqd" hidden="1">{"OTHER",#N/A,FALSE,"CM"}</definedName>
    <definedName name="wqeq" hidden="1">{"Commentary",#N/A,FALSE,"May"}</definedName>
    <definedName name="wqer" hidden="1">{"TXO2N2_SLS",#N/A,FALSE,"MTHLYSLES";"TXH2_SLS",#N/A,FALSE,"MTHLYSLES";"LOUIS_SLS",#N/A,FALSE,"MTHLYSLES";"H2_SLS",#N/A,FALSE,"MTHLYSLES";"O2N2_SLS",#N/A,FALSE,"MTHLYSLES";"PACKAGE_SLS",#N/A,FALSE,"MTHLYSLES"}</definedName>
    <definedName name="wqew" hidden="1">#REF!</definedName>
    <definedName name="wqewqeqwe" hidden="1">{#N/A,#N/A,FALSE,"3";#N/A,#N/A,FALSE,"5";#N/A,#N/A,FALSE,"6";#N/A,#N/A,FALSE,"8";#N/A,#N/A,FALSE,"10";#N/A,#N/A,FALSE,"13";#N/A,#N/A,FALSE,"14";#N/A,#N/A,FALSE,"15";#N/A,#N/A,FALSE,"16"}</definedName>
    <definedName name="wqwq" hidden="1">{"BA detail",#N/A,FALSE,"Q3YTD "}</definedName>
    <definedName name="wqx" hidden="1">{"Comp_of_Price_Effect",#N/A,FALSE,"QTRDPVAR"}</definedName>
    <definedName name="wr34ar" hidden="1">{"QTD_LOUISIANA",#N/A,FALSE,"QTD"}</definedName>
    <definedName name="wradw" hidden="1">{"YD LAPO2",#N/A,FALSE,"YTD";"YD LPH2",#N/A,FALSE,"YTD";"YD LOUISIANA",#N/A,FALSE,"YTD";"YD GENERALH2",#N/A,FALSE,"YTD";"YD PRS",#N/A,FALSE,"YTD";"YD PACKAGE",#N/A,FALSE,"YTD";"YD OTHER",#N/A,FALSE,"YTD"}</definedName>
    <definedName name="wrc" hidden="1">{#N/A,#N/A,FALSE,"TECH CENTRE RXDU66";#N/A,#N/A,FALSE,"ASU VAAX66";#N/A,#N/A,FALSE,"TCM VAKX66"}</definedName>
    <definedName name="wrd.2._.pagers.3" hidden="1">{"Cover",#N/A,FALSE,"Cover";"Summary",#N/A,FALSE,"Summarpage"}</definedName>
    <definedName name="wreqwrwrw" hidden="1">{#N/A,#N/A,FALSE,"3";#N/A,#N/A,FALSE,"5";#N/A,#N/A,FALSE,"6";#N/A,#N/A,FALSE,"8";#N/A,#N/A,FALSE,"10";#N/A,#N/A,FALSE,"13";#N/A,#N/A,FALSE,"14";#N/A,#N/A,FALSE,"15";#N/A,#N/A,FALSE,"16"}</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hidden="1">{#N/A,"PURCHM",FALSE,"Business Analysis";#N/A,"SPADD",FALSE,"Business Analysis"}</definedName>
    <definedName name="wrm" hidden="1">{#N/A,#N/A,FALSE,"TB";#N/A,#N/A,FALSE,"DR";#N/A,#N/A,FALSE,"AR";#N/A,#N/A,FALSE,"PL";#N/A,#N/A,FALSE,"BS";#N/A,#N/A,FALSE,"NOTES";#N/A,#N/A,FALSE,"NOTES (2)";#N/A,#N/A,FALSE,"NOTES (3)";#N/A,#N/A,FALSE,"DPL";#N/A,#N/A,FALSE,"TAXC.INDEX";#N/A,#N/A,FALSE,"Schedule I";#N/A,#N/A,FALSE,"Adjustments"}</definedName>
    <definedName name="wrm.pucspaddq2" hidden="1">{#N/A,"PURCHM",FALSE,"Business Analysis";#N/A,"SPADD",FALSE,"Business Analysis"}</definedName>
    <definedName name="wrn" hidden="1">{"vue1",#N/A,FALSE,"synthese";"vue2",#N/A,FALSE,"synthese"}</definedName>
    <definedName name="wrn.1." hidden="1">{#N/A,#N/A,FALSE,"Calc";#N/A,#N/A,FALSE,"Sensitivity";#N/A,#N/A,FALSE,"LT Earn.Dil.";#N/A,#N/A,FALSE,"Dil. AVP"}</definedName>
    <definedName name="wrn.1.1" hidden="1">{#N/A,#N/A,FALSE,"Calc";#N/A,#N/A,FALSE,"Sensitivity";#N/A,#N/A,FALSE,"LT Earn.Dil.";#N/A,#N/A,FALSE,"Dil. AVP"}</definedName>
    <definedName name="wrn.1.1.2" hidden="1">{#N/A,#N/A,FALSE,"Calc";#N/A,#N/A,FALSE,"Sensitivity";#N/A,#N/A,FALSE,"LT Earn.Dil.";#N/A,#N/A,FALSE,"Dil. AVP"}</definedName>
    <definedName name="wrn.1.1.3" hidden="1">{#N/A,#N/A,FALSE,"Calc";#N/A,#N/A,FALSE,"Sensitivity";#N/A,#N/A,FALSE,"LT Earn.Dil.";#N/A,#N/A,FALSE,"Dil. AVP"}</definedName>
    <definedName name="wrn.1.2" hidden="1">{#N/A,#N/A,FALSE,"Calc";#N/A,#N/A,FALSE,"Sensitivity";#N/A,#N/A,FALSE,"LT Earn.Dil.";#N/A,#N/A,FALSE,"Dil. AVP"}</definedName>
    <definedName name="wrn.1.3" hidden="1">{#N/A,#N/A,FALSE,"Calc";#N/A,#N/A,FALSE,"Sensitivity";#N/A,#N/A,FALSE,"LT Earn.Dil.";#N/A,#N/A,FALSE,"Dil. AVP"}</definedName>
    <definedName name="wrn.10." hidden="1">{"cover",#N/A,TRUE,"Cover";"toc3",#N/A,TRUE,"TOC";"over",#N/A,TRUE,"Overview";"ts2",#N/A,TRUE,"Det_Trans_Sum";"ei1c",#N/A,TRUE,"Earnings Impact";"ad1",#N/A,TRUE,"accretion dilution";"pfis1",#N/A,TRUE,"Pro Forma Income Statement";"acq1c",#N/A,TRUE,"Acquirer";"tar1c",#N/A,TRUE,"Target"}</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 hidden="1">{#N/A,#N/A,FALSE,"Calc";#N/A,#N/A,FALSE,"Sensitivity";#N/A,#N/A,FALSE,"LT Earn.Dil.";#N/A,#N/A,FALSE,"Dil. AVP"}</definedName>
    <definedName name="wrn.2._.pagers." hidden="1">{"Cover",#N/A,FALSE,"Cover";"Summary",#N/A,FALSE,"Summarpage"}</definedName>
    <definedName name="wrn.2._.pagers.2"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Base." hidden="1">{"a_assump1",#N/A,FALSE,"BPlan 96-00 - Base";"a_assump2",#N/A,FALSE,"BPlan 96-00 - Base";"a_plus",#N/A,FALSE,"BPlan 96-00 - Base";"a_bs",#N/A,FALSE,"BPlan 96-00 - Base";"a_cf",#N/A,FALSE,"BPlan 96-00 - Base";"a_irrbase",#N/A,FALSE,"BPlan 96-00 - Base";"a_notes",#N/A,FALSE,"BPlan 96-00 - Base"}</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yr._.plan._.local._.currency." hidden="1">{"Backlog and PL",#N/A,FALSE,"3yr plan (local currency)";"Revenue",#N/A,FALSE,"3yr plan (local currency)";"Other",#N/A,FALSE,"3yr plan (local currency)"}</definedName>
    <definedName name="wrn.3yr._.plan._.USD." hidden="1">{"Backlog and PL $",#N/A,FALSE,"3yr plan (local currency)";"Revenue $",#N/A,FALSE,"3yr plan (local currency)";"Other $",#N/A,FALSE,"3yr plan (local currency)"}</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_.501" hidden="1">{"assumption 50 50",#N/A,TRUE,"Merger";"has gets cash",#N/A,TRUE,"Merger";"accretion dilution",#N/A,TRUE,"Merger";"comparison credit stats",#N/A,TRUE,"Merger";"pf credit stats",#N/A,TRUE,"Merger";"pf sheets",#N/A,TRUE,"Merger"}</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_.vs._.00._.PL." hidden="1">{#N/A,#N/A,FALSE,"00 P&amp;L vs 99"}</definedName>
    <definedName name="wrn.99999" hidden="1">{#N/A,#N/A,FALSE,"REPORT"}</definedName>
    <definedName name="wrn.a." hidden="1">{"cob_aber",#N/A,FALSE,"COBR ajustada";"cob_fe",#N/A,FALSE,"COBR ajustada"}</definedName>
    <definedName name="wrn.aaa" hidden="1">{#N/A,#N/A,FALSE,"Pharm";#N/A,#N/A,FALSE,"WWCM"}</definedName>
    <definedName name="wrn.aaaaaaa" hidden="1">{#N/A,#N/A,FALSE,"Pharm";#N/A,#N/A,FALSE,"WWCM"}</definedName>
    <definedName name="wrn.Accounts." hidden="1">{"turnover",#N/A,FALSE;"profits",#N/A,FALSE;"cash",#N/A,FALSE}</definedName>
    <definedName name="wrn.Accounts._.and._.Assumptions.b" hidden="1">{"S&amp;U",#N/A,FALSE,"s&amp;u";"financing",#N/A,FALSE,"Input";"financing2",#N/A,FALSE,"Input";"Balance Sheet",#N/A,FALSE,"BS";"P&amp;L",#N/A,FALSE,"P&amp;L";"Cashflow",#N/A,FALSE,"CF"}</definedName>
    <definedName name="wrn.AcqState."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atrix." hidden="1">{"Acq_matrix",#N/A,FALSE,"Acquisition Matrix"}</definedName>
    <definedName name="wrn.AcqVal." hidden="1">{#N/A,#N/A,FALSE,"Acq-Val";#N/A,#N/A,FALSE,"Acq-Mult Val"}</definedName>
    <definedName name="wrn.actual"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rn.actual_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rn.adj95." hidden="1">{"adj95mult",#N/A,FALSE,"COMPCO";"adj95est",#N/A,FALSE,"COMPCO"}</definedName>
    <definedName name="wrn.Aging._.and._.Trend._.Analysis." hidden="1">{#N/A,#N/A,FALSE,"Aging Summary";#N/A,#N/A,FALSE,"Ratio Analysis";#N/A,#N/A,FALSE,"Test 120 Day Accts";#N/A,#N/A,FALSE,"Tickmarks"}</definedName>
    <definedName name="wrn.ahfstep." hidden="1">{#N/A,#N/A,TRUE,"AHFSTEP"}</definedName>
    <definedName name="wrn.AHFYLD." hidden="1">{#N/A,#N/A,FALSE,"AHF"}</definedName>
    <definedName name="wrn.AirTools." hidden="1">{#N/A,"AirToolsTOTAL",FALSE,"P&amp;L";#N/A,"AirToolsUK",FALSE,"P&amp;L";#N/A,"AirToolsFrance",FALSE,"P&amp;L";#N/A,"AirToolsGermany",FALSE,"P&amp;L";#N/A,"AirToolsItaly",FALSE,"P&amp;L"}</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{#N/A,#N/A,FALSE,"by Plant";#N/A,#N/A,FALSE,"by Product";#N/A,#N/A,FALSE,"Calvert City";#N/A,#N/A,FALSE,"City of Industry";#N/A,#N/A,FALSE,"Cleveland";#N/A,#N/A,FALSE,"Elkton";#N/A,#N/A,FALSE,"Langley";#N/A,#N/A,FALSE,"Piedmont";#N/A,#N/A,FALSE,"South Brunswick";#N/A,#N/A,FALSE,"Non-Plant"}</definedName>
    <definedName name="wrn.all._.3._.years." hidden="1">{#N/A,#N/A,FALSE,"Worldwide FY00";#N/A,#N/A,FALSE,"Worldwide FY01";#N/A,#N/A,FALSE,"Worldwide FY02"}</definedName>
    <definedName name="wrn.All._.Affiliates."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including._.appendices." hidden="1">{#N/A,#N/A,FALSE,"Summary";#N/A,#N/A,FALSE,"structure";#N/A,#N/A,FALSE,"o bal sheet";#N/A,#N/A,FALSE,"input info";#N/A,#N/A,FALSE,"p and l";#N/A,#N/A,FALSE,"cashflow";#N/A,#N/A,FALSE,"bal sheet";#N/A,#N/A,FALSE,"ratios";#N/A,#N/A,FALSE,"returns";#N/A,#N/A,FALSE,"DCF";#N/A,#N/A,FALSE,"Depn";#N/A,#N/A,FALSE,"Tax Comps";#N/A,#N/A,FALSE,"Detailed P&amp;L"}</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hidden="1">{"Sep 98 Segment PnL",#N/A,FALSE,"Full Income Statements";"Sep 99 Segment PnL",#N/A,FALSE,"Full Income Statements";"Sep 98 PnL",#N/A,FALSE,"Full Income Statements";"Sep 99 PnL",#N/A,FALSE,"Full Income Statements"}</definedName>
    <definedName name="wrn.all._.reports." hidden="1">{"qty and inventory value",#N/A,FALSE,"MPartners";"general ledger entries",#N/A,FALSE,"MPartners"}</definedName>
    <definedName name="wrn.All._.Schedules." hidden="1">{#N/A,#N/A,FALSE,"Assumptions";#N/A,#N/A,FALSE,"Inc Stmt";#N/A,#N/A,FALSE,"Stats";#N/A,#N/A,FALSE,"Existing Business";#N/A,#N/A,FALSE,"New Business";#N/A,#N/A,FALSE,"Labor";#N/A,#N/A,FALSE,"Vehicles";#N/A,#N/A,FALSE,"Facilities";#N/A,#N/A,FALSE,"Indirect Costs";#N/A,#N/A,FALSE,"Capital";#N/A,#N/A,FALSE,"CABR Form";#N/A,#N/A,FALSE,"Corp Costs"}</definedName>
    <definedName name="wrn.All._.Sections." hidden="1">{"Data Entry",#N/A,FALSE,"COMPTEMP";"Ratios",#N/A,FALSE,"COMPTEMP";"Aggregate Values",#N/A,FALSE,"COMPTEMP";"Equity Multiples",#N/A,FALSE,"COMPTEMP";"Summary Overview",#N/A,FALSE,"COMPTEMP"}</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hidden="1">{#N/A,#N/A,FALSE,"Trends";#N/A,#N/A,FALSE,"As Reported";#N/A,#N/A,FALSE,"(un) Commited"}</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views." hidden="1">{"vol data",#N/A,FALSE,"Datasheet";"vol graph",#N/A,FALSE,"Volume";"price data",#N/A,FALSE,"Datasheet";"price graph",#N/A,FALSE,"Price";"dp data",#N/A,FALSE,"Datasheet";"dp graph",#N/A,FALSE,"DirectProfit"}</definedName>
    <definedName name="wrn.all.2"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e._.cijfers." hidden="1">{#N/A,#N/A,FALSE,"EV.D.P.BC";#N/A,#N/A,FALSE,"EV.D.P.HC";#N/A,#N/A,FALSE,"EV.D.P.LC";#N/A,#N/A,FALSE,"AN.CIV.BC";#N/A,#N/A,FALSE,"AN.CIV.HC";#N/A,#N/A,FALSE,"AN.CIV.LC";#N/A,#N/A,FALSE,"Res.1";#N/A,#N/A,FALSE,"AN.GAZ.BC";#N/A,#N/A,FALSE,"AN.GAZ.HC";#N/A,#N/A,FALSE,"AN.GAZ.LC";#N/A,#N/A,FALSE,"AN.GAZ.BC M3";#N/A,#N/A,FALSE,"AN.GAZ.HC M3";#N/A,#N/A,FALSE,"AN.GAZ.LC M3";#N/A,#N/A,FALSE,"Res.2"}</definedName>
    <definedName name="wrn.Allegati." hidden="1">{#N/A,#N/A,FALSE,"Leather SpA P&amp;L A1";#N/A,#N/A,FALSE,"Leather SpA balance sheet A2";#N/A,#N/A,FALSE,"Leather SpA Cash flow A3";#N/A,#N/A,FALSE,"Assumptions A4"}</definedName>
    <definedName name="wrn.allpages." hidden="1">{#N/A,#N/A,TRUE,"Historicals";#N/A,#N/A,TRUE,"Charts";#N/A,#N/A,TRUE,"Forecasts"}</definedName>
    <definedName name="wrn.AMORTIZATION." hidden="1">{"amortization",#N/A,FALSE,"Amort-Dep"}</definedName>
    <definedName name="wrn.ANALYSIS." hidden="1">{"STATIONS",#N/A,TRUE,"Station OCF";"COMPS",#N/A,TRUE,"COMPS";"CAP",#N/A,TRUE,"PUBLIC";"TVCAPDET",#N/A,TRUE,"CAPDET";"DCF",#N/A,TRUE,"DCF"}</definedName>
    <definedName name="wrn.annexe." hidden="1">{#N/A,#N/A,FALSE,"Annexe 1";#N/A,#N/A,FALSE,"Annexe 2";#N/A,#N/A,FALSE,"Annexe 3";#N/A,#N/A,FALSE,"Annexe 4";#N/A,#N/A,FALSE,"Annexe 5"}</definedName>
    <definedName name="wrn.ANNEXEEURO." hidden="1">{#N/A,#N/A,FALSE,"Annexe 1 EURO";#N/A,#N/A,FALSE,"Annexe 2 EURO";#N/A,#N/A,FALSE,"Annexe 3 EURO";#N/A,#N/A,FALSE,"Annexe 4 EURO";#N/A,#N/A,FALSE,"Annexe 5 EURO"}</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CI._.Tab." hidden="1">{#N/A,#N/A,FALSE,"P and L ";#N/A,#N/A,FALSE,"Sales";#N/A,#N/A,FALSE,"Overheads";#N/A,#N/A,FALSE,"R and D";#N/A,#N/A,FALSE,"Operating Income";#N/A,#N/A,FALSE,"Equity Affiliate Income";"M Factors Print",#N/A,FALSE,"Major Factors"}</definedName>
    <definedName name="wrn.APCT." hidden="1">{"Page1",#N/A,FALSE,"APCT";"Page2",#N/A,FALSE,"APCT"}</definedName>
    <definedName name="wrn.APL." hidden="1">{"Page1",#N/A,FALSE,"APL";"Page2",#N/A,FALSE,"APL"}</definedName>
    <definedName name="wrn.APPROPRIATION." hidden="1">{"appropriation",#N/A,FALSE,"APPROP"}</definedName>
    <definedName name="wrn.AQUIROR._.DCF." hidden="1">{"AQUIRORDCF",#N/A,FALSE,"Merger consequences";"Acquirorassns",#N/A,FALSE,"Merger consequences"}</definedName>
    <definedName name="WRN.ARCCYLD2003" hidden="1">{#N/A,#N/A,FALSE,"ARCYLD"}</definedName>
    <definedName name="wrn.ARCSTEP." hidden="1">{#N/A,#N/A,FALSE,"ARCSTEP"}</definedName>
    <definedName name="wrn.ARCYLD." hidden="1">{#N/A,#N/A,FALSE,"ARCYLD"}</definedName>
    <definedName name="wrn.ARGON._.PRICING." hidden="1">{"ARGON PRICING",#N/A,FALSE,"ARGON"}</definedName>
    <definedName name="wrn.ARGON._.REVENUE." hidden="1">{"ARGON REVENUE",#N/A,FALSE,"ARGON"}</definedName>
    <definedName name="wrn.ARGON._.VOLUME." hidden="1">{"ARGON VOLUME",#N/A,FALSE,"ARGON"}</definedName>
    <definedName name="wrn.ARGON_VOL" hidden="1">{"ARGON VOLUME",#N/A,FALSE,"ARGON"}</definedName>
    <definedName name="wrn.Asia." hidden="1">{"PnL",#N/A,FALSE,"Gas Asia P&amp;L";"Responsibility",#N/A,FALSE,"Gas Asia P&amp;L";"Cost Control",#N/A,FALSE,"Gas Asia P&amp;L"}</definedName>
    <definedName name="wrn.Assembly._.Tech." hidden="1">{#N/A,"Assembly Tech UK",FALSE,"P&amp;L";#N/A,"Assembly Tech France",FALSE,"P&amp;L";#N/A,"Assembly Tech Germany",FALSE,"P&amp;L";#N/A,"Assembly tech Italy",FALSE,"P&amp;L";#N/A,"Assembly tech TOTAL",FALSE,"P&amp;L"}</definedName>
    <definedName name="wrn.assumptions." hidden="1">{"casespecific",#N/A,FALSE,"Assumptions"}</definedName>
    <definedName name="wrn.Assumptions._.Book." hidden="1">{#N/A,#N/A,FALSE,"Cover";#N/A,#N/A,FALSE,"Contents";#N/A,#N/A,FALSE,"1. Transaction parameters";#N/A,#N/A,FALSE,"2. Revenue";#N/A,#N/A,FALSE,"3. Operational - Orco Valley";#N/A,#N/A,FALSE,"3. Operational - Susa Valley";#N/A,#N/A,FALSE,"3. Operational - Turin";#N/A,#N/A,FALSE,"3. Operational - Pont Ventoux";#N/A,#N/A,FALSE,"4. Operating expenses";#N/A,#N/A,FALSE,"5. Capex";#N/A,#N/A,FALSE,"6. Financing";#N/A,#N/A,FALSE,"7. Economics";#N/A,#N/A,FALSE,"8. Cost of Capital";#N/A,#N/A,FALSE,"9. Accounting";#N/A,#N/A,FALSE,"10. Taxation";#N/A,#N/A,FALSE,"11. Others"}</definedName>
    <definedName name="wrn.Auto._.Comp." hidden="1">{#N/A,#N/A,FALSE,"Sheet1"}</definedName>
    <definedName name="wrn.away." hidden="1">{"away stand alones",#N/A,FALSE,"Target"}</definedName>
    <definedName name="wrn.backup." hidden="1">{"financials",#N/A,FALSE,"BASIC";"interest",#N/A,FALSE,"BASIC";"leasing and financing",#N/A,FALSE,"BASIC";"returns back up",#N/A,FALSE,"BASIC"}</definedName>
    <definedName name="wrn.BALANCE._.PARA._.LUIZ._.CLAUDIO." hidden="1">{#N/A,#N/A,FALSE,"Hoja1";#N/A,#N/A,FALSE,"Hoja2"}</definedName>
    <definedName name="wrn.BALANCE._.SHEET._.ALL." hidden="1">{"balance sheet us",#N/A,FALSE,"Bal. Sht.- Work Cap";"balance sheet ex",#N/A,FALSE,"Bal. Sht.- Work Cap";"balance sheet other",#N/A,FALSE,"Bal. Sht.- Work Cap";"balance sheet ww",#N/A,FALSE,"Bal. Sht.- Work Cap"}</definedName>
    <definedName name="wrn.BALANCE._.SHEET._.EX._.US." hidden="1">{"balance sheet ex",#N/A,FALSE,"Bal. Sht.- Work Cap"}</definedName>
    <definedName name="wrn.BALANCE._.SHEET._.OTHER." hidden="1">{"balance sheet other",#N/A,FALSE,"Bal. Sht.- Work Cap"}</definedName>
    <definedName name="wrn.BALANCE._.SHEET._.US." hidden="1">{"balance sheet us",#N/A,FALSE,"Bal. Sht.- Work Cap"}</definedName>
    <definedName name="wrn.BALANCE._.SHEET._.WW." hidden="1">{"balance sheet ww",#N/A,FALSE,"Bal. Sht.- Work Cap"}</definedName>
    <definedName name="wrn.balsheet." hidden="1">{"ICDANDNONDIV",#N/A,FALSE,"BSALLNOW.XLS";"polyandpurperf",#N/A,FALSE,"BSALLNOW.XLS"}</definedName>
    <definedName name="wrn.bank._.model." hidden="1">{"banks",#N/A,FALSE,"BASIC"}</definedName>
    <definedName name="wrn.baseDEV." hidden="1">{"cover",#N/A,TRUE,"Cover";"pnldet",#N/A,TRUE,"BaseCaseDEV";"pnl",#N/A,TRUE,"BaseCaseDEV";"bil",#N/A,TRUE,"BaseCaseDEV";"tabfi",#N/A,TRUE,"BaseCaseDEV";"ratios",#N/A,TRUE,"BaseCaseDEV";"variab",#N/A,TRUE,"BaseCaseDEV";"inv",#N/A,TRUE,"BaseCaseDEV"}</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etz." hidden="1">{"net assets",#N/A,FALSE,"summary";"asset turnover",#N/A,FALSE,"summary";"orona",#N/A,FALSE,"summary"}</definedName>
    <definedName name="wrn.Bilan." hidden="1">{#N/A,#N/A,FALSE,"Bilan"}</definedName>
    <definedName name="wrn.Bilan._1" hidden="1">{#N/A,#N/A,FALSE,"Bilan"}</definedName>
    <definedName name="wrn.Bilan.2" hidden="1">{#N/A,#N/A,FALSE,"Bilan"}</definedName>
    <definedName name="wrn.Bilan.4" hidden="1">{#N/A,#N/A,FALSE,"Bilan"}</definedName>
    <definedName name="wrn.Bilan1" hidden="1">{#N/A,#N/A,FALSE,"Bilan"}</definedName>
    <definedName name="wrn.Bilan20" hidden="1">{#N/A,#N/A,FALSE,"Bilan"}</definedName>
    <definedName name="wrn.bilan21" hidden="1">{#N/A,#N/A,FALSE,"Bilan"}</definedName>
    <definedName name="wrn.Bilan22" hidden="1">{#N/A,#N/A,FALSE,"Bilan"}</definedName>
    <definedName name="wrn.Bilan3" hidden="1">{#N/A,#N/A,FALSE,"Bilan"}</definedName>
    <definedName name="wrn.Bilan31" hidden="1">{#N/A,#N/A,FALSE,"Bilan"}</definedName>
    <definedName name="wrn.Bilan33" hidden="1">{#N/A,#N/A,FALSE,"Bilan"}</definedName>
    <definedName name="wrn.Bilan40" hidden="1">{#N/A,#N/A,FALSE,"Bilan"}</definedName>
    <definedName name="wrn.Bilan41" hidden="1">{#N/A,#N/A,FALSE,"Bilan"}</definedName>
    <definedName name="wrn.Bilan5" hidden="1">{#N/A,#N/A,FALSE,"Bilan"}</definedName>
    <definedName name="wrn.Bilan50" hidden="1">{#N/A,#N/A,FALSE,"Bilan"}</definedName>
    <definedName name="wrn.Bilan52" hidden="1">{#N/A,#N/A,FALSE,"Bilan"}</definedName>
    <definedName name="wrn.Bilan6" hidden="1">{#N/A,#N/A,FALSE,"Bilan"}</definedName>
    <definedName name="wrn.Bilan60" hidden="1">{#N/A,#N/A,FALSE,"Bilan"}</definedName>
    <definedName name="wrn.Bilan61" hidden="1">{#N/A,#N/A,FALSE,"Bilan"}</definedName>
    <definedName name="wrn.Bilancio_semestrale." hidden="1">{"Bilancio non rettificato",#N/A,FALSE,"A";"Bilancio Rettifiche",#N/A,FALSE,"B";"Bilancio Rettifiche",#N/A,FALSE,"C";"movimenti",#N/A,FALSE,"D";"amm",#N/A,FALSE,"D";"cpl",#N/A,FALSE,"D";"cola",#N/A,FALSE,"D";"imposte",#N/A,FALSE,"D"}</definedName>
    <definedName name="wrn.BiPolar." hidden="1">{#N/A,#N/A,FALSE,"Bi-Polar"}</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th." hidden="1">{"detail",#N/A,FALSE,"mfg";"summary",#N/A,FALSE,"mfg"}</definedName>
    <definedName name="wrn.Both.2" hidden="1">{"detail",#N/A,FALSE,"mfg";"summary",#N/A,FALSE,"mfg"}</definedName>
    <definedName name="wrn.both1" hidden="1">{"detail",#N/A,FALSE,"mfg";"summary",#N/A,FALSE,"mfg"}</definedName>
    <definedName name="wrn.both10" hidden="1">{"detail",#N/A,FALSE,"mfg";"summary",#N/A,FALSE,"mfg"}</definedName>
    <definedName name="wrn.both102" hidden="1">{"detail",#N/A,FALSE,"mfg";"summary",#N/A,FALSE,"mfg"}</definedName>
    <definedName name="wrn.both11" hidden="1">{"detail",#N/A,FALSE,"mfg";"summary",#N/A,FALSE,"mfg"}</definedName>
    <definedName name="wrn.both12" hidden="1">{"detail",#N/A,FALSE,"mfg";"summary",#N/A,FALSE,"mfg"}</definedName>
    <definedName name="wrn.Both31" hidden="1">{"detail",#N/A,FALSE,"mfg";"summary",#N/A,FALSE,"mfg"}</definedName>
    <definedName name="wrn.Both32" hidden="1">{"detail",#N/A,FALSE,"mfg";"summary",#N/A,FALSE,"mfg"}</definedName>
    <definedName name="wrn.Both34" hidden="1">{"detail",#N/A,FALSE,"mfg";"summary",#N/A,FALSE,"mfg"}</definedName>
    <definedName name="wrn.Both35" hidden="1">{"detail",#N/A,FALSE,"mfg";"summary",#N/A,FALSE,"mfg"}</definedName>
    <definedName name="wrn.Both42" hidden="1">{"detail",#N/A,FALSE,"mfg";"summary",#N/A,FALSE,"mfg"}</definedName>
    <definedName name="wrn.both71" hidden="1">{"detail",#N/A,FALSE,"mfg";"summary",#N/A,FALSE,"mfg"}</definedName>
    <definedName name="wrn.botha11" hidden="1">{"detail",#N/A,FALSE,"mfg";"summary",#N/A,FALSE,"mfg"}</definedName>
    <definedName name="wrn.botha2" hidden="1">{"detail",#N/A,FALSE,"mfg";"summary",#N/A,FALSE,"mfg"}</definedName>
    <definedName name="wrn.bothab2" hidden="1">{"detail",#N/A,FALSE,"mfg";"summary",#N/A,FALSE,"mfg"}</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lan." hidden="1">{#N/A,#N/A,FALSE,"F_Plan";#N/A,#N/A,FALSE,"Parameter"}</definedName>
    <definedName name="wrn.Breakout." hidden="1">{#N/A,#N/A,FALSE,"BreakoutFY95";#N/A,#N/A,FALSE,"BreakoutFY96";#N/A,#N/A,FALSE,"BreakoutFY97";#N/A,#N/A,FALSE,"BreakoutFY98"}</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an." hidden="1">{#N/A,#N/A,FALSE,"output";#N/A,#N/A,FALSE,"contrib";#N/A,#N/A,FALSE,"profile";#N/A,#N/A,FALSE,"comps"}</definedName>
    <definedName name="wrn.BROCHURE." hidden="1">{"ACT",#N/A,FALSE,"Q3Elec P&amp;L fy 99  ";"BUD",#N/A,FALSE,"Q3Elec P&amp;L fy 99  ";"PRIOR",#N/A,FALSE,"Q3Elec P&amp;L fy 99  "}</definedName>
    <definedName name="wrn.BROCHYTD." hidden="1">{"YTDACT",#N/A,FALSE,"YTD Cum";"YTDBUD",#N/A,FALSE,"YTD Cum";"YTDPRIOR",#N/A,FALSE,"YTD Cum"}</definedName>
    <definedName name="wrn.bsall." hidden="1">{"pg1",#N/A,FALSE,"BSALLNOW.XLS";"pg2",#N/A,FALSE,"BSALLNOW.XLS";"pg3",#N/A,FALSE,"BSALLNOW.XLS"}</definedName>
    <definedName name="wrn.bud." hidden="1">{#N/A,#N/A,FALSE,"BudRec";#N/A,#N/A,FALSE,"P&amp;L";#N/A,#N/A,FALSE,"Net Assets";#N/A,#N/A,FALSE,"Cash Flow";#N/A,#N/A,FALSE,"Supplementary";#N/A,#N/A,FALSE,"Fixed assets";#N/A,#N/A,FALSE,"Capex 1";#N/A,#N/A,FALSE,"Capex 2";#N/A,#N/A,FALSE,"Sales,direct mat";#N/A,#N/A,FALSE,"Variables";#N/A,#N/A,FALSE,"Overheads";#N/A,#N/A,FALSE,"P&amp;L % of sales"}</definedName>
    <definedName name="wrn.Budget."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ildups." hidden="1">{"ACQ",#N/A,FALSE,"ACQUISITIONS";"ACQF",#N/A,FALSE,"ACQUISITIONS";"PF",#N/A,FALSE,"PROYECTOVILA";"PV",#N/A,FALSE,"PROYECTOVILA";"Fee Dev",#N/A,FALSE,"DEVELOPMENT GROWTH";"gd",#N/A,FALSE,"DEVELOPMENT GROWTH"}</definedName>
    <definedName name="wrn.Business._.Plan." hidden="1">{#N/A,#N/A,TRUE,"Cover sheet";#N/A,#N/A,TRUE,"F.S.";#N/A,#N/A,TRUE,"Macroecon.";#N/A,#N/A,TRUE,"Microeconomics";#N/A,#N/A,TRUE,"Revenues";#N/A,#N/A,TRUE,"COS-supporting";#N/A,#N/A,TRUE,"COS";#N/A,#N/A,TRUE,"Other costs-supporting";#N/A,#N/A,TRUE,"Other costs";#N/A,#N/A,TRUE,"Other income&amp;expense";#N/A,#N/A,TRUE,"Capital ex.";#N/A,#N/A,TRUE,"Financing";#N/A,#N/A,TRUE,"Equity";#N/A,#N/A,TRUE,"Corporate taxation";#N/A,#N/A,TRUE,"current A.&amp;L."}</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PITAL._.TODO." hidden="1">{"CAP VOL",#N/A,FALSE,"CAPITAL";"CAP VAR",#N/A,FALSE,"CAPITAL";"CAP FIJ",#N/A,FALSE,"CAPITAL";"CAP CONS",#N/A,FALSE,"CAPITAL";"CAP DATA",#N/A,FALSE,"CAPITAL"}</definedName>
    <definedName name="wrn.Cardiovasculars." hidden="1">{#N/A,#N/A,FALSE,"Card";#N/A,#N/A,FALSE,"Prav";#N/A,#N/A,FALSE,"Irbe";#N/A,#N/A,FALSE,"Plavix";#N/A,#N/A,FALSE,"Capt";#N/A,#N/A,FALSE,"Fosi"}</definedName>
    <definedName name="wrn.CARRY._.1996." hidden="1">{#N/A,#N/A,FALSE,"SF"}</definedName>
    <definedName name="wrn.cash." hidden="1">{"assumption cash",#N/A,TRUE,"Merger";"has gets cash",#N/A,TRUE,"Merger";"accretion dilution",#N/A,TRUE,"Merger";"comparison credit stats",#N/A,TRUE,"Merger";"pf credit stats",#N/A,TRUE,"Merger";"pf sheets",#N/A,TRUE,"Merger"}</definedName>
    <definedName name="wrn.CASH._.FLOW._.ALL." hidden="1">{"cash flow ww",#N/A,FALSE,"Cash Flow";"cash flow other",#N/A,FALSE,"Cash Flow";"cash flow ex",#N/A,FALSE,"Cash Flow";"cash flow us",#N/A,FALSE,"Cash Flow"}</definedName>
    <definedName name="wrn.CASH._.FLOW._.EX._.US." hidden="1">{"cash flow ex",#N/A,FALSE,"Cash Flow"}</definedName>
    <definedName name="wrn.CASH._.FLOW._.OTHER." hidden="1">{"cash flow other",#N/A,FALSE,"Cash Flow"}</definedName>
    <definedName name="wrn.CASH._.FLOW._.US." hidden="1">{"cash flow us",#N/A,FALSE,"Cash Flow"}</definedName>
    <definedName name="wrn.CASH._.FLOW._.WW." hidden="1">{"cash flow ww",#N/A,FALSE,"Cash Flow"}</definedName>
    <definedName name="wrn.Cash._.Plan." hidden="1">{"cash plan",#N/A,FALSE,"fccashflow"}</definedName>
    <definedName name="wrn.CEA._.FY97." hidden="1">{"CEA FY97",#N/A,FALSE,"C.E.A. FY97"}</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tral._.Nervous._.System." hidden="1">{#N/A,#N/A,FALSE,"CNS";#N/A,#N/A,FALSE,"Serz";#N/A,#N/A,FALSE,"Ace"}</definedName>
    <definedName name="wrn.charmin." hidden="1">{"charmin",#N/A,FALSE,"FMAM II"}</definedName>
    <definedName name="wrn.Chemicals." hidden="1">{"PnL",#N/A,FALSE,"Chem P&amp;L";"Responsibility",#N/A,FALSE,"Chem P&amp;L";"Cost Control",#N/A,FALSE,"Chem P&amp;L"}</definedName>
    <definedName name="wrn.Cider." hidden="1">{#N/A,#N/A,FALSE,"Cider Segment";#N/A,#N/A,FALSE,"Bulmers";#N/A,#N/A,FALSE,"Ritz";#N/A,#N/A,FALSE,"Stag";#N/A,#N/A,FALSE,"Cider Others"}</definedName>
    <definedName name="WRN.CLIENT_PRE" hidden="1">{"CLIENTE",#N/A,TRUE,"Resumo";"CLIENTE",#N/A,TRUE,"HW";"CLIENTE",#N/A,TRUE,"SW";"CLIENTE",#N/A,TRUE,"TELESSUP.";"CLIENTE",#N/A,TRUE,"DCN &amp; Acess";"CLIENTE",#N/A,TRUE,"Sobressalentes";"CLIENTE",#N/A,TRUE,"Mat. Instal.";"CLIENTE",#N/A,TRUE,"Doc. Técnica";"CLIENTE",#N/A,TRUE,"Serviços";"CLIENTE",#N/A,TRUE,"Treinamento"}</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lusteres." hidden="1">{"REVENUE",#N/A,FALSE,"REVENUE";"CONTRIBUTION",#N/A,FALSE,"CONTRIBUTION";"ART MON",#N/A,FALSE,"ART";"ART YTD",#N/A,FALSE,"ART";"ART STAT",#N/A,FALSE,"ART";"BEAUTY MON",#N/A,FALSE,"BEAUTY";"BEAURY YTD",#N/A,FALSE,"BEAUTY";"BEAUTY STAT",#N/A,FALSE,"BEAUTY";"CALL CTR MON",#N/A,FALSE,"CALL CTR";"CALL CTR YTD",#N/A,FALSE,"CALL CTR";"CALL CTR STAT",#N/A,FALSE,"CALL CTR";"COLL MON",#N/A,FALSE,"COLL E LEARN";"COLL YTD",#N/A,FALSE,"COLL E LEARN";"COLL STAT",#N/A,FALSE,"COLL E LEARN";"DENTAL MON",#N/A,FALSE,"DENTAL";"DENTAL YTD",#N/A,FALSE,"DENTAL";"DENTAL STAT",#N/A,FALSE,"DENTAL";"EC FASHION MON",#N/A,FALSE,"EC FASHION";"EC FASHION YTD",#N/A,FALSE,"EC FASHION";"EC FASHION STAT",#N/A,FALSE,"EC FASHION";"EUROPEAN MON",#N/A,FALSE," EUROPEAN";"EURPOEAN YTD",#N/A,FALSE," EUROPEAN";"EUROPEAN STAT",#N/A,FALSE," EUROPEAN";"HEALTHCARE MON",#N/A,FALSE,"HEALTHCARE";"HEALTHCARE YTD",#N/A,FALSE,"HEALTHCARE";"HEALTHCARE STAT",#N/A,FALSE,"HEALTHCARE";"HOME ENTER MON",#N/A,FALSE,"HOME ENTER";"HOME ENTER YTD",#N/A,FALSE,"HOME ENTER";"HOME ENTER STAT",#N/A,FALSE,"HOME ENTER";"INFORMATION MON",#N/A,FALSE,"INFORMATION";"INFORMATION YTD",#N/A,FALSE,"INFORMATION";"INFORMATION STAT",#N/A,FALSE,"INFORMATION";"LICENSE MON",#N/A,FALSE,"LICENSE";"LICENSE YTD",#N/A,FALSE,"LICENSE";"LICENSE STAT",#N/A,FALSE,"LICENSE";"MAGIC MON",#N/A,FALSE," MAGIC";"MAGIC YTD",#N/A,FALSE," MAGIC";"MAGIC STAT",#N/A,FALSE," MAGIC";"MANUFACT MON",#N/A,FALSE,"MANUFACTURING";"MANFUACT YTD",#N/A,FALSE,"MANUFACTURING";"MANFUCT STAT",#N/A,FALSE,"MANUFACTURING";"PHARM MON",#N/A,FALSE,"PHARM";"PAHRM YTD",#N/A,FALSE,"PHARM";"PHARM STAT",#N/A,FALSE,"PHARM";"PORTFOLIO MON",#N/A,FALSE,"PORTFOLIO";"PORTFOLIO YTD",#N/A,FALSE,"PORTFOLIO";"PORTFOLIO STAT",#N/A,FALSE,"PORTFOLIO";"POWERSPORTS MON",#N/A,FALSE,"POWERSPORTS";"POWERSPORT YTD",#N/A,FALSE,"POWERSPORTS";"POWERSPORT STAT",#N/A,FALSE,"POWERSPORTS";"SCIENCE MON",#N/A,FALSE,"SCIENCE";"SCIENCE YTD",#N/A,FALSE,"SCIENCE";"SCIENCE STAT",#N/A,FALSE,"SCIENCE";"TELECOM MON",#N/A,FALSE,"TELECOM";"TELECOM YTD",#N/A,FALSE,"TELECOM";"TELECOM STAT",#N/A,FALSE,"TELECOM";"TRAVEL MON",#N/A,FALSE,"TRAVEL";"TRAVEL YTD",#N/A,FALSE,"TRAVEL";"TRAVEL STAT",#N/A,FALSE,"TRAVEL";"VETERINARY MON",#N/A,FALSE,"VETERINARY";"VETERINARY YTD",#N/A,FALSE,"VETERINARY";"VETERINARY STAT",#N/A,FALSE,"VETERINARY"}</definedName>
    <definedName name="WRN.CM" hidden="1">{#N/A,#N/A,FALSE,"FAB VENDORS";"BUD SUM",#N/A,FALSE,"BUD SUM WO TEX"}</definedName>
    <definedName name="wrn.CM_ALL." hidden="1">{"LAPO2N2",#N/A,FALSE,"CM";"TOTTEXAS",#N/A,FALSE,"CM";"LOUISIANA",#N/A,FALSE,"CM";"GENERALH2",#N/A,FALSE,"CM";"PRS",#N/A,FALSE,"CM";"PACKAGE",#N/A,FALSE,"CM";"OTHER",#N/A,FALSE,"CM"}</definedName>
    <definedName name="wrn.CM_GENERALH2." hidden="1">{"GENERALH2",#N/A,FALSE,"CM"}</definedName>
    <definedName name="wrn.CM_LAPORTE_O2N2." hidden="1">{"LAPO2N2",#N/A,FALSE,"CM"}</definedName>
    <definedName name="wrn.CM_LOUISIANA." hidden="1">{"LOUISIANA",#N/A,FALSE,"CM"}</definedName>
    <definedName name="wrn.CM_OTHER." hidden="1">{"OTHER",#N/A,FALSE,"CM"}</definedName>
    <definedName name="wrn.CM_PACKAGE." hidden="1">{"PACKAGE",#N/A,FALSE,"CM"}</definedName>
    <definedName name="wrn.CM_PRS." hidden="1">{"PRS",#N/A,FALSE,"CM"}</definedName>
    <definedName name="wrn.CM_TEXAS._.HYCO." hidden="1">{"TOTTEXAS",#N/A,FALSE,"CM"}</definedName>
    <definedName name="wrn.CMF." hidden="1">{"CMF",#N/A,TRUE,"HW";"CMF",#N/A,TRUE,"SW";"CMF",#N/A,TRUE,"TELESSUP.";"CMF",#N/A,TRUE,"DCN &amp; Acess";"CMF",#N/A,TRUE,"Sobressalentes";"CMF",#N/A,TRUE,"Mat. Instal.";"CMF",#N/A,TRUE,"Doc. Técnica"}</definedName>
    <definedName name="wrn.CMVsBud." hidden="1">{"Page1",#N/A,FALSE,"OpExJanvsBud";"Page2",#N/A,FALSE,"OpExJanvsBud"}</definedName>
    <definedName name="wrn.CMVsPY." hidden="1">{"Page 1",#N/A,FALSE,"OpExJanVsPY";"Page 2",#N/A,FALSE,"OpExJanVsPY"}</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{#N/A,#N/A,FALSE,"INPUTS";#N/A,#N/A,FALSE,"PROFORMA BSHEET";#N/A,#N/A,FALSE,"COMBINED";#N/A,#N/A,FALSE,"HIGH YIELD";#N/A,#N/A,FALSE,"COMB_GRAPHS"}</definedName>
    <definedName name="wrn.ComboResults."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P._.BS._.MONTH._.YTD." hidden="1">{"COMP BS",#N/A,FALSE,"Comparative BS"}</definedName>
    <definedName name="wrn.Comp._.by._.rep." hidden="1">{"Comp by rep","Rose",FALSE,"Comp by rep";"Comp by rep","Portnoy",FALSE,"Comp by rep"}</definedName>
    <definedName name="wrn.COMP._.CF._.AT._.Current._.ER." hidden="1">{"COMP CF",#N/A,FALSE,"Comp CF"}</definedName>
    <definedName name="wrn.COMP._.IS._.FEES._.ELIMINS." hidden="1">{"COMP FEES ELIMINS",#N/A,FALSE,"COMPIS FEES"}</definedName>
    <definedName name="wrn.Company._.Total._.Accountability." hidden="1">{"total sales",#N/A,TRUE,"ACCT-94";"total expense 1",#N/A,TRUE,"ACCT-94";"total expense 2",#N/A,TRUE,"ACCT-94";"total expense 3",#N/A,TRUE,"ACCT-94";"total sales 2",#N/A,TRUE,"ACCT-94";"total margin",#N/A,TRUE,"ACCT-94";"total margin rate",#N/A,TRUE,"ACCT-94"}</definedName>
    <definedName name="wrn.Comparative._.BS._.WO._.Local." hidden="1">{"US Current",#N/A,FALSE,"Mthly BS"}</definedName>
    <definedName name="wrn.Comparative._.Cash._.Flow." hidden="1">{#N/A,#N/A,FALSE,"Comp CF"}</definedName>
    <definedName name="wrn.Comparative._.IS._.Report." hidden="1">{"COMP IS View",#N/A,FALSE,"Comparative IS"}</definedName>
    <definedName name="wrn.compco." hidden="1">{"page1",#N/A,FALSE,"BHCOMPC5";"page2",#N/A,FALSE,"BHCOMPC5";"page3",#N/A,FALSE,"BHCOMPC5";"page4",#N/A,FALSE,"BHCOMPC5"}</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_.Report." hidden="1">{#N/A,#N/A,TRUE,"Consol. by Month";#N/A,#N/A,TRUE,"Revenue - General Manager";#N/A,#N/A,TRUE,"Revenue - Accounting";#N/A,#N/A,TRUE,"Consol. Exp. by Dept";#N/A,#N/A,TRUE,"Consol. Exp. by Month";#N/A,#N/A,TRUE,"4010 - Operations";#N/A,#N/A,TRUE,"9110 - Marketing";#N/A,#N/A,TRUE,"9201 - General Manager";#N/A,#N/A,TRUE,"9202 - Human Resources";#N/A,#N/A,TRUE,"9203 - Labour Overhead";#N/A,#N/A,TRUE,"9204 - Administrative Services";#N/A,#N/A,TRUE,"9205 - Accounting"}</definedName>
    <definedName name="wrn.Complete._.Budget._.Report.new" hidden="1">{#N/A,#N/A,TRUE,"Consol. by Month";#N/A,#N/A,TRUE,"Revenue - General Manager";#N/A,#N/A,TRUE,"Revenue - Accounting";#N/A,#N/A,TRUE,"Consol. Exp. by Dept";#N/A,#N/A,TRUE,"Consol. Exp. by Month";#N/A,#N/A,TRUE,"4010 - Operations";#N/A,#N/A,TRUE,"9110 - Marketing";#N/A,#N/A,TRUE,"9201 - General Manager";#N/A,#N/A,TRUE,"9202 - Human Resources";#N/A,#N/A,TRUE,"9203 - Labour Overhead";#N/A,#N/A,TRUE,"9204 - Administrative Services";#N/A,#N/A,TRUE,"9205 - Accounting"}</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{"comps",#N/A,FALSE,"comps";"notes",#N/A,FALSE,"comps"}</definedName>
    <definedName name="wrn.Comps1_Printing." hidden="1">{"comps1_1",#N/A,FALSE,"Comps1";"comps1_2",#N/A,FALSE,"Comps1";"comps1_3",#N/A,FALSE,"Comps1";"comps1_4",#N/A,FALSE,"Comps1";"comps1_5",#N/A,FALSE,"Comps1"}</definedName>
    <definedName name="wrn.Comps2_Printing." hidden="1">{"comps2_1",#N/A,FALSE,"Comps2";"comps2_2",#N/A,FALSE,"Comps2";"comps2_3",#N/A,FALSE,"Comps2";"comps2_4",#N/A,FALSE,"Comps2";"comps2_5",#N/A,FALSE,"Comps2"}</definedName>
    <definedName name="wrn.Comptes95." hidden="1">{#N/A,#N/A,FALSE,"3";#N/A,#N/A,FALSE,"5";#N/A,#N/A,FALSE,"6";#N/A,#N/A,FALSE,"8";#N/A,#N/A,FALSE,"10";#N/A,#N/A,FALSE,"13";#N/A,#N/A,FALSE,"14";#N/A,#N/A,FALSE,"15";#N/A,#N/A,FALSE,"16"}</definedName>
    <definedName name="wrn.CON_DESCUENTO." hidden="1">{#N/A,"Carabeer",FALSE,"Dscto.";#N/A,"Disbracentro",FALSE,"Dscto.";#N/A,"Río Beer",FALSE,"Dscto.";#N/A,"Andes",FALSE,"Dscto."}</definedName>
    <definedName name="wrn.Consolidated." hidden="1">{"PnL",#N/A,FALSE,"Total P&amp;L";"Cost Control",#N/A,FALSE,"Total P&amp;L"}</definedName>
    <definedName name="wrn.Consolidated._.Set." hidden="1">{"Consolidated IS w Ratios",#N/A,FALSE,"Consolidated";"Consolidated CF",#N/A,FALSE,"Consolidated";"Consolidated DCF",#N/A,FALSE,"Consolidated"}</definedName>
    <definedName name="wrn.Consolidated._.Statements." hidden="1">{"view1",#N/A,FALSE,"EARN (US$)";"view1",#N/A,FALSE,"DASTBS (US$)";"view1",#N/A,FALSE,"DASTCF (US$)"}</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hidden="1">{#N/A,#N/A,FALSE,"Contribution Analysis"}</definedName>
    <definedName name="wrn.contributory._.asset._.charges." hidden="1">{"contributory1",#N/A,FALSE,"Contributory Assets Detail";"contributory2",#N/A,FALSE,"Contributory Assets Detail"}</definedName>
    <definedName name="wrn.cooper." hidden="1">{#N/A,#N/A,TRUE,"Pro Forma";#N/A,#N/A,TRUE,"PF_Bal";#N/A,#N/A,TRUE,"PF_INC";#N/A,#N/A,TRUE,"CBE";#N/A,#N/A,TRUE,"SWK"}</definedName>
    <definedName name="wrn.corso_forecast." hidden="1">{"ce_storici",#N/A,FALSE}</definedName>
    <definedName name="wrn.COS." hidden="1">{"PAGE 1",#N/A,FALSE,"COS";"PAGE 2",#N/A,FALSE,"COS";"PAGE 3",#N/A,FALSE,"COS"}</definedName>
    <definedName name="wrn.COS._.EX._.GEISMAR." hidden="1">{"PAGE 1",#N/A,FALSE,"COS Excluding Geismar";"PAGE 2",#N/A,FALSE,"COS Excluding Geismar";"PAGE 3",#N/A,FALSE,"COS Excluding Geismar"}</definedName>
    <definedName name="wrn.COST._.OF._.GOODS._.SOLD." hidden="1">{"cogs",#N/A,FALSE,"Cost Of Goods Sold"}</definedName>
    <definedName name="wrn.COST._.OF._.SALES." hidden="1">{"COST OF SALES",#N/A,FALSE,"C.O.SALES"}</definedName>
    <definedName name="wrn.Covenants.b" hidden="1">{"Covenants",#N/A,FALSE,"Covs";"quarterly covenants",#N/A,FALSE,"Covs";"quarterly projections",#N/A,FALSE,"Covs"}</definedName>
    <definedName name="wrn.Cover." hidden="1">{"coverall",#N/A,FALSE,"Definitions";"cover1",#N/A,FALSE,"Definitions";"cover2",#N/A,FALSE,"Definitions";"cover3",#N/A,FALSE,"Definitions";"cover4",#N/A,FALSE,"Definitions";"cover5",#N/A,FALSE,"Definitions";"blank",#N/A,FALSE,"Definitions"}</definedName>
    <definedName name="wrn.Covers." hidden="1">{"view1",#N/A,FALSE,"MOTEARN";"view1",#N/A,FALSE,"Bal Sht";"view1",#N/A,FALSE,"Cash Flows"}</definedName>
    <definedName name="wrn.CRESCUM." hidden="1">{#N/A,#N/A,FALSE,"CRES0395"}</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hidden="1">{"page1",#N/A,TRUE,"CSC";"page2",#N/A,TRUE,"CSC"}</definedName>
    <definedName name="wrn.CSC2" hidden="1">{"page1",#N/A,TRUE,"CSC";"page2",#N/A,TRUE,"CSC"}</definedName>
    <definedName name="wrn.csc2." hidden="1">{#N/A,#N/A,FALSE,"ORIX CSC"}</definedName>
    <definedName name="wrn.CUPID." hidden="1">{"Guide",#N/A,FALSE,"Guidant";"Boston Sci",#N/A,FALSE,"Boston Scientific";"Medtro",#N/A,FALSE,"Medtronic";"St. Jude",#N/A,FALSE,"St. Jude";"Pfi",#N/A,FALSE,"Pfizer";"Bard",#N/A,FALSE,"Bard";"Johns",#N/A,FALSE,"Johnson"}</definedName>
    <definedName name="wrn.Current._.Month._.Current._.Yr._.Only." hidden="1">{"Month Summary",#N/A,FALSE,"Summary";"Total Details",#N/A,FALSE,"Current Yr";"Polymers Details",#N/A,FALSE,"Current Yr";"Performance Details",#N/A,FALSE,"Current Yr";"ICD Details",#N/A,FALSE,"Current Yr"}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stomer_base." hidden="1">{"customer base",#N/A,FALSE,"customer_base";"customer base perf estimates",#N/A,FALSE,"customer_base"}</definedName>
    <definedName name="wrn.CW." hidden="1">{#N/A,#N/A,FALSE,"FAB VENDORS";"BUD SUM",#N/A,FALSE,"BUD SUM WO TEX"}</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lmatian._.Data." hidden="1">{"Standard",#N/A,FALSE,"Dal H Inc Stmt";"Standard",#N/A,FALSE,"Dal H Bal Sht";"Standard",#N/A,FALSE,"Dal H CFs"}</definedName>
    <definedName name="wrn.Danilo." hidden="1">{#N/A,#N/A,TRUE,"Main Issues";#N/A,#N/A,TRUE,"Income statement ($)"}</definedName>
    <definedName name="wrn.Darwin." hidden="1">{#N/A,#N/A,FALSE,"Title";#N/A,#N/A,FALSE,"Assumptions";#N/A,#N/A,FALSE,"Bidder";#N/A,#N/A,FALSE,"Target";#N/A,#N/A,FALSE,"Curr";#N/A,#N/A,FALSE,"Prosp";#N/A,#N/A,FALSE,"Prosp+1";#N/A,#N/A,FALSE,"Summary";#N/A,#N/A,FALSE,"Debtsched";#N/A,#N/A,FALSE,"Sensitivities"}</definedName>
    <definedName name="wrn.dat" hidden="1">{"Pound Sterling",#N/A,TRUE,"PPD";"Pound Sterling",#N/A,TRUE,"Anaquest";"Pound Sterling",#N/A,TRUE,"Delta";"Pound Sterling",#N/A,TRUE,"INO"}</definedName>
    <definedName name="wrn.data." hidden="1">{"apci",#N/A,FALSE,"Chem_CY";"eastman",#N/A,FALSE,"Eastman";"betz",#N/A,FALSE,"Betz";"great lakes",#N/A,FALSE,"Great_Lakes";"hercules",#N/A,FALSE,"Hercules Chem Seg Data";"rohm",#N/A,FALSE,"Rohm";"union carbide",#N/A,FALSE,"Union";"witco",#N/A,FALSE,"Witco"}</definedName>
    <definedName name="wrn.DATA._.SHEETS." hidden="1">{"page1",#N/A,FALSE,"DATA SHEET";"page2",#N/A,FALSE,"DATA SHEET";"page3",#N/A,FALSE,"DATA SHEET"}</definedName>
    <definedName name="wrn.database." hidden="1">{"subs",#N/A,FALSE,"database ";"proportional",#N/A,FALSE,"database "}</definedName>
    <definedName name="wrn.dcf." hidden="1">{"mgmt forecast",#N/A,FALSE,"Mgmt Forecast";"dcf table",#N/A,FALSE,"Mgmt Forecast";"sensitivity",#N/A,FALSE,"Mgmt Forecast";"table inputs",#N/A,FALSE,"Mgmt Forecast";"calculations",#N/A,FALSE,"Mgmt Forecast"}</definedName>
    <definedName name="wrn.DCF_Terminal_Value_qchm." hidden="1">{"qchm_dcf",#N/A,FALSE,"QCHMDCF2";"qchm_terminal",#N/A,FALSE,"QCHMDCF2"}</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oTools." hidden="1">{#N/A,"DecoToolsTOTAL",FALSE,"P&amp;L";#N/A,"DecoToolsFriess",FALSE,"P&amp;L";#N/A,"DecoToolsUK",FALSE,"P&amp;L"}</definedName>
    <definedName name="wrn.Deltek._.Upload." hidden="1">{#N/A,#N/A,FALSE,"Delt Data"}</definedName>
    <definedName name="wrn.Depotübersicht." hidden="1">{#N/A,#N/A,FALSE,"Tabelle1"}</definedName>
    <definedName name="wrn.DEPRECIATION." hidden="1">{"depreciation",#N/A,FALSE,"Amort-Dep"}</definedName>
    <definedName name="wrn.Detail._.Balance._.Sheet." hidden="1">{#N/A,#N/A,FALSE,"Detail"}</definedName>
    <definedName name="wrn.Detail_Projection." hidden="1">{#N/A,#N/A,FALSE,"Detail YTD"}</definedName>
    <definedName name="wrn.Detailed._.print." hidden="1">{#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name="wrn.devdeal." hidden="1">{"top",#N/A,TRUE,"Detail";"next",#N/A,TRUE,"Detail";"then",#N/A,TRUE,"Detail";"and",#N/A,TRUE,"Detail";"inaddition",#N/A,TRUE,"Detail";"finally",#N/A,TRUE,"Detail"}</definedName>
    <definedName name="wrn.dil_anal." hidden="1">{"hiden",#N/A,FALSE,"14";"hidden",#N/A,FALSE,"16";"hidden",#N/A,FALSE,"18";"hidden",#N/A,FALSE,"20"}</definedName>
    <definedName name="wrn.dil_anal.1" hidden="1">{"hiden",#N/A,FALSE,"14";"hidden",#N/A,FALSE,"16";"hidden",#N/A,FALSE,"18";"hidden",#N/A,FALSE,"20"}</definedName>
    <definedName name="wrn.Dividend._.Schedule." hidden="1">{"Dividend",#N/A,FALSE,"Cash Flow"}</definedName>
    <definedName name="wrn.dkk." hidden="1">{#N/A,#N/A,FALSE,"Financiel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wrn.document." hidden="1">{"comp",#N/A,FALSE,"SPEC";"footnotes",#N/A,FALSE,"SPEC"}</definedName>
    <definedName name="wrn.document.1" hidden="1">{"comp",#N/A,FALSE,"SPEC";"footnotes",#N/A,FALSE,"SPEC"}</definedName>
    <definedName name="wrn.documentaero." hidden="1">{"comps2",#N/A,FALSE,"AERO";"footnotes",#N/A,FALSE,"AERO"}</definedName>
    <definedName name="wrn.documentaero.1" hidden="1">{"comps2",#N/A,FALSE,"AERO";"footnotes",#N/A,FALSE,"AERO"}</definedName>
    <definedName name="wrn.documentation." hidden="1">{"documentation1",#N/A,FALSE,"Documentation";"documentation2",#N/A,FALSE,"Documentation"}</definedName>
    <definedName name="wrn.documenthand." hidden="1">{"comps",#N/A,FALSE,"HANDPACK";"footnotes",#N/A,FALSE,"HANDPACK"}</definedName>
    <definedName name="wrn.documenthand.1" hidden="1">{"comps",#N/A,FALSE,"HANDPACK";"footnotes",#N/A,FALSE,"HANDPACK"}</definedName>
    <definedName name="wrn.Doors." hidden="1">{#N/A,"DoorsEurope",FALSE,"P&amp;L";#N/A,"DoorsUK",FALSE,"P&amp;L";#N/A,"DoorsFrance",FALSE,"P&amp;L"}</definedName>
    <definedName name="wrn.Draft." hidden="1">{"Draft",#N/A,FALSE,"Feb-96"}</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gle." hidden="1">{#N/A,#N/A,FALSE,"Historical";#N/A,#N/A,FALSE,"EPS-Purchase";#N/A,#N/A,FALSE,"EPS-Pool";#N/A,#N/A,FALSE,"DCF";"Market Share",#N/A,FALSE,"Revenue";"Revenue",#N/A,FALSE,"Revenue"}</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critures." hidden="1">{#N/A,#N/A,TRUE,"Retrait";#N/A,#N/A,TRUE,"Guichets";#N/A,#N/A,TRUE,"Caveau";#N/A,#N/A,TRUE,"Schéma";#N/A,#N/A,TRUE,"Compensation";#N/A,#N/A,TRUE,"Opér.Internationales";#N/A,#N/A,TRUE,"Support";#N/A,#N/A,TRUE,"Dette Externe";#N/A,#N/A,TRUE,"Opérations de Crédit";#N/A,#N/A,TRUE,"Ress. Humaines";#N/A,#N/A,TRUE,"Opér.Fiscales";#N/A,#N/A,TRUE,"Comptabilité"}</definedName>
    <definedName name="wrn.edhw." hidden="1">{#N/A,#N/A,FALSE,"New reverser"}</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fhw." hidden="1">{#N/A,#N/A,FALSE,"New reverser"}</definedName>
    <definedName name="wrn.Eilbericht_UBA." hidden="1">{"Eilbericht_UBA",#N/A,FALSE,"EB"}</definedName>
    <definedName name="wrn.EMM._.detail._.edition." hidden="1">{#N/A,#N/A,TRUE,"Cover";#N/A,#N/A,TRUE,"Content";"Orders EMM",#N/A,TRUE,"Order Sales";"project EMM",#N/A,TRUE,"Project Control";"Cash EMM",#N/A,TRUE,"Cash Control";"KPI EMM",#N/A,TRUE,"KPI-EMM";"Empl EMM",#N/A,TRUE,"Employees"}</definedName>
    <definedName name="wrn.Employee._.Efficiency." hidden="1">{"Employee Efficiency",#N/A,FALSE,"Benchmarking"}</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quipment." hidden="1">{"PnL",#N/A,FALSE,"Equip P&amp;L";"Responsibility",#N/A,FALSE,"Equip P&amp;L";"Cost Control",#N/A,FALSE,"Equip P&amp;L"}</definedName>
    <definedName name="wrn.equity._.comps."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rgebnisbericht_UBA." hidden="1">{"Ergebnisbericht_UBA",#N/A,FALSE,"MB"}</definedName>
    <definedName name="wrn.ETATS._.DE._.SYNTHESE." hidden="1">{#N/A,#N/A,FALSE,"TABLEAU DES FLUX";#N/A,#N/A,FALSE,"COMPTE DE RESULTAT";#N/A,#N/A,FALSE,"BILAN FINANCIER";#N/A,#N/A,FALSE,"BSPL_96"}</definedName>
    <definedName name="wrn.Europe." hidden="1">{"PnL",#N/A,FALSE,"Gas Eur P&amp;L";"Responsibility",#N/A,FALSE,"Gas Eur P&amp;L";"Cost Control",#N/A,FALSE,"Gas Eur P&amp;L";"Program List",#N/A,FALSE,"Gas Eur P&amp;L"}</definedName>
    <definedName name="wrn.Europe._.Base." hidden="1">{"Eur Base Top",#N/A,FALSE,"Europe Base";"Eur Base Bottom",#N/A,FALSE,"Europe Base"}</definedName>
    <definedName name="wrn.Europe._.Set." hidden="1">{"IS w Ratios",#N/A,FALSE,"Europe";"PF CF Europe",#N/A,FALSE,"Europe";"DCF Eur Matrix",#N/A,FALSE,"Europe"}</definedName>
    <definedName name="wrn.ev" hidden="1">{#N/A,#N/A,FALSE,"INPUTS";#N/A,#N/A,FALSE,"PROFORMA BSHEET";#N/A,#N/A,FALSE,"COMBINED";#N/A,#N/A,FALSE,"ACQUIROR";#N/A,#N/A,FALSE,"TARGET 1";#N/A,#N/A,FALSE,"TARGET 2";#N/A,#N/A,FALSE,"HIGH YIELD";#N/A,#N/A,FALSE,"OVERFUND"}</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_.SUMM._.ALL." hidden="1">{"exec sum us",#N/A,FALSE,"Exec Sum";"exec sum ex",#N/A,FALSE,"Exec Sum";"exec summ other",#N/A,FALSE,"Exec Sum";"exec sum ww",#N/A,FALSE,"Exec Sum"}</definedName>
    <definedName name="wrn.EXEC._.SUMM._.EX._.US." hidden="1">{"exec sum ex",#N/A,FALSE,"Exec Sum"}</definedName>
    <definedName name="wrn.EXEC._.SUMM._.OTHER." hidden="1">{"exec summ other",#N/A,FALSE,"Exec Sum"}</definedName>
    <definedName name="wrn.EXEC._.SUMM._.US." hidden="1">{"exec sum us",#N/A,FALSE,"Exec Sum"}</definedName>
    <definedName name="wrn.EXEC._.SUMM._.WW." hidden="1">{"exec sum ww",#N/A,FALSE,"Exec Sum"}</definedName>
    <definedName name="wrn.Exports." hidden="1">{#N/A,#N/A,FALSE,"Exports";#N/A,#N/A,FALSE,"Carolans";#N/A,#N/A,FALSE,"Irish Mist";#N/A,#N/A,FALSE,"Tullamore Dew";#N/A,#N/A,FALSE,"Other Brands Exports";#N/A,#N/A,FALSE,"Frangelico";#N/A,#N/A,FALSE,"Mondoro";#N/A,#N/A,FALSE,"Aperol";#N/A,#N/A,FALSE,"Others Exports"}</definedName>
    <definedName name="wrn.F.S.." hidden="1">{#N/A,#N/A,TRUE,"COVER";#N/A,#N/A,TRUE,"DIR";#N/A,#N/A,TRUE,"AUDIT"}</definedName>
    <definedName name="wrn.f.s.2" hidden="1">{#N/A,#N/A,TRUE,"COVER";#N/A,#N/A,TRUE,"DIR";#N/A,#N/A,TRUE,"AUDIT"}</definedName>
    <definedName name="wrn.Far._.East._.Set." hidden="1">{"IS FE with Ratios",#N/A,FALSE,"Far East";"PF CF Far East",#N/A,FALSE,"Far East";"DCF Far East Matrix",#N/A,FALSE,"Far East"}</definedName>
    <definedName name="wrn.Fastening." hidden="1">{#N/A,"FasteningTOTAL",FALSE,"P&amp;L";#N/A,"FasteningFrance",FALSE,"P&amp;L";#N/A,"FasteningItaly",FALSE,"P&amp;L";#N/A,"FasteningUK",FALSE,"P&amp;L";#N/A,"FasteningGermany",FALSE,"P&amp;L";#N/A,"FasteningSwitzerland",FALSE,"P&amp;L";#N/A,"FasteningBelgium",FALSE,"P&amp;L";#N/A,"FasteningDekker",FALSE,"P&amp;L";#N/A,"FasteningNordic",FALSE,"P&amp;L";#N/A,"FasteningFinland",FALSE,"P&amp;L";#N/A,"FasteningPoland",FALSE,"P&amp;L";#N/A,"FasteningCZ",FALSE,"P&amp;L"}</definedName>
    <definedName name="wrn.FE._.Sensitivity." hidden="1">{"Far East Top",#N/A,FALSE,"FE Model";"Far East Mid",#N/A,FALSE,"FE Model";"Far East Base",#N/A,FALSE,"FE Model"}</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iais_marc." hidden="1">{#N/A,#N/A,TRUE,"Resumo";#N/A,#N/A,TRUE,"iNDICES";#N/A,#N/A,TRUE,"TOT_MI";#N/A,#N/A,TRUE,"COT";#N/A,#N/A,TRUE,"LIM";#N/A,#N/A,TRUE,"SIF";#N/A,#N/A,TRUE,"RIO";#N/A,#N/A,TRUE,"MESA";#N/A,#N/A,TRUE,"POA_EST_MTN_SLP";#N/A,#N/A,TRUE,"PEL";#N/A,#N/A,TRUE,"PSF";#N/A,#N/A,TRUE,"CXS";#N/A,#N/A,TRUE,"CAA";#N/A,#N/A,TRUE,"REC";#N/A,#N/A,TRUE,"BRA";#N/A,#N/A,TRUE,"ANA";#N/A,#N/A,TRUE,"TOT ME";#N/A,#N/A,TRUE,"TOT"}</definedName>
    <definedName name="wrn.final."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Statement._.Package." hidden="1">{#N/A,#N/A,FALSE,"Title";#N/A,#N/A,FALSE,"GAAP BS";#N/A,#N/A,FALSE,"GAAP IS";#N/A,#N/A,FALSE,"Summary";#N/A,#N/A,FALSE,"Summary 40% QS";#N/A,#N/A,FALSE,"Stat BS";#N/A,#N/A,FALSE,"Stat IS";#N/A,#N/A,FALSE,"Cash Flow";#N/A,#N/A,FALSE,"40% Quota Share Rpt";#N/A,#N/A,FALSE,"Per Risk XOL Rpt";#N/A,#N/A,FALSE,"Part 1 - Premiums";#N/A,#N/A,FALSE,"Part 2 - Losses Paid &amp; Incurred";#N/A,#N/A,FALSE,"Part 2a - Unpaid Losses &amp; LAE";#N/A,#N/A,FALSE,"Part 3 - Expenses";#N/A,#N/A,FALSE,"Exhibit- Net Invest &amp; Cap G(L)";#N/A,#N/A,FALSE,"MGA Settlement Statement"}</definedName>
    <definedName name="wrn.Financial._.Stmt." hidden="1">{#N/A,#N/A,FALSE,"FScover";#N/A,#N/A,FALSE,"Balsht";#N/A,#N/A,FALSE,"income";#N/A,#N/A,FALSE,"cashflw";#N/A,#N/A,FALSE,"g&amp;a";#N/A,#N/A,FALSE,"cos"}</definedName>
    <definedName name="wrn.FINANCIAL._.SUMMARY._.ALL." hidden="1">{"fin sum us",#N/A,FALSE,"Financial Summ";"fin sum ex",#N/A,FALSE,"Financial Summ";"fin sum other",#N/A,FALSE,"Financial Summ";"fin sum ww",#N/A,FALSE,"Financial Summ"}</definedName>
    <definedName name="wrn.FINANCIAL._.SUMMARY._.EX._.US." hidden="1">{"fin sum ex",#N/A,FALSE,"Financial Summ"}</definedName>
    <definedName name="wrn.FINANCIAL._.SUMMARY._.OTHER." hidden="1">{"fin sum other",#N/A,FALSE,"Financial Summ"}</definedName>
    <definedName name="wrn.FINANCIAL._.SUMMARY._.US." hidden="1">{"fin sum us",#N/A,FALSE,"Financial Summ"}</definedName>
    <definedName name="wrn.FINANCIAL._.SUMMARY._.WW." hidden="1">{"fin sum ww",#N/A,FALSE,"Financial Summ"}</definedName>
    <definedName name="wrn.financials." hidden="1">{#N/A,#N/A,TRUE,"Mkt Assumptions";#N/A,#N/A,TRUE,"Income_Statement";#N/A,#N/A,TRUE,"Balance_Sheet";#N/A,#N/A,TRUE,"Cash_Flow_Stmt";#N/A,#N/A,TRUE,"Debt_Repayment";#N/A,#N/A,TRUE,"Ratio_Analysis";#N/A,#N/A,TRUE,"Inc_Stmt_Assumptions"}</definedName>
    <definedName name="wrn.Financials._.DCF." hidden="1">{"Standard",#N/A,FALSE,"Lab H Inc Stmt";"Standard",#N/A,FALSE,"Lab H Bal Sht";"Standard",#N/A,FALSE,"Lab H CFs";"Standard",#N/A,FALSE,"Lab P Inc Stmt";"Standard",#N/A,FALSE,"Lab P CFs Base";"Standard",#N/A,FALSE,"Lab DCF Base";"Standard",#N/A,FALSE,"DCF Sum"}</definedName>
    <definedName name="wrn.Financials._.Pack." hidden="1">{"DMS P&amp;L",#N/A,TRUE,"Workbook Contents";"Telstra Restructure Costs Balance Sheet",#N/A,TRUE,"Workbook Contents";"Telstra Restructure Costs Cashflow",#N/A,TRUE,"Workbook Contents";"Telstra Restructure Costs P&amp;L",#N/A,TRUE,"Workbook Contents";"DC Telstra w/. Savings Balance Sheet",#N/A,TRUE,"Workbook Contents";"DC Telstra w/. Savings Cashflow",#N/A,TRUE,"Workbook Contents";"DC Telstra w/. Savings P&amp;L",#N/A,TRUE,"Workbook Contents";"DC Ex Telstra Restructure Costs Balance Sheet",#N/A,TRUE,"Workbook Contents";"DC Ex Telstra Restrucure Costs Cashflow",#N/A,TRUE,"Workbook Contents";"DC Ex Telstra Restructure Costs P&amp;L",#N/A,TRUE,"Workbook Contents";"DC Ex Telstra w/. Savings Balance Sheet",#N/A,TRUE,"Workbook Contents";"DC Ex Telstra w/. Savings Cashflow",#N/A,TRUE,"Workbook Contents";"DC Ex Telstra w/. Savings P&amp;L",#N/A,TRUE,"Workbook Contents";"Combined Balance Sheet",#N/A,TRUE,"Workbook Contents";"Combined Cash Flow",#N/A,TRUE,"Workbook Contents";"Combined P&amp;L",#N/A,TRUE,"Workbook Contents";"Summary",#N/A,TRUE,"Workbook Contents";"DC Cashflow",#N/A,TRUE,"Workbook Contents";"DC Telstra KPI",#N/A,TRUE,"Workbook Contents";"Combined (ex Telstra) KPI",#N/A,TRUE,"Workbook Contents";"DMS KPI",#N/A,TRUE,"Workbook Contents";"DC Ex Telstra KPI",#N/A,TRUE,"Workbook Contents"}</definedName>
    <definedName name="wrn.Financials_long." hidden="1">{"IS",#N/A,FALSE,"Financials2 (Expanded)";"bsa",#N/A,FALSE,"Financials2 (Expanded)";"BS",#N/A,FALSE,"Financials2 (Expanded)";"CF",#N/A,FALSE,"Financials2 (Expanded)"}</definedName>
    <definedName name="wrn.finmodel." hidden="1">{#N/A,#N/A,FALSE,"Fin Model"}</definedName>
    <definedName name="wrn.FISV._.5._.year._.model." hidden="1">{"Assns Fax",#N/A,FALSE,"Assumptions";"Financial View",#N/A,FALSE,"Earnings";"DCF View",#N/A,FALSE,"Earnings";"Sensitivity",#N/A,FALSE,"DCF"}</definedName>
    <definedName name="wrn.FIVE._.YEAR._.PROJECTION." hidden="1">{"FIVEYEAR",#N/A,TRUE,"SUMMARY";"FIVEYEAR",#N/A,TRUE,"Ratios";"FIVEYEAR",#N/A,TRUE,"Revenue";"FIVEYEAR",#N/A,TRUE,"DETAIL";"FIVEYEAR",#N/A,TRUE,"Payroll"}</definedName>
    <definedName name="wrn.Flowback._.Analysis." hidden="1">{"Merger Output",#N/A,FALSE,"Summary_Output";"Flowback Assesment dollars",#N/A,FALSE,"FLow";"Flowback assesment percent",#N/A,FALSE,"FLow";"Impact to Rubik Price",#N/A,FALSE,"FLow"}</definedName>
    <definedName name="wrn.Flowback._.Analysis2." hidden="1">{"Merger Output",#N/A,FALSE,"Summary_Output";"Flowback Assesment dollars",#N/A,FALSE,"FLow";"Flowback assesment percent",#N/A,FALSE,"FLow";"Impact to Rubik Price",#N/A,FALSE,"FLow"}</definedName>
    <definedName name="wrn.Flowback._.Analysis3." hidden="1">{"Merger Output",#N/A,FALSE,"Summary_Output";"Flowback Assesment dollars",#N/A,FALSE,"FLow";"Flowback assesment percent",#N/A,FALSE,"FLow";"Impact to Rubik Price",#N/A,FALSE,"FLow"}</definedName>
    <definedName name="wrn.forecast." hidden="1">{"first",#N/A,FALSE,"1st qtr";"second",#N/A,FALSE,"2nd Qtr";"third",#N/A,FALSE,"3rd Qtr";"fourth",#N/A,FALSE,"4th qtr";"year",#N/A,FALSE,"total year"}</definedName>
    <definedName name="wrn.Forecast._.No._.Interest." hidden="1">{#N/A,#N/A,FALSE,"Income Statement";#N/A,#N/A,FALSE,"Balance Sheet";#N/A,#N/A,FALSE,"AR Analysis";#N/A,#N/A,FALSE,"Inventory Analysis";#N/A,#N/A,FALSE,"Direct Material";#N/A,#N/A,FALSE,"Labor";#N/A,#N/A,FALSE,"Overhead";#N/A,#N/A,FALSE,"Capital";#N/A,#N/A,FALSE,"Indirect Roster"}</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red." hidden="1">{"cover",#N/A,TRUE,"BaseCase";"pnl",#N/A,TRUE,"BaseCase";"pnldet",#N/A,TRUE,"BaseCase";"bil",#N/A,TRUE,"BaseCase";"tabfi",#N/A,TRUE,"BaseCase";"ratios",#N/A,TRUE,"BaseCase";"variab",#N/A,TRUE,"BaseCase";"inv",#N/A,TRUE,"BaseCase"}</definedName>
    <definedName name="wrn.Full." hidden="1">{#N/A,#N/A,FALSE,"Cover";"outputs total",#N/A,FALSE,"Outputs"}</definedName>
    <definedName name="wrn.Full._.model."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b"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_Print_Out." hidden="1">{#N/A,#N/A,TRUE,"Summary";#N/A,#N/A,TRUE,"Input";#N/A,#N/A,TRUE,"Other Assump";#N/A,#N/A,TRUE,"Construction Period";#N/A,#N/A,TRUE,"Escalation";#N/A,#N/A,TRUE,"Debt";#N/A,#N/A,TRUE,"Revs&amp;Costs";#N/A,#N/A,TRUE,"Depreciation";#N/A,#N/A,TRUE,"TAX";#N/A,#N/A,TRUE,"Cash-flow";#N/A,#N/A,TRUE,"VAT";#N/A,#N/A,TRUE,"P&amp;L-BS";#N/A,#N/A,TRUE,"IRR"}</definedName>
    <definedName name="wrn.FY00._.Summary." hidden="1">{"FY00",#N/A,FALSE,"Sheet1"}</definedName>
    <definedName name="wrn.FY01._.Target." hidden="1">{"FY01 TARGET",#N/A,FALSE,"Sheet1"}</definedName>
    <definedName name="wrn.FY97SBP." hidden="1">{#N/A,#N/A,FALSE,"FY97";#N/A,#N/A,FALSE,"FY98";#N/A,#N/A,FALSE,"FY99";#N/A,#N/A,FALSE,"FY00";#N/A,#N/A,FALSE,"FY01"}</definedName>
    <definedName name="wrn.GAAP._.Only." hidden="1">{#N/A,#N/A,FALSE,"GAAP BS";#N/A,#N/A,FALSE,"GAAP IS";#N/A,#N/A,FALSE,"Summary";#N/A,#N/A,FALSE,"50% QS";#N/A,#N/A,FALSE,"Earned Ceding Commission";#N/A,#N/A,FALSE,"75% QS"}</definedName>
    <definedName name="wrn.GB._.99." hidden="1">{#N/A,#N/A,FALSE,"Umsatz 99";#N/A,#N/A,FALSE,"ER 99 "}</definedName>
    <definedName name="wrn.GB._.CH." hidden="1">{#N/A,#N/A,FALSE,"Umsatz CH";#N/A,#N/A,FALSE,"ER CH";#N/A,#N/A,FALSE,"EA CH (2) ";#N/A,#N/A,FALSE,"EA CH";#N/A,#N/A,FALSE,"EA CH (3) ";#N/A,#N/A,FALSE,"EA CH (4)";#N/A,#N/A,FALSE,"KA CH";#N/A,#N/A,FALSE,"KA CH  (2)";#N/A,#N/A,FALSE,"KA CH  (3)";#N/A,#N/A,FALSE,"KA CH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hidden="1">{#N/A,#N/A,FALSE,"Umsatz HM";#N/A,#N/A,FALSE,"ER HM";#N/A,#N/A,FALSE,"EA HM  (2)";#N/A,#N/A,FALSE,"EA HM ";#N/A,#N/A,FALSE,"EA HM  (4)";#N/A,#N/A,FALSE,"EA HM  (3)";#N/A,#N/A,FALSE,"KA HM  (2)";#N/A,#N/A,FALSE,"KA HM";#N/A,#N/A,FALSE,"KA HM  (3)";#N/A,#N/A,FALSE,"KA HM (4)"}</definedName>
    <definedName name="wrn.GB._.OK." hidden="1">{#N/A,#N/A,FALSE,"Umsatz OK";#N/A,#N/A,FALSE,"ER OK ";#N/A,#N/A,FALSE,"EA OK (2)";#N/A,#N/A,FALSE,"EA OK";#N/A,#N/A,FALSE,"EA OK (3)";#N/A,#N/A,FALSE,"EA OK (4)";#N/A,#N/A,FALSE,"KA OK  (2)";#N/A,#N/A,FALSE,"KA OK";#N/A,#N/A,FALSE,"KA OK  (3)";#N/A,#N/A,FALSE,"KA OK (4)"}</definedName>
    <definedName name="wrn.gb._hm."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ENERAL._.INPUT._.SCREEN." hidden="1">{"General Input",#N/A,FALSE,"General Input"}</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lobal." hidden="1">{#N/A,#N/A,FALSE,"Global"}</definedName>
    <definedName name="wrn.Graph._.edition." hidden="1">{#N/A,#N/A,FALSE,"KPI-EMM-Graph";#N/A,#N/A,FALSE,"Cost Graph";#N/A,#N/A,FALSE,"Cash graph";#N/A,#N/A,FALSE,"Order Sales Graph"}</definedName>
    <definedName name="wrn.GRAPHS." hidden="1">{#N/A,#N/A,FALSE,"ACQ_GRAPHS";#N/A,#N/A,FALSE,"T_1 GRAPHS";#N/A,#N/A,FALSE,"T_2 GRAPHS";#N/A,#N/A,FALSE,"COMB_GRAPHS"}</definedName>
    <definedName name="wrn.handout." hidden="1">{"quarterly",#N/A,FALSE,"Income Statement New CPB";"annual",#N/A,FALSE,"Income Statement New CPB";"cash flow",#N/A,FALSE,"Cash Flow";"balance",#N/A,FALSE,"Balance Sheet";"seg",#N/A,FALSE,"New Segment Breakout"}</definedName>
    <definedName name="wrn.HandTools." hidden="1">{#N/A,"HandToolsTOTAL",FALSE,"P&amp;L";#N/A,"HandToolsUK",FALSE,"P&amp;L";#N/A,"HandToolsFrance",FALSE,"P&amp;L";#N/A,"HandToolsItaly",FALSE,"P&amp;L";#N/A,"HandToolsGermany",FALSE,"P&amp;L";#N/A,"HandToolsDenmark",FALSE,"P&amp;L";#N/A,"HandToolsSweden",FALSE,"P&amp;L";#N/A,"HandToolsFinland",FALSE,"P&amp;L";#N/A,"HandToolsBelgium",FALSE,"P&amp;L";#N/A,"HandToolsNetherlands",FALSE,"P&amp;L";#N/A,"HandToolsPoland",FALSE,"P&amp;L";#N/A,"HandToolsSouthAfrica",FALSE,"P&amp;L"}</definedName>
    <definedName name="wrn.HELIUM._.PRICING." hidden="1">{"HELIUM PRICING",#N/A,FALSE,"HELIUM"}</definedName>
    <definedName name="wrn.HELIUM._.REVENUE." hidden="1">{"HELIUM REVENUE",#N/A,FALSE,"HELIUM"}</definedName>
    <definedName name="wrn.HELIUM._.VOLUME." hidden="1">{"HELIUM VOLUME",#N/A,FALSE,"HELIUM"}</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hidden="1">{#N/A,#N/A,FALSE,"Cover";#N/A,#N/A,FALSE,"Gas";#N/A,#N/A,FALSE,"Umsatz";#N/A,#N/A,FALSE,"Kosten";#N/A,#N/A,FALSE,"Capex Deprec";#N/A,#N/A,FALSE,"WC";#N/A,#N/A,FALSE,"Rückstellungen";#N/A,#N/A,FALSE,"Rente";#N/A,#N/A,FALSE,"EBITDA"}</definedName>
    <definedName name="wrn.Hipótesis._.B." hidden="1">{#N/A,"Hipótesis B",FALSE,"desglose";#N/A,#N/A,FALSE,"p&amp;g";#N/A,#N/A,FALSE,"detallder+dob (B)";#N/A,#N/A,FALSE,"costotitulo(B)";#N/A,#N/A,FALSE,"costohora(B)"}</definedName>
    <definedName name="wrn.history." hidden="1">{#N/A,#N/A,FALSE,"model"}</definedName>
    <definedName name="wrn.history2" hidden="1">{#N/A,#N/A,FALSE,"model"}</definedName>
    <definedName name="wrn.histROIC." hidden="1">{#N/A,#N/A,FALSE,"model"}</definedName>
    <definedName name="wrn.histROIC2" hidden="1">{#N/A,#N/A,FALSE,"model"}</definedName>
    <definedName name="wrn.HRT." hidden="1">{"HRT",#N/A,FALSE,"HRT"}</definedName>
    <definedName name="wrn.ICD." hidden="1">{"ICD Details",#N/A,FALSE,"Current Yr";"ICD Details",#N/A,FALSE,"Budget";"ICD Details",#N/A,FALSE,"Prior Year"}</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STMTS." hidden="1">{#N/A,#N/A,FALSE,"SYN-15";#N/A,#N/A,FALSE,"BRC-37 ";#N/A,#N/A,FALSE,"EIND-39";#N/A,#N/A,FALSE,"BV-40";#N/A,#N/A,FALSE,"BELG-41";#N/A,#N/A,FALSE,"FRANCESA-42";#N/A,#N/A,FALSE,"GERMSA-43";#N/A,#N/A,FALSE,"AUSTR-45";#N/A,#N/A,FALSE,"ITALYSA-46";#N/A,#N/A,FALSE,"SAFRIC-48";#N/A,#N/A,FALSE,"SPAINSA-49";#N/A,#N/A,FALSE,"VITA-50";#N/A,#N/A,FALSE,"DAN-51";#N/A,#N/A,FALSE,"UK-52";#N/A,#N/A,FALSE,"SWITZ-53";#N/A,#N/A,FALSE,"LEBAN-54";#N/A,#N/A,FALSE,"FOURM-56";#N/A,#N/A,FALSE,"CARDIO-57";#N/A,#N/A,FALSE,"BRUSHQ-58";#N/A,#N/A,FALSE,"ISRAEL-59";#N/A,#N/A,FALSE,"VITAJAP-68";#N/A,#N/A,FALSE,"CHWFOE-69";#N/A,#N/A,FALSE,"HK-70";#N/A,#N/A,FALSE,"AUSTRL-71";#N/A,#N/A,FALSE,"JAP-72";#N/A,#N/A,FALSE,"BIOTEC-73";#N/A,#N/A,FALSE,"IND-76";#N/A,#N/A,FALSE,"IND-76 (MAM)";#N/A,#N/A,FALSE,"DEN-77";#N/A,#N/A,FALSE,"NORW-78";#N/A,#N/A,FALSE,"SWED-79";#N/A,#N/A,FALSE,"VITASP-86";#N/A,#N/A,FALSE,"VITAGER-89";#N/A,#N/A,FALSE,"VITAFR-90";#N/A,#N/A,FALSE,"VITUK-91";#N/A,#N/A,FALSE,"EUR SA-97";#N/A,#N/A,FALSE,"MDTRNC-99"}</definedName>
    <definedName name="wrn.imp." hidden="1">{"vue1",#N/A,FALSE,"synthese";"vue2",#N/A,FALSE,"synthese"}</definedName>
    <definedName name="wrn.imp.2" hidden="1">{"vue1",#N/A,FALSE,"synthese";"vue2",#N/A,FALSE,"synthese"}</definedName>
    <definedName name="wrn.imp.3" hidden="1">{"vue1",#N/A,FALSE,"synthese";"vue2",#N/A,FALSE,"synthese"}</definedName>
    <definedName name="wrn.IMPRESION." hidden="1">{#N/A,#N/A,FALSE,"Hoja1";#N/A,#N/A,FALSE,"Hoja2"}</definedName>
    <definedName name="wrn.Impression._.globale." hidden="1">{#N/A,#N/A,TRUE,"Summary";#N/A,#N/A,TRUE,"Assumptions";#N/A,#N/A,TRUE,"Economic Assumptions";#N/A,#N/A,TRUE,"Technical Assumptions";#N/A,#N/A,TRUE,"Construction Phase";#N/A,#N/A,TRUE,"VAT";#N/A,#N/A,TRUE,"Rev. &amp; Costs - Op. Y";#N/A,#N/A,TRUE,"Rev. &amp; Costs - Cal. Y";#N/A,#N/A,TRUE,"Debt Op. Year";#N/A,#N/A,TRUE,"Debt Cal. Year";#N/A,#N/A,TRUE,"Tax";#N/A,#N/A,TRUE,"Cashflow-Op. Y";#N/A,#N/A,TRUE,"Cashflow Cal. Y";#N/A,#N/A,TRUE,"IRR ";#N/A,#N/A,TRUE,"Notes"}</definedName>
    <definedName name="wrn.Income." hidden="1">{#N/A,#N/A,TRUE,"Income";#N/A,#N/A,TRUE,"IncomeDetail";#N/A,#N/A,TRUE,"Balance";#N/A,#N/A,TRUE,"BalDetail"}</definedName>
    <definedName name="wrn.income._.statement." hidden="1">{"income statement",#N/A,FALSE,"ATLAS-A"}</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dic1." hidden="1">{#N/A,#N/A,TRUE,"Tx change";#N/A,#N/A,TRUE,"Amont";#N/A,#N/A,TRUE,"Amont 2";#N/A,#N/A,TRUE,"Elevage";#N/A,#N/A,TRUE,"Vendas MI";#N/A,#N/A,TRUE,"Vendas ME";#N/A,#N/A,TRUE,"Graf Stocks";#N/A,#N/A,TRUE,"Stocks";#N/A,#N/A,TRUE,"Graf Dias Stock";#N/A,#N/A,TRUE,"Rend 75 80";#N/A,#N/A,TRUE,"Rend 90 100";#N/A,#N/A,TRUE,"Effectifs";#N/A,#N/A,TRUE,"prod atividade"}</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formes." hidden="1">{#N/A,#N/A,FALSE,"CN Oficial RESUMIDA EXCanon";#N/A,#N/A,FALSE,"CN Oficial";#N/A,#N/A,FALSE,"CA Oficial";#N/A,#N/A,FALSE,"PLANTILLA";#N/A,#N/A,FALSE,"BAL";#N/A,#N/A,FALSE,"PT_Finanzas";#N/A,#N/A,FALSE,"INVERSIONES BIEN"}</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térêts._.Mai._.95." hidden="1">{#N/A,#N/A,FALSE,"Intérêts emprunts C.Epargne";#N/A,#N/A,FALSE,"Intérêts emprunts Cie de Suez";#N/A,#N/A,FALSE,"Intérêts emprunts Stés Groupe";#N/A,#N/A,FALSE,"Intérêts prêts Cie de Suez";#N/A,#N/A,FALSE,"Intérêts prêts Stés Groupe";#N/A,#N/A,FALSE,"Intérêts émiss° ISP BT in fine";#N/A,#N/A,FALSE,"Intérêts émiss°ISP BT pcptés";#N/A,#N/A,FALSE,"Intérêts émiss°CPR BT pcptés";#N/A,#N/A,FALSE,"Intérêts souscription TCN";#N/A,#N/A,FALSE,"Intérêts souscript°MTN mandat";#N/A,#N/A,FALSE,"Intérêts souscript°MTN"}</definedName>
    <definedName name="wrn.international." hidden="1">{"sweden",#N/A,FALSE,"Sweden";"germany",#N/A,FALSE,"Germany";"portugal",#N/A,FALSE,"Portugal";"belgium",#N/A,FALSE,"Belgium";"japan",#N/A,FALSE,"Japan ";"italy",#N/A,FALSE,"Italy";"spain",#N/A,FALSE,"Spain";"korea",#N/A,FALSE,"Korea"}</definedName>
    <definedName name="wrn.Inventories." hidden="1">{#N/A,#N/A,FALSE,"Presentation by Unit";#N/A,#N/A,FALSE,"Presentation by BD";#N/A,#N/A,FALSE,"Presentation Split by Biggest U";#N/A,#N/A,FALSE,"Presentation Split by Area";#N/A,#N/A,FALSE,"Presentation Split by BD"}</definedName>
    <definedName name="wrn.ireland" hidden="1">{"Pound Sterling",#N/A,TRUE,"PPD";"Pound Sterling",#N/A,TRUE,"Anaquest";"Pound Sterling",#N/A,TRUE,"Delta";"Pound Sterling",#N/A,TRUE,"INO"}</definedName>
    <definedName name="wrn.IS._.DETAIL._.ALL." hidden="1">{"is detail ww",#N/A,FALSE,"IS DETAIL";"is detail other",#N/A,FALSE,"IS DETAIL";"is detail ex",#N/A,FALSE,"IS DETAIL";"is detail us",#N/A,FALSE,"IS DETAIL"}</definedName>
    <definedName name="wrn.IS._.DETAIL._.EX._.US." hidden="1">{"is detail ex",#N/A,FALSE,"IS DETAIL"}</definedName>
    <definedName name="wrn.IS._.DETAIL._.OTHER." hidden="1">{"is detail other",#N/A,FALSE,"IS DETAIL"}</definedName>
    <definedName name="wrn.IS._.DETAIL._.US." hidden="1">{"is detail us",#N/A,FALSE,"IS DETAIL"}</definedName>
    <definedName name="wrn.IS._.DETAIL._.WW." hidden="1">{"is detail ww",#N/A,FALSE,"IS DETAIL"}</definedName>
    <definedName name="wrn.IS._.Monthly._.US._.At._.Current." hidden="1">{"Monthly IS At Current ER",#N/A,FALSE,"Mthly IS"}</definedName>
    <definedName name="wrn.IS._.SUMMARY._.ALL." hidden="1">{"is sum ww",#N/A,FALSE,"IS SUM";"is sum other",#N/A,FALSE,"IS SUM";"is sum ex",#N/A,FALSE,"IS SUM";"is sum us",#N/A,FALSE,"IS SUM"}</definedName>
    <definedName name="wrn.IS._.SUMMARY._.EX._.US." hidden="1">{"is sum ex",#N/A,FALSE,"IS SUM"}</definedName>
    <definedName name="wrn.IS._.SUMMARY._.OTHER." hidden="1">{"is sum other",#N/A,FALSE,"IS SUM"}</definedName>
    <definedName name="wrn.IS._.SUMMARY._.US." hidden="1">{"is sum us",#N/A,FALSE,"IS SUM"}</definedName>
    <definedName name="wrn.IS._.SUMMARY._.WW." hidden="1">{"is sum ww",#N/A,FALSE,"IS SUM"}</definedName>
    <definedName name="wrn.ISRAEL." hidden="1">{#N/A,#N/A,FALSE,"TECH CENTRE RXDU66";#N/A,#N/A,FALSE,"ASU VAAX66";#N/A,#N/A,FALSE,"TCM VAKX66"}</definedName>
    <definedName name="wrn.Italy." hidden="1">{#N/A,#N/A,FALSE,"Italy";#N/A,#N/A,FALSE,"Aperol Italy";#N/A,#N/A,FALSE,"Aperol Soda Italy";#N/A,#N/A,FALSE,"Spumanti";#N/A,#N/A,FALSE,"Barbieri Liqueur Italy";#N/A,#N/A,FALSE,"Others Italy"}</definedName>
    <definedName name="wrn.JG._.FE._.Dollar." hidden="1">{"JG FE Top",#N/A,FALSE,"JG FE $";"JG FE Bottom",#N/A,FALSE,"JG FE $"}</definedName>
    <definedName name="wrn.JG._.FE._.Yen." hidden="1">{"JG FE Top",#N/A,FALSE,"JG FE ¥";"JG FE Bottom",#N/A,FALSE,"JG FE ¥"}</definedName>
    <definedName name="wrn.JOGO_CONSOLIDADO." hidden="1">{#N/A,#N/A,TRUE,"Consolidado";#N/A,#N/A,TRUE,"Laticínios";#N/A,#N/A,TRUE,"Frangos";#N/A,#N/A,TRUE,"Suínos";#N/A,#N/A,TRUE,"Peru";#N/A,#N/A,TRUE,"Carnes";#N/A,#N/A,TRUE,"Suco";#N/A,#N/A,TRUE,"Batata"}</definedName>
    <definedName name="wrn.Joseph._.format." hidden="1">{#N/A,#N/A,FALSE,"Summary";#N/A,#N/A,FALSE,"structure";#N/A,#N/A,FALSE,"o bal sheet";#N/A,#N/A,FALSE,"input info";#N/A,#N/A,FALSE,"p and l";#N/A,#N/A,FALSE,"cashflow";#N/A,#N/A,FALSE,"bal sheet";#N/A,#N/A,FALSE,"ratios";#N/A,#N/A,FALSE,"returns";#N/A,#N/A,FALSE,"Tax Comps";#N/A,#N/A,FALSE,"Detailed P&amp;L"}</definedName>
    <definedName name="wrn.KKW." hidden="1">{#N/A,#N/A,FALSE,"Cover";#N/A,#N/A,FALSE,"KKW Sum";#N/A,#N/A,FALSE,"KKW Basisdaten";#N/A,#N/A,FALSE,"DEPRKKW";#N/A,#N/A,FALSE,"Krü";#N/A,#N/A,FALSE,"Bru";#N/A,#N/A,FALSE,"Bro";#N/A,#N/A,FALSE,"Sta"}</definedName>
    <definedName name="wrn.KostenPlan1997." hidden="1">{#N/A,#N/A,FALSE,"Kosten97FZallein";#N/A,#N/A,FALSE,"Ko97EinzelFZ"}</definedName>
    <definedName name="wrn.LA._.SA." hidden="1">{"PnL",#N/A,FALSE,"Gas LA SA P&amp;L";"Responsibility",#N/A,FALSE,"Gas LA SA P&amp;L";"Cost Control",#N/A,FALSE,"Gas LA SA P&amp;L";"Program List",#N/A,FALSE,"Gas LA SA P&amp;L"}</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_.Summary." hidden="1">{"LBO Summary",#N/A,FALSE,"Summary"}</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hidden="1">{"a",#N/A,FALSE,"LBO - 100%, Sell C,CT 98......";"aa",#N/A,FALSE,"LBO - 100%, Sell C,CT 98......";"aaa",#N/A,FALSE,"LBO - 100%, Sell C,CT 98......";"aaaa",#N/A,FALSE,"LBO - 100%, Sell C,CT 98......";"aaaaa",#N/A,FALSE,"LBO - 100%, Sell C,CT 98......";"aaaaaa",#N/A,FALSE,"LBO - 100%, Sell C,CT 98......"}</definedName>
    <definedName name="wrn.Lewers." hidden="1">{#N/A,#N/A,FALSE,"Assumps";#N/A,#N/A,FALSE,"Summary3";#N/A,#N/A,FALSE,"Owned";#N/A,#N/A,FALSE,"Ewa";#N/A,#N/A,FALSE,"Waikiki";#N/A,#N/A,FALSE,"Reef";#N/A,#N/A,FALSE,"Kuhio";#N/A,#N/A,FALSE,"East";#N/A,#N/A,FALSE,"West";#N/A,#N/A,FALSE,"Islander_Waikiki";#N/A,#N/A,FALSE,"Surf";#N/A,#N/A,FALSE,"Ala_Wai";#N/A,#N/A,FALSE,"Reef_Towers";#N/A,#N/A,FALSE,"Waikiki_Tower";#N/A,#N/A,FALSE,"Edgewater";#N/A,#N/A,FALSE,"Village";#N/A,#N/A,FALSE,"Coral_Seas";#N/A,#N/A,FALSE,"Reef_Lanais";#N/A,#N/A,FALSE,"Royal";#N/A,#N/A,FALSE,"Retail";#N/A,#N/A,FALSE,"Retail2";#N/A,#N/A,FALSE,"Parking";#N/A,#N/A,FALSE,"Manage";#N/A,#N/A,FALSE,"Manback";#N/A,#N/A,FALSE,"Invest";#N/A,#N/A,FALSE,"Commercial";#N/A,#N/A,FALSE,"Dev"}</definedName>
    <definedName name="wrn.LewersII." hidden="1">{#N/A,#N/A,FALSE,"Assumps";#N/A,#N/A,FALSE,"Owned";#N/A,#N/A,FALSE,"Retail";#N/A,#N/A,FALSE,"Retail2";#N/A,#N/A,FALSE,"Parking";#N/A,#N/A,FALSE,"Manage";#N/A,#N/A,FALSE,"Manback";#N/A,#N/A,FALSE,"Invest";#N/A,#N/A,FALSE,"Commercial"}</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mbach." hidden="1">{#N/A,#N/A,FALSE,"Budget 2001-2002 (2)"}</definedName>
    <definedName name="wrn.Line._.Efficiency." hidden="1">{"Line Efficiency",#N/A,FALSE,"Benchmarking"}</definedName>
    <definedName name="wrn.LIST." hidden="1">{#N/A,#N/A,FALSE,"a"}</definedName>
    <definedName name="wrn.LJD._.Review._.1." hidden="1">{"LJD 1",#N/A,FALSE,"Master";"LJD 2",#N/A,FALSE,"Sheet2";"LJD 3",#N/A,FALSE,"Sheet1";"LJD 4",#N/A,FALSE,"Sheet3";"LJD 5",#N/A,FALSE,"Sheet4"}</definedName>
    <definedName name="wrn.LPNL." hidden="1">{"LPNL1",#N/A,FALSE,"EntitiesWithReclasses";"LPNL2",#N/A,FALSE,"EntitiesWithReclasses";"LPNL3",#N/A,FALSE,"EntitiesWithReclasses"}</definedName>
    <definedName name="wrn.Mac._.Tools._.Europe." hidden="1">{#N/A,"MacTools Europe",FALSE,"P&amp;L"}</definedName>
    <definedName name="wrn.MANAGEMENT._.COSTS." hidden="1">{"MANAGEMENT COSTS",#N/A,FALSE,"C.CENTRE"}</definedName>
    <definedName name="wrn.mario" hidden="1">{"Area1",#N/A,TRUE,"Obiettivo";"Area2",#N/A,TRUE,"Dati per Direzione"}</definedName>
    <definedName name="wrn.Mario." hidden="1">{"Area1",#N/A,TRUE,"Obiettivo";"Area2",#N/A,TRUE,"Dati per Direzione"}</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ING._.SUMMARY." hidden="1">{"Marketing Summary",#N/A,FALSE,"Marketing Spending"}</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echanics._.Tools._.Czech._.Rep." hidden="1">{#N/A,"Mechanic Tools Czech",FALSE,"P&amp;L"}</definedName>
    <definedName name="wrn.MechTools." hidden="1">{#N/A,"MacToolsTOTALexclZag",FALSE,"P&amp;L";#N/A,"MacToolsUK",FALSE,"P&amp;L";#N/A,"MacToolsCzech",FALSE,"P&amp;L";#N/A,"MacToolsZag",FALSE,"P&amp;L"}</definedName>
    <definedName name="wrn.memo." hidden="1">{#N/A,#N/A,TRUE,"financial";#N/A,#N/A,TRUE,"plants"}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PLANS." hidden="1">{"Assumptions1",#N/A,FALSE,"Assumptions";"MergerPlans1","20yearamort",FALSE,"MergerPlans";"MergerPlans1","40yearamort",FALSE,"MergerPlans";"MergerPlans2",#N/A,FALSE,"MergerPlans";"inputs",#N/A,FALSE,"MergerPlans"}</definedName>
    <definedName name="wrn.MF._.commentary._.on._.variance." hidden="1">{"Commentary",#N/A,FALSE,"May"}</definedName>
    <definedName name="wrn.MF._.with._.BA._.detail." hidden="1">{"BA detail",#N/A,FALSE,"Q3YTD "}</definedName>
    <definedName name="wrn.MHHD." hidden="1">{#N/A,#N/A,FALSE,"MHHD_98LROP PL";#N/A,#N/A,FALSE,"MHHD_98LROP Sales";#N/A,#N/A,FALSE,"MHHD Launches";#N/A,#N/A,FALSE,"Zocor";#N/A,#N/A,FALSE,"Cozaar i";#N/A,#N/A,FALSE,"Cozaar ii";#N/A,#N/A,FALSE,"Fosamax";#N/A,#N/A,FALSE,"Proscar";#N/A,#N/A,FALSE,"Crixivan";#N/A,#N/A,FALSE,"Stocrin";#N/A,#N/A,FALSE,"Singulair";#N/A,#N/A,FALSE,"Aggrastat";#N/A,#N/A,FALSE,"Maxalt";#N/A,#N/A,FALSE,"Propecia";#N/A,#N/A,FALSE,"MHHD Product_P+L (1)";#N/A,#N/A,FALSE,"MHHD Product_P+L (2)";#N/A,#N/A,FALSE,"MHHD LROP Expense_Growth1";#N/A,#N/A,FALSE,"MHHD LROP Expense_Growth1 (2)";#N/A,#N/A,FALSE,"Risks &amp; Opport.";#N/A,#N/A,FALSE,"MHHD LROP Headcount";#N/A,#N/A,FALSE,"LROP 98Capital"}</definedName>
    <definedName name="wrn.mobile." hidden="1">{#N/A,#N/A,FALSE,"Denmark";#N/A,#N/A,FALSE,"Denmark"}</definedName>
    <definedName name="wrn.model." hidden="1">{"basic",#N/A,FALSE,"BASIC"}</definedName>
    <definedName name="wrn.Modello." hidden="1">{#N/A,#N/A,TRUE,"Proposal";#N/A,#N/A,TRUE,"Assumptions";#N/A,#N/A,TRUE,"Net Income";#N/A,#N/A,TRUE,"Balsheet";#N/A,#N/A,TRUE,"Capex";#N/A,#N/A,TRUE,"Volumes";#N/A,#N/A,TRUE,"Revenues";#N/A,#N/A,TRUE,"Var.Costs";#N/A,#N/A,TRUE,"Personnel";#N/A,#N/A,TRUE,"Other costs";#N/A,#N/A,TRUE,"MKTG and G&amp;A"}</definedName>
    <definedName name="wrn.Monotherapy." hidden="1">{"mono",#N/A,FALSE,"Mono-therapy"}</definedName>
    <definedName name="wrn.Monthly._.BS._.At._.Plan._.Exchange." hidden="1">{"BS Monthly AT Plan ER",#N/A,FALSE,"Mthly BS"}</definedName>
    <definedName name="wrn.Monthly._.BS._.US._.At._.Current._.ER." hidden="1">{"BS Monthly At Current ER",#N/A,FALSE,"Mthly BS"}</definedName>
    <definedName name="wrn.Monthly._.CF._.At._.US._.WA._.ER." hidden="1">{"Monthly Cash Flow At WA ER",#N/A,FALSE,"Mthly CF"}</definedName>
    <definedName name="wrn.MONTHLY._.INVENTORY._.SCHEDULE." hidden="1">{#N/A,#N/A,FALSE,"Sheet1";#N/A,#N/A,FALSE,"Sheet2";#N/A,#N/A,FALSE,"Sheet3";#N/A,#N/A,FALSE,"Sheet4";#N/A,#N/A,FALSE,"Sheet5";#N/A,#N/A,FALSE,"Sheet6"}</definedName>
    <definedName name="wrn.Monthly._.Report." hidden="1">{#N/A,#N/A,FALSE,"Summary Page";#N/A,#N/A,FALSE,"Collections Listing";#N/A,#N/A,FALSE,"Lessee 60 days past due";#N/A,#N/A,FALSE,"Revenues--Lend Base JP Morgan";#N/A,#N/A,FALSE,"JP Morgan Debt Amort Schedule";#N/A,#N/A,FALSE,"Covenant Analysis"}</definedName>
    <definedName name="wrn.MTHLYGP." hidden="1">{"TXO2N2_GP",#N/A,FALSE,"MTHLYGP";"TXH2_GP",#N/A,FALSE,"MTHLYGP";"LOUIS_GP",#N/A,FALSE,"MTHLYGP";"H2_GP",#N/A,FALSE,"MTHLYGP";"O2N2_GP",#N/A,FALSE,"MTHLYGP";"PACKAGE_GP",#N/A,FALSE,"MTHLYGP";"OTHER_GP",#N/A,FALSE,"MTHLYGP"}</definedName>
    <definedName name="wrn.MTHLYSLES." hidden="1">{"TXO2N2_SLS",#N/A,FALSE,"MTHLYSLES";"TXH2_SLS",#N/A,FALSE,"MTHLYSLES";"LOUIS_SLS",#N/A,FALSE,"MTHLYSLES";"H2_SLS",#N/A,FALSE,"MTHLYSLES";"O2N2_SLS",#N/A,FALSE,"MTHLYSLES";"PACKAGE_SLS",#N/A,FALSE,"MTHLYSLES"}</definedName>
    <definedName name="wrn.MTHYLYVOL." hidden="1">{"TEXO2N2_VOL",#N/A,FALSE,"MTHLYVOL";"TEXH2_VOL",#N/A,FALSE,"MTHLYVOL";"LOUIS_VOL",#N/A,FALSE,"MTHLYVOL";"H2_VOL",#N/A,FALSE,"MTHLYVOL";"O2N2_VOL",#N/A,FALSE,"MTHLYVOL";"PACKAGE_VOL",#N/A,FALSE,"MTHLYVOL"}</definedName>
    <definedName name="wrn.MVD." hidden="1">{#N/A,#N/A,FALSE,"MVD_98LROP_Pl";#N/A,#N/A,FALSE,"MVD_98LROP_Sales";#N/A,#N/A,FALSE,"MVD LROP Product P+L";#N/A,#N/A,FALSE,"MVD R&amp;O's";#N/A,#N/A,FALSE,"MVD 98LROP Launches"}</definedName>
    <definedName name="wrn.NA._.Model._.T._.and._.B." hidden="1">{"NA Top",#N/A,FALSE,"NA Model";"NA Bottom",#N/A,FALSE,"NA Model"}</definedName>
    <definedName name="wrn.NA_ULV._.Tand._.B." hidden="1">{"NA Top",#N/A,FALSE,"NA-ULV";"NA Bottom",#N/A,FALSE,"NA-ULV"}</definedName>
    <definedName name="wrn.net." hidden="1">{#N/A,#N/A,FALSE,"Res.2"}</definedName>
    <definedName name="wrn.NET._.TRADE._.SALES." hidden="1">{"Net Trade Sales",#N/A,FALSE,"Net Trade Sales"}</definedName>
    <definedName name="wrn.net96PTC1" hidden="1">{#N/A,#N/A,FALSE,"TAXC.INDEX";#N/A,#N/A,FALSE,"Schedule I";#N/A,#N/A,FALSE,"Schedule  II";#N/A,#N/A,FALSE,"Schedule III";#N/A,#N/A,FALSE,"Schedule IV";#N/A,#N/A,FALSE,"Schedule IV (Cont'd)";#N/A,#N/A,FALSE,"Schedule V";#N/A,#N/A,FALSE,"Schedule VI";#N/A,#N/A,FALSE,"Schedule VII"}</definedName>
    <definedName name="wrn.new96FS." hidden="1">{#N/A,#N/A,FALSE,"CONTENTS";#N/A,#N/A,FALSE,"DR";#N/A,#N/A,FALSE,"PL";#N/A,#N/A,FALSE,"BS";#N/A,#N/A,FALSE,"Cash Flow";#N/A,#N/A,FALSE,"NOTES";#N/A,#N/A,FALSE,"NOTES (FA)";#N/A,#N/A,FALSE,"Notes(3)";#N/A,#N/A,FALSE,"NOTES (4)";#N/A,#N/A,FALSE,"DP&amp;L";#N/A,#N/A,FALSE,"EXPENSES";#N/A,#N/A,FALSE,"EXPENSES-1"}</definedName>
    <definedName name="wrn.new96FS1" hidden="1">{#N/A,#N/A,FALSE,"CONTENTS";#N/A,#N/A,FALSE,"DR";#N/A,#N/A,FALSE,"PL";#N/A,#N/A,FALSE,"BS";#N/A,#N/A,FALSE,"Cash Flow";#N/A,#N/A,FALSE,"NOTES";#N/A,#N/A,FALSE,"NOTES (FA)";#N/A,#N/A,FALSE,"Notes(3)";#N/A,#N/A,FALSE,"NOTES (4)";#N/A,#N/A,FALSE,"DP&amp;L";#N/A,#N/A,FALSE,"EXPENSES";#N/A,#N/A,FALSE,"EXPENSES-1"}</definedName>
    <definedName name="wrn.new96PTC." hidden="1">{#N/A,#N/A,FALSE,"TAXC.INDEX";#N/A,#N/A,FALSE,"Schedule I";#N/A,#N/A,FALSE,"Schedule  II";#N/A,#N/A,FALSE,"Schedule III";#N/A,#N/A,FALSE,"Schedule IV";#N/A,#N/A,FALSE,"Schedule IV (Cont'd)";#N/A,#N/A,FALSE,"Schedule V";#N/A,#N/A,FALSE,"Schedule VI";#N/A,#N/A,FALSE,"Schedule VII"}</definedName>
    <definedName name="wrn.newDEV." hidden="1">{"cover",#N/A,TRUE,"Cover";"pnl_NEWDEV",#N/A,TRUE,"NewCaseDEV";"bil_NEWDEV",#N/A,TRUE,"NewCaseDEV";"tabfi_NEWDEV",#N/A,TRUE,"NewCaseDEV";"ratios_NEWDEV",#N/A,TRUE,"NewCaseDEV";"variab_NEWDEV",#N/A,TRUE,"NewCaseDEV";"inv_NEWDEV",#N/A,TRUE,"NewCaseDEV"}</definedName>
    <definedName name="wrn.newEUR." hidden="1">{"cover",#N/A,TRUE,"Cover";"pnl_NEWEUR",#N/A,TRUE,"NewCaseEUR";"bil_NEWEUR",#N/A,TRUE,"NewCaseEUR";"tabfi_NEWEUR",#N/A,TRUE,"NewCaseEUR";"ratios_NEWEUR",#N/A,TRUE,"NewCaseEUR";"variab_NEWEUR",#N/A,TRUE,"NewCaseEUR";"inv_NEWEUR",#N/A,TRUE,"NewCaseEUR"}</definedName>
    <definedName name="wrn.NewRept.xls." hidden="1">{#N/A,#N/A,TRUE,"Sheet1";#N/A,#N/A,TRUE,"Sheet2";#N/A,#N/A,TRUE,"Sheet3";#N/A,#N/A,TRUE,"Sheet4";#N/A,#N/A,TRUE,"Sheet5";#N/A,#N/A,TRUE,"Sheet6";#N/A,#N/A,TRUE,"Sheet7"}</definedName>
    <definedName name="wrn.Nico." hidden="1">{#N/A,#N/A,TRUE,"Cover";#N/A,#N/A,TRUE,"Transaction Summary";#N/A,#N/A,TRUE,"Earnings Impact";#N/A,#N/A,TRUE,"accretion dilution"}</definedName>
    <definedName name="wrn.Non._.Div._.Balance._.Sheet." hidden="1">{#N/A,"NONDV",FALSE,"BSHIST.XLS"}</definedName>
    <definedName name="wrn.NonOperating." hidden="1">{#N/A,"NonOperTOTAL",FALSE,"P&amp;L";#N/A,"NonOperBrussels",FALSE,"P&amp;L";#N/A,"NonOperUKdistrib",FALSE,"P&amp;L"}</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 hidden="1">{"PnL",#N/A,FALSE,"Gas NA P&amp;L";"Responsibility",#N/A,FALSE,"Gas NA P&amp;L";"Cost Control",#N/A,FALSE,"Gas NA P&amp;L";"Program List",#N/A,FALSE,"Gas NA P&amp;L"}</definedName>
    <definedName name="wrn.North._.America._.Set." hidden="1">{"NA Is w Ratios",#N/A,FALSE,"North America";"PF CFlow NA",#N/A,FALSE,"North America";"NA DCF Matrix",#N/A,FALSE,"North America"}</definedName>
    <definedName name="wrn.Northern." hidden="1">{#N/A,"HTgermany",FALSE,"P&amp;L";#N/A,"DTfriess",FALSE,"P&amp;L";#N/A,"HTswitzerland",FALSE,"P&amp;L";#N/A,"DTswitzerland",FALSE,"P&amp;L";#N/A,"HTbelgium",FALSE,"P&amp;L";#N/A,"HTholland",FALSE,"P&amp;L";#N/A,"HTdenmark",FALSE,"P&amp;L";#N/A,"HTfinland",FALSE,"P&amp;L"}</definedName>
    <definedName name="wrn.NPD._.Summary._.Report." hidden="1">{#N/A,#N/A,FALSE,"Proj Cost";#N/A,#N/A,FALSE,"Fair Scenario";#N/A,#N/A,FALSE,"Wonderful Scenario";#N/A,#N/A,FALSE,"Awful Scenario"}</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tfinance." hidden="1">{"Rate",#N/A,TRUE,"SUMMARY";"Ratios",#N/A,TRUE,"Ratios";"BUDGETREVENUE",#N/A,TRUE,"Revenue";"TOTALS",#N/A,TRUE,"DETAIL"}</definedName>
    <definedName name="wrn.oct_res_comm." hidden="1">{"oct_res_comm",#N/A,FALSE,"VarToBud"}</definedName>
    <definedName name="wrn.OEE._.analg._.nord." hidden="1">{"OEE OAP",#N/A,FALSE,"oap";"OEE APAP",#N/A,FALSE,"apap";"OEE nitros",#N/A,FALSE,"nitros"}</definedName>
    <definedName name="wrn.OEE._.analg._.nord.1" hidden="1">{"OEE OAP",#N/A,FALSE,"oap";"OEE APAP",#N/A,FALSE,"apap";"OEE nitros",#N/A,FALSE,"nitros"}</definedName>
    <definedName name="wrn.Oncology." hidden="1">{#N/A,#N/A,FALSE,"Onco";#N/A,#N/A,FALSE,"Taxol";#N/A,#N/A,FALSE,"UFT";#N/A,#N/A,FALSE,"Carb"}</definedName>
    <definedName name="wrn.OPC." hidden="1">{#N/A,#N/A,FALSE,"Duran"}</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TC._.Market._.Report." hidden="1">{#N/A,#N/A,FALSE,"Sales Graph";#N/A,#N/A,FALSE,"BUC Graph";#N/A,#N/A,FALSE,"P&amp;L - YTD"}</definedName>
    <definedName name="wrn.OTHER._.ADMIN._.COSTS." hidden="1">{"OTHER ADMIN COSTS",#N/A,FALSE,"C.CENTRE"}</definedName>
    <definedName name="wrn.Other._.Pharm." hidden="1">{#N/A,#N/A,FALSE,"Other";#N/A,#N/A,FALSE,"Ace";#N/A,#N/A,FALSE,"Derm"}</definedName>
    <definedName name="wrn.OTHER._.REVENUE." hidden="1">{"OTHER REVENUE",#N/A,FALSE,"OTHERS"}</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AB" hidden="1">{"DCF","UPSIDE CASE",FALSE,"Sheet1";"DCF","BASE CASE",FALSE,"Sheet1";"DCF","DOWNSIDE CASE",FALSE,"Sheet1"}</definedName>
    <definedName name="wrn.OUTPUT._from_DBAB" hidden="1">{"DCF","UPSIDE CASE",FALSE,"Sheet1";"DCF","BASE CASE",FALSE,"Sheet1";"DCF","DOWNSIDE CASE",FALSE,"Sheet1"}</definedName>
    <definedName name="wrn.p" hidden="1">{#N/A,#N/A,FALSE,"1";#N/A,#N/A,FALSE,"2";#N/A,#N/A,FALSE,"16 - 17";#N/A,#N/A,FALSE,"18 - 19";#N/A,#N/A,FALSE,"26";#N/A,#N/A,FALSE,"27";#N/A,#N/A,FALSE,"28"}</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YBACK." hidden="1">{"payback",#N/A,FALSE,"TV_Payback"}</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formance." hidden="1">{"Performance Details",#N/A,FALSE,"Current Yr";"Performance Details",#N/A,FALSE,"Budget";"Performance Details",#N/A,FALSE,"Prior Year"}</definedName>
    <definedName name="wrn.perimeter._.comp." hidden="1">{#N/A,#N/A,TRUE,"comp";#N/A,#N/A,TRUE,"notes"}</definedName>
    <definedName name="wrn.PFDBalance._.Sheet." hidden="1">{#N/A,"PURPER",FALSE,"BSHIST.XLS";#N/A,"PURADD",FALSE,"BSHIST.XLS";#N/A,"PURSPP",FALSE,"BSHIST.XLS";#N/A,"CTGIND",FALSE,"BSHIST.XLS";#N/A,"ANCHOR",FALSE,"BSHIST.XLS";#N/A,"SPADD",FALSE,"BSHIST.XLS"}</definedName>
    <definedName name="wrn.PGtotals." hidden="1">{#N/A,"CoreEurope",FALSE,"P&amp;L";#N/A,"HandToolsTOTAL",FALSE,"P&amp;L";#N/A,"DecoToolsTOTAL",FALSE,"P&amp;L";#N/A,"ZAGwoIsraelTOTAL",FALSE,"P&amp;L";#N/A,"FasteningTOTAL",FALSE,"P&amp;L";#N/A,"AssemblyTechTOTAL",FALSE,"P&amp;L";#N/A,"MacUK",FALSE,"P&amp;L";#N/A,"Tona",FALSE,"P&amp;L"}</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anocomp." hidden="1">{"page_1",#N/A,TRUE,"Sheet1";"page_2",#N/A,TRUE,"Sheet1";"page_notes",#N/A,TRUE,"Sheet1"}</definedName>
    <definedName name="wrn.Plan." hidden="1">{#N/A,#N/A,FALSE,"Data Entry";#N/A,#N/A,FALSE,"Projected Sales $'s";#N/A,#N/A,FALSE,"Financial Sum";#N/A,#N/A,FALSE,"Profit Margins";#N/A,#N/A,FALSE,"Con His &amp; Proj Fin Data";#N/A,#N/A,FALSE,"Con His Bal Shts";#N/A,#N/A,FALSE,"Fin Sum CMI";#N/A,#N/A,FALSE,"Working Capital";#N/A,#N/A,FALSE,"Projected Sales Units"}</definedName>
    <definedName name="wrn.Plandurchsprache._.97." hidden="1">{#N/A,#N/A,TRUE,"Kosten97FZallein";#N/A,#N/A,TRUE,"Ko97EinzelFZ";#N/A,#N/A,TRUE,"UmsSumAnteilFZ";#N/A,#N/A,TRUE,"UmsatzEinzel";#N/A,#N/A,TRUE,"G&amp;V"}</definedName>
    <definedName name="wrn.plbscf." hidden="1">{"p_l",#N/A,FALSE,"Summary Accounts"}</definedName>
    <definedName name="wrn.PMW._.Gruppe._.00_99." hidden="1">{#N/A,#N/A,FALSE,"PMW Gruppe 00_99";#N/A,#N/A,FALSE,"PMW KG 00_99";#N/A,#N/A,FALSE,"PMW Inc. 00_99";#N/A,#N/A,FALSE,"PMW VTECH 00_99";#N/A,#N/A,FALSE,"PMW Thail. 00_99";#N/A,#N/A,FALSE,"PMW Canada 00_99";#N/A,#N/A,FALSE,"Währungsabw. 00_99"}</definedName>
    <definedName name="wrn.PMW._.Gruppe._.99_98n." hidden="1">{#N/A,#N/A,FALSE,"PMW Gruppe 99_98";#N/A,#N/A,FALSE,"PMW KG 98_99";#N/A,#N/A,FALSE,"PMW Inc. 99_98";#N/A,#N/A,FALSE,"PMW VTECH 99_98";#N/A,#N/A,FALSE,"PMW Thail. 99_98";#N/A,#N/A,FALSE,"PMW Canada 99_98";#N/A,#N/A,FALSE,"Währungsabw. 99_98"}</definedName>
    <definedName name="wrn.Polymers." hidden="1">{"Polymers Details",#N/A,FALSE,"Current Yr";"Polymer Details",#N/A,FALSE,"Budget";"Polymer Details",#N/A,FALSE,"Prior Year"}</definedName>
    <definedName name="wrn.Polymers._.Balance._.Sheet." hidden="1">{#N/A,"POLY",FALSE,"BSHIST.XLS";#N/A,"EMUL",FALSE,"BSHIST.XLS";#N/A,"PVOH",FALSE,"BSHIST.XLS";#N/A,"ACET",FALSE,"BSHIST.XLS"}</definedName>
    <definedName name="wrn.Pound._.Sterling." hidden="1">{"Pound Sterling",#N/A,TRUE,"PPD";"Pound Sterling",#N/A,TRUE,"Anaquest";"Pound Sterling",#N/A,TRUE,"Delta";"Pound Sterling",#N/A,TRUE,"INO"}</definedName>
    <definedName name="wrn.ppp" hidden="1">{#N/A,#N/A,FALSE,"1";#N/A,#N/A,FALSE,"2";#N/A,#N/A,FALSE,"16 - 17";#N/A,#N/A,FALSE,"18 - 19";#N/A,#N/A,FALSE,"26";#N/A,#N/A,FALSE,"27";#N/A,#N/A,FALSE,"28"}</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ce_Effect." hidden="1">{"Comp_of_Price_Effect",#N/A,FALSE,"QTRDPVAR"}</definedName>
    <definedName name="wrn.PrimeCo." hidden="1">{"print 1",#N/A,FALSE,"PrimeCo PCS";"print 2",#N/A,FALSE,"PrimeCo PCS";"valuation",#N/A,FALSE,"PrimeCo PCS"}</definedName>
    <definedName name="wrn.prin2._.all." hidden="1">{#N/A,#N/A,FALSE,"Pharm";#N/A,#N/A,FALSE,"WWCM"}</definedName>
    <definedName name="wrn.prin3" hidden="1">{#N/A,#N/A,FALSE,"Pharm";#N/A,#N/A,FALSE,"WWCM"}</definedName>
    <definedName name="wrn.Principal." hidden="1">{#N/A,#N/A,FALSE,"Principal";#N/A,#N/A,FALSE,"Principal2"}</definedName>
    <definedName name="wrn.print" hidden="1">{#N/A,#N/A,FALSE,"Pharm";#N/A,#N/A,FALSE,"WWCM"}</definedName>
    <definedName name="wrn.PRINT." hidden="1">{"DOWNLOAD",#N/A,FALSE,"GLDownload";"UPLOAD",#N/A,FALSE,"GLUpload"}</definedName>
    <definedName name="wrn.Print._.24." hidden="1">{#N/A,#N/A,FALSE,"Index";"Stmts_Qtrs",#N/A,FALSE,"Summary";"Stmts_24 mo",#N/A,FALSE,"Summary";"Summary_24",#N/A,FALSE,"Revenue";"Month_24",#N/A,FALSE,"Engineering";"Month_24",#N/A,FALSE,"Marketing";"Month_24",#N/A,FALSE,"G &amp; A";"Month_24",#N/A,FALSE,"Manufacturing"}</definedName>
    <definedName name="wrn.PRINT._.ALL." hidden="1">{#N/A,#N/A,FALSE,"Pharm";#N/A,#N/A,FALSE,"WWCM"}</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sheets."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2" hidden="1">{#N/A,#N/A,FALSE,"Pharm";#N/A,#N/A,FALSE,"WWCM"}</definedName>
    <definedName name="wrn.print._.all2" hidden="1">{#N/A,#N/A,FALSE,"Pharm";#N/A,#N/A,FALSE,"WWCM"}</definedName>
    <definedName name="wrn.Print._.Europe._.TandB." hidden="1">{"Print Top",#N/A,FALSE,"Europe Model";"Print Bottom",#N/A,FALSE,"Europe Model"}</definedName>
    <definedName name="wrn.Print._.FE._.T._.and._.B." hidden="1">{"Far East Top",#N/A,FALSE,"FE Model";"Far East Bottom",#N/A,FALSE,"FE Model"}</definedName>
    <definedName name="wrn.print._.pages." hidden="1">{#N/A,#N/A,FALSE,"Spain MKT";#N/A,#N/A,FALSE,"Assumptions";#N/A,#N/A,FALSE,"Adve";#N/A,#N/A,FALSE,"E-Commerce";#N/A,#N/A,FALSE,"Opex";#N/A,#N/A,FALSE,"P&amp;L";#N/A,#N/A,FALSE,"FCF &amp; DCF"}</definedName>
    <definedName name="wrn.print._.standalone." hidden="1">{"standalone1",#N/A,FALSE,"DCFBase";"standalone2",#N/A,FALSE,"DCFBase"}</definedName>
    <definedName name="wrn.Print._.the._.lot." hidden="1">{"First Page",#N/A,FALSE,"Surfactants LBO";"Second Page",#N/A,FALSE,"Surfactants LBO"}</definedName>
    <definedName name="wrn.print._all1." hidden="1">{#N/A,#N/A,FALSE,"Pharm";#N/A,#N/A,FALSE,"WWCM"}</definedName>
    <definedName name="wrn.Print_all." hidden="1">{"APF",#N/A,FALSE,"Bfc98-1";"APG",#N/A,FALSE,"Bfc98-1";"APND",#N/A,FALSE,"Bfc98-1";"APSA",#N/A,FALSE,"Bfc98-1";"lhy",#N/A,FALSE,"Bfc98-1";"PEC",#N/A,FALSE,"Bfc98-1"}</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2" hidden="1">{#N/A,#N/A,FALSE,"Pharm";#N/A,#N/A,FALSE,"WWCM"}</definedName>
    <definedName name="wrn.printac." hidden="1">{#N/A,#N/A,FALSE,"Op-BS";#N/A,#N/A,FALSE,"Assum";#N/A,#N/A,FALSE,"IS";#N/A,#N/A,FALSE,"Syn+Elim";#N/A,#N/A,FALSE,"BSCF";#N/A,#N/A,FALSE,"Blue_IS";#N/A,#N/A,FALSE,"Blue_BSCF";#N/A,#N/A,FALSE,"Ratings"}</definedName>
    <definedName name="wrn.Printall."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hidden="1">{#N/A,#N/A,FALSE,"Eastern";#N/A,#N/A,FALSE,"Western"}</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syns." hidden="1">{"dcfsyn",#N/A,FALSE,"DCFSYN";"senssyn",#N/A,FALSE,"DCFSYN"}</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ION._.COSTS." hidden="1">{"PRODUCTION COSTS",#N/A,FALSE,"C.CENTRE"}</definedName>
    <definedName name="wrn.Productivity." hidden="1">{"Summary analysis",#N/A,FALSE,"Total";"OCPH analysis",#N/A,FALSE,"Total";"detail analysis",#N/A,FALSE,"Total"}</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le." hidden="1">{"Profile",#N/A,FALSE,"BXS"}</definedName>
    <definedName name="wrn.PROFIT._.LOSS._.AC." hidden="1">{"PROFIT LOSS AC",#N/A,FALSE,"P&amp;L FY97"}</definedName>
    <definedName name="wrn.PROFIT._.SPLIT." hidden="1">{"profit split",#N/A,FALSE,"Profit Split"}</definedName>
    <definedName name="wrn.Proforma." hidden="1">{"icd","icd",FALSE,"PROFORMA.XLS";"poly","poly",FALSE,"PROFORMA.XLS";"purper","purper",FALSE,"PROFORMA.XLS";"tchem","tchem",FALSE,"PROFORMA.XLS"}</definedName>
    <definedName name="wrn.PROFORMA._.CHECK._.BY._.DIVISION." hidden="1">{"PROFORMA CHECK BY DIVISION",#N/A,FALSE,"BSALLNOW.XLS"}</definedName>
    <definedName name="wrn.Project._.Summary." hidden="1">{"Summary",#N/A,FALSE,"MICMULT";"Income Statement",#N/A,FALSE,"MICMULT";"Cash Flows",#N/A,FALSE,"MICMULT"}</definedName>
    <definedName name="wrn.ProMonte." hidden="1">{#N/A,#N/A,FALSE,"Assump";"view1",#N/A,FALSE,"P&amp;L";"view2",#N/A,FALSE,"P&amp;L";#N/A,#N/A,FALSE,"P&amp;L PERC";"view1",#N/A,FALSE,"BS";"view2",#N/A,FALSE,"BS";#N/A,#N/A,FALSE,"CF";#N/A,#N/A,FALSE,"Debt Rep";#N/A,#N/A,FALSE,"Ratios";#N/A,#N/A,FALSE,"adjusted BS";#N/A,#N/A,FALSE,"96-97 P&amp;L";#N/A,#N/A,FALSE,"96-97 BS"}</definedName>
    <definedName name="wrn.pror" hidden="1">{#N/A,#N/A,FALSE,"Pharm";#N/A,#N/A,FALSE,"WWCM"}</definedName>
    <definedName name="wrn.ps." hidden="1">{#N/A,#N/A,FALSE,"pl";#N/A,#N/A,FALSE,"bs";#N/A,#N/A,FALSE,"fundflow"}</definedName>
    <definedName name="wrn.PTMOTSC1097." hidden="1">{"PTMOTSC1097",#N/A,FALSE,"MovimientosBBV$USA"}</definedName>
    <definedName name="wrn.PUCSPADD." hidden="1">{#N/A,"PURCHM",FALSE,"Business Analysis";#N/A,"SPADD",FALSE,"Business Analysis"}</definedName>
    <definedName name="wrn.PUCSPADD.2" hidden="1">{#N/A,"PURCHM",FALSE,"Business Analysis";#N/A,"SPADD",FALSE,"Business Analysis"}</definedName>
    <definedName name="wrn.pucspadd1" hidden="1">{#N/A,"PURCHM",FALSE,"Business Analysis";#N/A,"SPADD",FALSE,"Business Analysis"}</definedName>
    <definedName name="wrn.pucspadd10" hidden="1">{#N/A,"PURCHM",FALSE,"Business Analysis";#N/A,"SPADD",FALSE,"Business Analysis"}</definedName>
    <definedName name="wrn.pucspadd102" hidden="1">{#N/A,"PURCHM",FALSE,"Business Analysis";#N/A,"SPADD",FALSE,"Business Analysis"}</definedName>
    <definedName name="wrn.pucspadd11" hidden="1">{#N/A,"PURCHM",FALSE,"Business Analysis";#N/A,"SPADD",FALSE,"Business Analysis"}</definedName>
    <definedName name="wrn.pucspadd12" hidden="1">{#N/A,"PURCHM",FALSE,"Business Analysis";#N/A,"SPADD",FALSE,"Business Analysis"}</definedName>
    <definedName name="wrn.pucspadd31" hidden="1">{#N/A,"PURCHM",FALSE,"Business Analysis";#N/A,"SPADD",FALSE,"Business Analysis"}</definedName>
    <definedName name="wrn.Pucspadd34" hidden="1">{#N/A,"PURCHM",FALSE,"Business Analysis";#N/A,"SPADD",FALSE,"Business Analysis"}</definedName>
    <definedName name="wrn.PUCSPADD35" hidden="1">{#N/A,"PURCHM",FALSE,"Business Analysis";#N/A,"SPADD",FALSE,"Business Analysis"}</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QTD." hidden="1">{"QTD",#N/A,FALSE,"SUM"}</definedName>
    <definedName name="wrn.QTD_ALL." hidden="1">{"QTD_LPO2N2",#N/A,FALSE,"QTD";"QTD_HYCO",#N/A,FALSE,"QTD";"QTD_LOUISIANA",#N/A,FALSE,"QTD";"QTD_GENERALH2",#N/A,FALSE,"QTD";"QTD_PACKAGE",#N/A,FALSE,"QTD";"QTD_PRS",#N/A,FALSE,"QTD";"QTD_OTHER",#N/A,FALSE,"QTD"}</definedName>
    <definedName name="wrn.QTD_GENERAL._.H2." hidden="1">{"QTD_GENERALH2",#N/A,FALSE,"QTD"}</definedName>
    <definedName name="wrn.QTD_HYCO." hidden="1">{"QTD_HYCO",#N/A,FALSE,"QTD"}</definedName>
    <definedName name="wrn.QTD_LOUISIANA." hidden="1">{"QTD_LOUISIANA",#N/A,FALSE,"QTD"}</definedName>
    <definedName name="wrn.QTD_LPTEO2N2." hidden="1">{"QTD_LPO2N2",#N/A,FALSE,"QTD"}</definedName>
    <definedName name="wrn.QTD_OTHER." hidden="1">{"QTD_OTHER",#N/A,FALSE,"QTD"}</definedName>
    <definedName name="wrn.QTD_PACKAGE." hidden="1">{"QTD_PACKAGE",#N/A,FALSE,"QTD"}</definedName>
    <definedName name="wrn.QTD_PRS." hidden="1">{"QTD_PRS",#N/A,FALSE,"QTD"}</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QUEST." hidden="1">{#N/A,#N/A,FALSE,"Aurepar";#N/A,#N/A,FALSE,"Aurival";#N/A,#N/A,FALSE,"Auxilex";#N/A,#N/A,FALSE,"CFE";#N/A,#N/A,FALSE,"Dynecom";#N/A,#N/A,FALSE,"Fartran";#N/A,#N/A,FALSE,"Finabel";#N/A,#N/A,FALSE,"Finarex";#N/A,#N/A,FALSE,"Imoval";#N/A,#N/A,FALSE,"Lonoma";#N/A,#N/A,FALSE,"Muripar";#N/A,#N/A,FALSE,"Parsival";#N/A,#N/A,FALSE,"Regulind";#N/A,#N/A,FALSE,"Sperans";#N/A,#N/A,FALSE,"SEV";#N/A,#N/A,FALSE,"SEGT";#N/A,#N/A,FALSE,"SEP";#N/A,#N/A,FALSE,"SFE";#N/A,#N/A,FALSE,"Sopranor";#N/A,#N/A,FALSE,"Stralex";#N/A,#N/A,FALSE,"SFSA";#N/A,#N/A,FALSE,"SI";#N/A,#N/A,FALSE,"S Loisirs";#N/A,#N/A,FALSE,"S Services";#N/A,#N/A,FALSE,"Suliroc";#N/A,#N/A,FALSE,"Surec"}</definedName>
    <definedName name="wrn.RA." hidden="1">{"OKT4ARA",#N/A,FALSE,"OKT-4 RA"}</definedName>
    <definedName name="wrn.Range._.Values." hidden="1">{"page1",#N/A,FALSE,"Range Value - Incl Reclasses";"page2",#N/A,FALSE,"Range Value - Incl Reclasses";"page3",#N/A,FALSE,"Range Value - Incl Reclasses"}</definedName>
    <definedName name="wrn.rapport._.1." hidden="1">{#N/A,#N/A,TRUE,"Forecast &amp; Analysis";#N/A,#N/A,TRUE,"Market Values";#N/A,#N/A,TRUE,"Ratios";#N/A,#N/A,TRUE,"Regressions";#N/A,#N/A,TRUE,"Market Values";#N/A,#N/A,TRUE,"Parameters &amp; Results"}</definedName>
    <definedName name="wrn.Rapport._.de._.tréso._.mensuel." hidden="1">{#N/A,#N/A,TRUE,"Sommaire";#N/A,#N/A,TRUE,"Alcatel";#N/A,#N/A,TRUE,"CFA_PART_ALC. NV";#N/A,#N/A,TRUE,"GO_SIKL_CIM_COD";#N/A,#N/A,TRUE,"Tréso nette";#N/A,#N/A,TRUE,"Passage";#N/A,#N/A,TRUE,"Résultat financier";#N/A,#N/A,TRUE,"Résultat financier (suite)";#N/A,#N/A,TRUE,"Résultat cumulé";#N/A,#N/A,TRUE,"Impact changes";#N/A,#N/A,TRUE,"Commentaires";#N/A,#N/A,TRUE,"Annexe 1";#N/A,#N/A,TRUE,"Annexe 2";#N/A,#N/A,TRUE,"Annexe 3";#N/A,#N/A,TRUE,"Annexe 4";#N/A,#N/A,TRUE,"Annexe 5";#N/A,#N/A,TRUE,"Annexe 6";#N/A,#N/A,TRUE,"Annexe 7";#N/A,#N/A,TRUE,"Annexe 8";#N/A,#N/A,TRUE,"Cpte atte données"}</definedName>
    <definedName name="wrn.Rapport._.de._.trésorerie." hidden="1">{#N/A,#N/A,TRUE,"Sommaire";#N/A,#N/A,TRUE,"Alcatel Alsthom";#N/A,#N/A,TRUE,"CFA_CIM_SOFICIM_CIVELEC";#N/A,#N/A,TRUE,"GO_SIKL_Cemilec_OR";#N/A,#N/A,TRUE,"Tréso nette";#N/A,#N/A,TRUE,"Passage";#N/A,#N/A,TRUE,"Résultat financier";#N/A,#N/A,TRUE,"Résultat financier (suite)";#N/A,#N/A,TRUE,"Résultat cumulé";#N/A,#N/A,TRUE,"Annexe 1";#N/A,#N/A,TRUE,"Annexe 2";#N/A,#N/A,TRUE,"Annexe 3";#N/A,#N/A,TRUE,"Annexe 4";#N/A,#N/A,TRUE,"Annexe 5"}</definedName>
    <definedName name="wrn.ratios." hidden="1">{"ratios",#N/A,FALSE,"Summary Accounts"}</definedName>
    <definedName name="wrn.recap._.budget._.2003." hidden="1">{#N/A,#N/A,TRUE,"Compte de résultat synthèse";#N/A,#N/A,TRUE,"Détail résultat";#N/A,#N/A,TRUE,"tableau financement";#N/A,#N/A,TRUE,"résultat financier";#N/A,#N/A,TRUE,"Via Belgique";#N/A,#N/A,TRUE,"Investissements";#N/A,#N/A,TRUE,"free cash flow";#N/A,#N/A,TRUE,"écritures de conso";#N/A,#N/A,TRUE,"Ratio clés";#N/A,#N/A,TRUE,"loc. financière";#N/A,#N/A,TRUE,"Reestimé 2002";#N/A,#N/A,TRUE,"Série de compte légaux";#N/A,#N/A,TRUE,"Série de compte légaux + loc fi";#N/A,#N/A,TRUE,"Série de compte éco.";#N/A,#N/A,TRUE,"Comparatif PF";#N/A,#N/A,TRUE,"Amort 2002"}</definedName>
    <definedName name="wrn.recap._.budget._.2003.2" hidden="1">{#N/A,#N/A,TRUE,"Compte de résultat synthèse";#N/A,#N/A,TRUE,"Détail résultat";#N/A,#N/A,TRUE,"tableau financement";#N/A,#N/A,TRUE,"résultat financier";#N/A,#N/A,TRUE,"Via Belgique";#N/A,#N/A,TRUE,"Investissements";#N/A,#N/A,TRUE,"free cash flow";#N/A,#N/A,TRUE,"écritures de conso";#N/A,#N/A,TRUE,"Ratio clés";#N/A,#N/A,TRUE,"loc. financière";#N/A,#N/A,TRUE,"Reestimé 2002";#N/A,#N/A,TRUE,"Série de compte légaux";#N/A,#N/A,TRUE,"Série de compte légaux + loc fi";#N/A,#N/A,TRUE,"Série de compte éco.";#N/A,#N/A,TRUE,"Comparatif PF";#N/A,#N/A,TRUE,"Amort 2002"}</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very." hidden="1">{#N/A,#N/A,FALSE,"2Q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wrn.redo." hidden="1">{"overview",#N/A,FALSE,"summary";"net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éestimé." hidden="1">{"P&amp;L analytique",#N/A,TRUE,"cumul retraité";"Hypothèses CA et Marge Brute",#N/A,TRUE,"cumul retraité";"Ecarts et Hypothèses coûts",#N/A,TRUE,"cumul retraité";"Structure 7 mois",#N/A,TRUE,"Structure";"Structure 12 mois",#N/A,TRUE,"Structure";"P&amp;L social",#N/A,TRUE,"P&amp;L comptable retraité";"SIG",#N/A,TRUE,"P&amp;L comptable retraité";"Détail postes de charges",#N/A,TRUE,"P&amp;L comptable retraité"}</definedName>
    <definedName name="wrn.Reforcast._.Print." hidden="1">{#N/A,#N/A,FALSE,"RF Inc Stmt";#N/A,#N/A,FALSE,"RF-IS-1";#N/A,#N/A,FALSE,"RF-IS-2"}</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ions." hidden="1">{#N/A,"United Kingdom",FALSE,"Reg PG Sum";#N/A,"France",FALSE,"Reg PG Sum";#N/A,"North",FALSE,"Reg PG Sum";#N/A,"Italy",FALSE,"Reg PG Sum";#N/A,"Iberia",FALSE,"Reg PG Sum";#N/A,"Other",FALSE,"Reg PG Sum"}</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{"ReportDetail",#N/A,FALSE,"Months";"ReportSummary",#N/A,FALSE,"Avg Qtr CC - Final";"ReportDetail",#N/A,FALSE,"Avg Qtr CC - Final"}</definedName>
    <definedName name="wrn.Report._.2." hidden="1">{#N/A,#N/A,TRUE,"Pivots-Employee";#N/A,"Scenerio2",TRUE,"Assumptions Summary"}</definedName>
    <definedName name="wrn.report.1" hidden="1">{"summary",#N/A,FALSE,"2000 vs 1999";"detail",#N/A,FALSE,"2000 vs 1999"}</definedName>
    <definedName name="wrn.report.2"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1" hidden="1">{"summary",#N/A,FALSE,"2000 vs 1999";"detail",#N/A,FALSE,"2000 vs 1999"}</definedName>
    <definedName name="wrn.Report_PR_1." hidden="1">{"PR1","pr1",TRUE,"Sch PR-1"}</definedName>
    <definedName name="wrn.report1" hidden="1">{"summary",#N/A,FALSE,"2000 vs 1999";"detail",#N/A,FALSE,"2000 vs 1999"}</definedName>
    <definedName name="wrn.report1." hidden="1">{"pro_view",#N/A,FALSE,"EEFSNAP2";"rep_view",#N/A,FALSE,"EEFSNAP2"}</definedName>
    <definedName name="wrn.Reporte._.1." hidden="1">{#N/A,#N/A,FALSE,"PRECIO FULL";#N/A,#N/A,FALSE,"LARA";#N/A,#N/A,FALSE,"CARACAS";#N/A,#N/A,FALSE,"DISBRACENTRO";#N/A,#N/A,FALSE,"ANDES";#N/A,#N/A,FALSE,"MAR CARIBE";#N/A,#N/A,FALSE,"RIO BEER";#N/A,#N/A,FALSE,"DISBRAH"}</definedName>
    <definedName name="wrn.Reporting._.Package." hidden="1">{#N/A,#N/A,TRUE,"Deckblatt";#N/A,#N/A,TRUE,"Inhalt";#N/A,#N/A,TRUE,"Bilanz";#N/A,#N/A,TRUE,"BilUB";#N/A,#N/A,TRUE,"GuV";#N/A,#N/A,TRUE,"GuvUB";#N/A,#N/A,TRUE,"GuVErl";#N/A,#N/A,TRUE,"Fin";#N/A,#N/A,TRUE,"Intco 051";#N/A,#N/A,TRUE,"Anlagespiegel";#N/A,#N/A,TRUE,"Intco 305";#N/A,#N/A,TRUE,"Intco 715";#N/A,#N/A,TRUE,"Intco 056";#N/A,#N/A,TRUE,"Intco 185";#N/A,#N/A,TRUE,"Intco 120";#N/A,#N/A,TRUE,"Intco xa";#N/A,#N/A,TRUE,"Intco xb";#N/A,#N/A,TRUE,"Intco 125";#N/A,#N/A,TRUE,"Intco xc";#N/A,#N/A,TRUE,"Intco 5 18";#N/A,#N/A,TRUE,"Intco 24";#N/A,#N/A,TRUE,"Intco 810";#N/A,#N/A,TRUE,"Intco 870";#N/A,#N/A,TRUE,"Intco xd";#N/A,#N/A,TRUE,"Intco 430";#N/A,#N/A,TRUE,"Intco 780";#N/A,#N/A,TRUE,"Intco 451";#N/A,#N/A,TRUE,"Intco 243";#N/A,#N/A,TRUE,"Intco 240";#N/A,#N/A,TRUE,"Intco 260 250";#N/A,#N/A,TRUE,"Intco 233"}</definedName>
    <definedName name="wrn.REPORTS." hidden="1">{"COVER",#N/A,FALSE,"HEADER";"INDEX",#N/A,FALSE,"INDEX";"HIGH",#N/A,FALSE,"HIGH";"STATE OF OPER",#N/A,FALSE,"STATE OF OPER";"BAL SHEET",#N/A,FALSE,"BAL SHEET";"BS DETAIL",#N/A,FALSE,"BS DETAIL";"CASH FLOW",#N/A,FALSE,"CASH FLOW";"FRANCE",#N/A,FALSE,"FRANCE";"GERMANY",#N/A,FALSE,"GERMANY";"UK",#N/A,FALSE,"UK";"BRAZIL",#N/A,FALSE,"BRAZIL";"NO AMERICA",#N/A,FALSE,"NO AMERICA";"OFFICES",#N/A,FALSE,"OFFICES";"CORPORATE",#N/A,FALSE,"CORPORATE";"STAFFING ACI",#N/A,FALSE,"STAFFING ACI";"PUBL MONTH",#N/A,FALSE,"PUBL MONTH";"PUBL YTD",#N/A,FALSE,"PUBL YTD";"EXPO MONTH",#N/A,FALSE,"EXPO MONTH";"EXPO YTD",#N/A,FALSE,"EXPO YTD";"EXPO REV &amp; CONT",#N/A,FALSE,"EXPO REV &amp; CONT";"MKT MONTH",#N/A,FALSE,"MKT MONTH";"MKT YTD",#N/A,FALSE,"MKT YTD";"IH REV CONT PG 1",#N/A,FALSE,"REVENUE IH";"IH REV CONT PG2",#N/A,FALSE,"REVENUE IH";"DEPT MON",#N/A,FALSE,"DEPT MONTH";"DEPT YTD",#N/A,FALSE,"DEPT YTD";"DEPT",#N/A,FALSE,"DEPT";"CLUSTER",#N/A,FALSE,"CLUSTER";"STATE OF OPER ACI",#N/A,FALSE,"STATE OF OPER ACI";"BAL SHEET ACI",#N/A,FALSE,"BAL SHEET ACI";"BS DETAIL ACI",#N/A,FALSE,"BS DETAIL ACI";"CASH FLOW ACI",#N/A,FALSE,"CASH FLOW ACI"}</definedName>
    <definedName name="wrn.RESEARCH._.AND._.DEVELOPMENT." hidden="1">{"R &amp; D",#N/A,FALSE,"Research and Development"}</definedName>
    <definedName name="wrn.Research._.Summaries." hidden="1">{"Summary","Rich - 2002",FALSE,"P&amp;L Pivot PS-Dept";"Summary","Pigg - 2002",FALSE,"P&amp;L Pivot PS-Dept";"Summary","Mallinson - 2002",FALSE,"P&amp;L Pivot PS-Dept";"Summary","Rosenberg-2002",FALSE,"P&amp;L Pivot PS-Dept";"Summary","Eastman-2002",FALSE,"P&amp;L Pivot PS-Dept";"Summary","Tse-2002",FALSE,"P&amp;L Pivot PS-Dept";"Summary","Perry - Latin America - 2002",FALSE,"P&amp;L Pivot PS-Dept";"Summary","Perry - EMEA - 2002",FALSE,"P&amp;L Pivot PS-Dept";"Summary","Perry - APAC - 2002",FALSE,"P&amp;L Pivot PS-Dept";"Summary","Other Direct - 2002",FALSE,"P&amp;L Pivot PS-Dept";"Summary","Clean-Up Direct - 2002",FALSE,"P&amp;L Pivot PS-Dept"}</definedName>
    <definedName name="wrn.RESERVE._.SCHEDULE." hidden="1">{#N/A,#N/A,FALSE,"Sheet8";#N/A,#N/A,FALSE,"Sheet7"}</definedName>
    <definedName name="wrn.RESUMEN." hidden="1">{"RESUMEN",#N/A,FALSE,"RESUMEN";"RESUMEN_MARG",#N/A,FALSE,"RESUMEN"}</definedName>
    <definedName name="wrn.Revenue." hidden="1">{"Revenue",#N/A,FALSE,"Sheet1"}</definedName>
    <definedName name="wrn.revenue._.detail." hidden="1">{"revenue detail 1",#N/A,FALSE,"Revenue Detail";"revenue detail 2",#N/A,FALSE,"Revenue Detail";"revenue detail 3",#N/A,FALSE,"Revenue Detail";"revenue detail 4",#N/A,FALSE,"Revenue Detail"}</definedName>
    <definedName name="wrn.Revenue._.Details." hidden="1">{"Revenue by Industry Chart",#N/A,FALSE,"Mix";"Annual Revenue Detail",#N/A,FALSE,"Mix";"Quarterly Revenue Detail",#N/A,FALSE,"Mix"}</definedName>
    <definedName name="wrn.revised._.CEC._.slides." hidden="1">{#N/A,#N/A,FALSE,"Revised cover";#N/A,#N/A,FALSE,"Trends";"main view",#N/A,FALSE,"As Reported";#N/A,#N/A,FALSE,"delegations";#N/A,#N/A,FALSE,"(un) Commited"}</definedName>
    <definedName name="wrn.Revisionsbericht." hidden="1">{#N/A,#N/A,TRUE,"Aktiven";#N/A,#N/A,TRUE,"Passiven";#N/A,#N/A,TRUE,"Erfolgsrechnung";#N/A,#N/A,TRUE,"Antrag";#N/A,#N/A,TRUE,"Anhang"}</definedName>
    <definedName name="wrn.Revs." hidden="1">{"Base_rev",#N/A,FALSE,"Proj_IS_Base";"Projrev",#N/A,FALSE,"Proj_IS_wOTLC";"Delta",#N/A,FALSE,"Delta Rev_PV"}</definedName>
    <definedName name="wrn.ReWemtl." hidden="1">{"werbung",#N/A,FALSE,"GuV9900-0399";"betrieb",#N/A,FALSE,"GuV9900-0399";"personal",#N/A,FALSE,"GuV9900-0399";"tvg",#N/A,FALSE,"GuV9900-0399";"verwaltung",#N/A,FALSE,"GuV9900-0399"}</definedName>
    <definedName name="wrn.RGD_BG_FC." hidden="1">{#N/A,#N/A,FALSE,"RGD$";#N/A,#N/A,FALSE,"BG$";#N/A,#N/A,FALSE,"FC$"}</definedName>
    <definedName name="wrn.RHD._.RESERVE._.REPORT." hidden="1">{#N/A,#N/A,FALSE,"CHANGES";#N/A,#N/A,FALSE,"PROD SUMMARY";#N/A,#N/A,FALSE,"1995 PO SUM";#N/A,#N/A,FALSE,"1995 GEOG SUM";#N/A,#N/A,FALSE,"1996 PO SUM";#N/A,#N/A,FALSE,"1996 GEOG SUM"}</definedName>
    <definedName name="wrn.rhd.whatever" hidden="1">{#N/A,#N/A,FALSE,"CHANGES";#N/A,#N/A,FALSE,"PROD SUMMARY";#N/A,#N/A,FALSE,"1995 PO SUM";#N/A,#N/A,FALSE,"1995 GEOG SUM";#N/A,#N/A,FALSE,"1996 PO SUM";#N/A,#N/A,FALSE,"1996 GEOG SUM"}</definedName>
    <definedName name="wrn.Riverwood_comp_model." hidden="1">{#N/A,#N/A,FALSE,"Che-Ga";#N/A,#N/A,FALSE,"Iv-Sm";#N/A,#N/A,FALSE,"So-We";#N/A,#N/A,FALSE,"Me-Po";#N/A,#N/A,FALSE,"Be-Bo";#N/A,#N/A,FALSE,"Cha-Ki";#N/A,#N/A,FALSE,"In";#N/A,#N/A,FALSE,"Schedule 23";#N/A,#N/A,FALSE,"Schedule 22";#N/A,#N/A,FALSE,"WACC"}</definedName>
    <definedName name="wrn.riverwood_dcf." hidden="1">{#N/A,#N/A,FALSE,"Sch 1";#N/A,#N/A,FALSE,"Sch 2";#N/A,#N/A,FALSE,"Sch 3b";#N/A,#N/A,FALSE,"Sch 3a";#N/A,#N/A,FALSE,"Main DCF";#N/A,#N/A,FALSE,"Sch 5";#N/A,#N/A,FALSE,"Assumptions"}</definedName>
    <definedName name="wrn.ROYALTIES." hidden="1">{"Royalties",#N/A,FALSE,"Royalty Computations"}</definedName>
    <definedName name="wrn.RustyPresentation." hidden="1">{#N/A,#N/A,TRUE,"TransCore Summary";#N/A,#N/A,TRUE,"TransCore IS";#N/A,#N/A,TRUE,"TransCore Balance";#N/A,#N/A,TRUE,"TransCore Backlog";#N/A,#N/A,TRUE,"Syntonic IS";#N/A,#N/A,TRUE,"Syntonic Bal";#N/A,#N/A,TRUE,"Systems IS";#N/A,#N/A,TRUE,"Systems Bal"}</definedName>
    <definedName name="wrn.RWReport1.">{#N/A,"S 0373 ",TRUE,"Sheet1";#N/A,"S 0374 ",TRUE,"Sheet1";#N/A,"S 0375 ",TRUE,"Sheet1";#N/A,"S 0376 ",TRUE,"Sheet1";#N/A,"S 0699 ",TRUE,"Sheet1";#N/A,"S 0705 ",TRUE,"Sheet1";#N/A,"S 0707 ",TRUE,"Sheet1";#N/A,"S 0708 ",TRUE,"Sheet1";#N/A,"S 0709 ",TRUE,"Sheet1";#N/A,"S 0714 ",TRUE,"Sheet1";#N/A,"S 0716 ",TRUE,"Sheet1";#N/A,"S 0719 ",TRUE,"Sheet1";#N/A,"S 0723 ",TRUE,"Sheet1"}</definedName>
    <definedName name="wrn.sale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wrn.sales." hidden="1">{"sales",#N/A,FALSE,"Sales";"sales existing",#N/A,FALSE,"Sales";"sales rd1",#N/A,FALSE,"Sales";"sales rd2",#N/A,FALSE,"Sales"}</definedName>
    <definedName name="wrn.Sales._.nospli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wrn.Sales._.Spli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wrn.Sapere."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B_PRES." hidden="1">{#N/A,#N/A,TRUE,"Sheet16"}</definedName>
    <definedName name="wrn.SBU._.Reports." hidden="1">{#N/A,#N/A,FALSE,"Cover";#N/A,#N/A,FALSE,"CONSOL";#N/A,#N/A,FALSE,"AFTERMKT DIV";#N/A,#N/A,FALSE,"RCLMR-RM DIV";#N/A,#N/A,FALSE,"ASPH DIV";#N/A,#N/A,FALSE,"ASPH SBU";#N/A,#N/A,FALSE,"COMPACTOR SBU";#N/A,#N/A,FALSE,"GRINDER SBU";#N/A,#N/A,FALSE,"CONCR DIV";#N/A,#N/A,FALSE,"PAVERS SBU";#N/A,#N/A,FALSE,"BW SBU";#N/A,#N/A,FALSE,"LK SBU";#N/A,#N/A,FALSE,"JR SBU"}</definedName>
    <definedName name="wrn.scorecard._.rpt." hidden="1">{"scorecard view",#N/A,FALSE,"Scorecard output"}</definedName>
    <definedName name="wrn.Segments." hidden="1">{"view1",#N/A,FALSE,"Consolidated";"view2",#N/A,FALSE,"Consolidated (sum)";"view1",#N/A,FALSE,"Gen Sys";"view1",#N/A,FALSE,"Semicon";"view1",#N/A,FALSE,"Mess|Med";"view1",#N/A,FALSE,"Land Mob";"view1",#N/A,FALSE,"Other Prod";"view1",#N/A,FALSE,"Adj|Elim"}</definedName>
    <definedName name="wrn.SELLING._.CALCULATION." hidden="1">{"selling",#N/A,FALSE,"Selling Expense"}</definedName>
    <definedName name="wrn.sens." hidden="1">{#N/A,#N/A,FALSE,"Sensitivities";#N/A,#N/A,FALSE,"Sensitivities2"}</definedName>
    <definedName name="wrn.sens3." hidden="1">{#N/A,#N/A,TRUE,"DCF";#N/A,#N/A,TRUE,"DCF"}</definedName>
    <definedName name="wrn.sensitivity." hidden="1">{"sensitivity",#N/A,FALSE,"Sensitivity"}</definedName>
    <definedName name="wrn.sensitivity._.analyses." hidden="1">{"general",#N/A,FALSE,"Assumptions"}</definedName>
    <definedName name="wrn.Sensitivity._.Analysis." hidden="1">{"Sensitivity Tables",#N/A,FALSE,"DCF"}</definedName>
    <definedName name="wrn.Seth." hidden="1">{#N/A,#N/A,FALSE,"Assumps";#N/A,#N/A,FALSE,"Summary";#N/A,#N/A,FALSE,"Owned";#N/A,#N/A,FALSE,"Waikiki";#N/A,#N/A,FALSE,"Reef";#N/A,#N/A,FALSE,"Kuhio";#N/A,#N/A,FALSE,"East";#N/A,#N/A,FALSE,"West";#N/A,#N/A,FALSE,"Reef_Towers";#N/A,#N/A,FALSE,"Waikiki_Tower";#N/A,#N/A,FALSE,"Edgewater";#N/A,#N/A,FALSE,"Village";#N/A,#N/A,FALSE,"Coral_Seas";#N/A,#N/A,FALSE,"Reef_Lanais";#N/A,#N/A,FALSE,"Royal";#N/A,#N/A,FALSE,"Islander_Waikiki";#N/A,#N/A,FALSE,"Surf";#N/A,#N/A,FALSE,"Ala_Wai";"Manage1",#N/A,FALSE,"Manage";#N/A,#N/A,FALSE,"Manback";"Invest1",#N/A,FALSE,"Invest";"Commercial1",#N/A,FALSE,"Commercial";"Dev1",#N/A,FALSE,"Dev"}</definedName>
    <definedName name="wrn.SethII." hidden="1">{#N/A,#N/A,FALSE,"Assumps";#N/A,#N/A,FALSE,"Owned";#N/A,#N/A,FALSE,"Manage";#N/A,#N/A,FALSE,"Manback";#N/A,#N/A,FALSE,"Invest";#N/A,#N/A,FALSE,"Commercial"}</definedName>
    <definedName name="wrn.SHEET." hidden="1">{#N/A,#N/A,FALSE,"a"}</definedName>
    <definedName name="wrn.SHORT." hidden="1">{"CREDIT STATISTICS",#N/A,FALSE,"STATS";"CF_AND_IS",#N/A,FALSE,"PLAN";"BALSHEET",#N/A,FALSE,"BALANCE SHEET"}</definedName>
    <definedName name="wrn.Short._.Form._.Print._.Out." hidden="1">{#N/A,#N/A,FALSE,"General Assumptions";#N/A,#N/A,FALSE,"Accounts";#N/A,#N/A,FALSE,"OperatingAssumptions";#N/A,#N/A,FALSE,"Cashflow";#N/A,#N/A,FALSE,"Debt";#N/A,#N/A,FALSE,"Ops Summary";#N/A,#N/A,FALSE,"Summary"}</definedName>
    <definedName name="wrn.SKSCS1." hidden="1">{#N/A,#N/A,FALSE,"Antony Financials";#N/A,#N/A,FALSE,"Cowboy Financials";#N/A,#N/A,FALSE,"Combined";#N/A,#N/A,FALSE,"Valuematrix";#N/A,#N/A,FALSE,"DCFAntony";#N/A,#N/A,FALSE,"DCFCowboy";#N/A,#N/A,FALSE,"DCFCombined"}</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oluzioni." hidden="1">{#N/A,#N/A,FALSE,"P&amp;L proj";#N/A,#N/A,FALSE,"Balance sheet proj";#N/A,#N/A,FALSE,"cf proj";#N/A,#N/A,FALSE,"IRR";#N/A,#N/A,FALSE,"Wacc";#N/A,#N/A,FALSE,"DCF";#N/A,#N/A,FALSE,"APV";#N/A,#N/A,FALSE,"comparables";#N/A,#N/A,FALSE,"Valuation"}</definedName>
    <definedName name="wrn.Sonstige." hidden="1">{#N/A,#N/A,FALSE,"Produkte Erw.";#N/A,#N/A,FALSE,"Produkte Plan";#N/A,#N/A,FALSE,"Leistungen Erw.";#N/A,#N/A,FALSE,"Leistungen Plan";#N/A,#N/A,FALSE,"KA Allg.Kosten (2)";#N/A,#N/A,FALSE,"KA All.Kosten"}</definedName>
    <definedName name="wrn.SPD._.WKLY._.STAFF._.CHARTS." hidden="1">{#N/A,#N/A,FALSE,"Cover Sheet";#N/A,#N/A,FALSE,"Key Indicators";#N/A,#N/A,FALSE,"Orders Summary";#N/A,#N/A,FALSE,"ORDERS TREND GRAPH";#N/A,#N/A,FALSE,"Revenue Summary";#N/A,#N/A,FALSE,"REVENUE TREND GRAPH";#N/A,#N/A,FALSE,"Revenue Actions";#N/A,#N/A,FALSE,"BACKLOG ANALYSIS";#N/A,#N/A,FALSE,"Keys to Success"}</definedName>
    <definedName name="wrn.SPEC._.GAS._.CYLS." hidden="1">{"SPEC GAS CYLS",#N/A,FALSE,"SPEC GAS"}</definedName>
    <definedName name="wrn.STAMPA_BD." hidden="1">{#N/A,#N/A,FALSE,"TOTAL";#N/A,#N/A,FALSE,"FND";#N/A,#N/A,FALSE,"FSD";#N/A,#N/A,FALSE,"OND";#N/A,#N/A,FALSE,"WTD";#N/A,#N/A,FALSE,"MND";#N/A,#N/A,FALSE,"MSD";#N/A,#N/A,FALSE,"MPD";#N/A,#N/A,FALSE,"ISD";#N/A,#N/A,FALSE,"ESD";#N/A,#N/A,FALSE,"OTH";#N/A,#N/A,FALSE,"PSD";#N/A,#N/A,FALSE,"ELIM";#N/A,#N/A,FALSE,"CHART_YTD";#N/A,#N/A,FALSE,"CHART_MONTH"}</definedName>
    <definedName name="wrn.stand_alone." hidden="1">{#N/A,#N/A,FALSE,"CBE";#N/A,#N/A,FALSE,"SWK"}</definedName>
    <definedName name="wrn.Standard." hidden="1">{#N/A,#N/A,FALSE,"IS US";#N/A,#N/A,FALSE,"BS US";#N/A,#N/A,FALSE,"IS LOCAL";#N/A,#N/A,FALSE,"BS INPUT";#N/A,#N/A,FALSE,"EQUITY";#N/A,#N/A,FALSE,"LOCAL ADJ";#N/A,#N/A,FALSE,"GAAP ADJ"}</definedName>
    <definedName name="wrn.STAT._.Only." hidden="1">{#N/A,#N/A,FALSE,"Stat BS";#N/A,#N/A,FALSE,"Stat IS";#N/A,#N/A,FALSE,"Cash Flow";#N/A,#N/A,FALSE,"Part 1 Interest";#N/A,#N/A,FALSE,"Part 2 Premiums";#N/A,#N/A,FALSE,"Part 3 Losses";#N/A,#N/A,FALSE,"Part 3a Losses";#N/A,#N/A,FALSE,"Part 4 Expenses";#N/A,#N/A,FALSE,"Quota Share Rpt";#N/A,#N/A,FALSE,"MGA Settlement Statement"}</definedName>
    <definedName name="wrn.step_el." hidden="1">{"stepel",#N/A,FALSE,"AHFSTEP"}</definedName>
    <definedName name="wrn.Suez._.Industrie._.31121995." hidden="1">{#N/A,#N/A,FALSE,"Suez Industrie commentaires 12";#N/A,#N/A,FALSE,"Suez Industrie Bilan comp 1295";#N/A,#N/A,FALSE,"Suez Industrie Actif au 311295";#N/A,#N/A,FALSE,"Suez Industrie Passif 311295";#N/A,#N/A,FALSE,"Suez Industrie Cprés comp 1295";#N/A,#N/A,FALSE,"Suez Industrie résultat 311295";#N/A,#N/A,FALSE,"Suez Indus Fiscale 311295";#N/A,#N/A,FALSE,"Suez Industrie Lg terme 311295";#N/A,#N/A,FALSE,"Ecart Ptf Soc_Fisc 31-12-95";#N/A,#N/A,FALSE,"Suez Industrie OPCVM 311295";#N/A,#N/A,FALSE,"Suez Industrie Provis° passif";#N/A,#N/A,FALSE,"Suez Industrie SCI 311295";#N/A,#N/A,FALSE,"Suez Industrie Hors Bilan 95";#N/A,#N/A,FALSE,"Apport Cie de Suez du 300695"}</definedName>
    <definedName name="wrn.sum." hidden="1">{"Opsys",#N/A,FALSE,"NPV_OPsys";"NT",#N/A,FALSE,"NPV_NT";"DevP",#N/A,FALSE,"NPV_DevPdt";"Office",#N/A,FALSE,"NPV_Office"}</definedName>
    <definedName name="wrn.sum2" hidden="1">{"Sum WW A",#N/A,FALSE,"FY95SLS";"Sum WW B",#N/A,FALSE,"FY95SLS";"Sum US A",#N/A,FALSE,"FY95SLS";"Sum US B",#N/A,FALSE,"FY95SLS";"Sum US Bocg",#N/A,FALSE,"FY95SLS";"Sum Can A",#N/A,FALSE,"FY95SLS";"Sum Can B",#N/A,FALSE,"FY95SLS";"Sum Europe",#N/A,FALSE,"FY95SLS";"Sum Row",#N/A,FALSE,"FY95SLS"}</definedName>
    <definedName name="wrn.summary" hidden="1">{"Sum WW A",#N/A,FALSE,"FY95SLS";"Sum WW B",#N/A,FALSE,"FY95SLS";"Sum US A",#N/A,FALSE,"FY95SLS";"Sum US B",#N/A,FALSE,"FY95SLS";"Sum US Bocg",#N/A,FALSE,"FY95SLS";"Sum Can A",#N/A,FALSE,"FY95SLS";"Sum Can B",#N/A,FALSE,"FY95SLS";"Sum Europe",#N/A,FALSE,"FY95SLS";"Sum Row",#N/A,FALSE,"FY95SLS"}</definedName>
    <definedName name="wrn.SUMMARY." hidden="1">{"SUMMARY",#N/A,FALSE,"SUMMARY"}</definedName>
    <definedName name="wrn.summary._.schedules." hidden="1">{"summary1",#N/A,FALSE,"Summary of Values";"summary2",#N/A,FALSE,"Summary of Values"}</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b" hidden="1">{"front",#N/A,TRUE,"Cover";"S&amp;U",#N/A,TRUE,"s&amp;u";"breakdown",#N/A,TRUE,"Breakdown";"P&amp;L",#N/A,TRUE,"P&amp;L";"Balance Sheet",#N/A,TRUE,"BS";"Cashflow",#N/A,TRUE,"CF";"Exit Cap",#N/A,TRUE,"Rets";"Returns",#N/A,TRUE,"Rets"}</definedName>
    <definedName name="wrn.SummaryPgs." hidden="1">{#N/A,#N/A,FALSE,"CreditStat";#N/A,#N/A,FALSE,"SPbrkup";#N/A,#N/A,FALSE,"MerSPsyn";#N/A,#N/A,FALSE,"MerSPwKCsyn";#N/A,#N/A,FALSE,"MerSPwKCsyn (2)";#N/A,#N/A,FALSE,"CreditStat (2)"}</definedName>
    <definedName name="wrn.summit."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NPV." hidden="1">{"Sumnpv",#N/A,FALSE,"List"}</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ynthèse1." hidden="1">{"synth",#N/A,FALSE,"RATIOS CONSO";"synth",#N/A,FALSE,"CA CONSO";"synth",#N/A,FALSE,"RO CONSO";"synth",#N/A,FALSE,"EBITDA CONSO";"synth",#N/A,FALSE,"CAPEX CONSO";"synth",#N/A,FALSE,"Disponible"}</definedName>
    <definedName name="wrn.synthèse2." hidden="1">{"synth",#N/A,TRUE,"Disponible";"synth",#N/A,TRUE,"CAPEX CONSO"}</definedName>
    <definedName name="wrn.Tabelas._.FII._.Nova._.Morada." hidden="1">{#N/A,#N/A,FALSE,"Cristal D'Oro (Tabela)";#N/A,#N/A,FALSE,"Cond Rio Tietê (Tabela)";#N/A,#N/A,FALSE,"Jacyr Leal (Tabela)";#N/A,#N/A,FALSE,"Paul Cézanne (Tabela)";#N/A,#N/A,FALSE,"Tom Jobim  (Tabela)"}</definedName>
    <definedName name="wrn.Tabla._.PL." hidden="1">{#N/A,#N/A,FALSE,"P.L.Full";#N/A,#N/A,FALSE,"P.L.Desc."}</definedName>
    <definedName name="wrn.Tables." hidden="1">{"view1",#N/A,FALSE,"Tables";"view2",#N/A,FALSE,"Tables";"view3",#N/A,FALSE,"Tables"}</definedName>
    <definedName name="wrn.taihing."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hidden="1">{"targetdcf",#N/A,FALSE,"Merger consequences";"TARGETASSU",#N/A,FALSE,"Merger consequences";"TERMINAL VALUE",#N/A,FALSE,"Merger consequences"}</definedName>
    <definedName name="wrn.Target._.Summary." hidden="1">{"SUMMARY",#N/A,FALSE,"Sheet1"}</definedName>
    <definedName name="wrn.TargetLBO."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riff._.Analysis." hidden="1">{"Tarifica91",#N/A,FALSE,"Tariffs";"Tarifica92",#N/A,FALSE,"Tariffs";"Tarifica93",#N/A,FALSE,"Tariffs";"Tarifica94",#N/A,FALSE,"Tariffs";"Tarifica95",#N/A,FALSE,"Tariffs";"Tarifica96",#N/A,FALSE,"Tariffs"}</definedName>
    <definedName name="wrn.Tariff._.Comaprison." hidden="1">{"Tariff Comparison",#N/A,FALSE,"Benchmarking";"Tariff Comparison 2",#N/A,FALSE,"Benchmarking";"Tariff Comparison 3",#N/A,FALSE,"Benchmarking"}</definedName>
    <definedName name="wrn.TAXES." hidden="1">{"taxes",#N/A,FALSE,"Taxes"}</definedName>
    <definedName name="wrn.tcs2." hidden="1">{"tcs1",#N/A,FALSE,"Contra Patch"}</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kst._.tabellen." hidden="1">{#N/A,#N/A,FALSE,"Ev.ventes DP";#N/A,#N/A,FALSE,"Hypo.econ.";#N/A,#N/A,FALSE,"Pot.2015";#N/A,#N/A,FALSE,"Comp.pot";#N/A,#N/A,FALSE,"HorsG";#N/A,#N/A,FALSE,"DP"}</definedName>
    <definedName name="wrn.TEMP."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RMINAL._.VALUE." hidden="1">{"terminal value",#N/A,FALSE,"TV_Payback"}</definedName>
    <definedName name="wrn.test." hidden="1">{#N/A,#N/A,FALSE,"TabA";#N/A,#N/A,FALSE,"UTopxFx98";#N/A,#N/A,FALSE,"TopxFx98";#N/A,#N/A,FALSE,"TopxNom"}</definedName>
    <definedName name="wrn.Thomas_Case." hidden="1">{#N/A,#N/A,TRUE,"Thomas Case";#N/A,#N/A,TRUE,"Corporate Overhead";#N/A,#N/A,TRUE,"Arizona";#N/A,#N/A,TRUE,"Cal";#N/A,#N/A,TRUE,"Illinois";#N/A,#N/A,TRUE,"Indiana";#N/A,#N/A,TRUE,"Ohio";#N/A,#N/A,TRUE,"Pennsylvania";#N/A,#N/A,TRUE,"Growth";#N/A,#N/A,TRUE,"Anthem";#N/A,#N/A,TRUE,"Pipeline"}</definedName>
    <definedName name="wrn.tiger." hidden="1">{#N/A,#N/A,FALSE,"TB";#N/A,#N/A,FALSE,"CONTENTS";#N/A,#N/A,FALSE,"DR";#N/A,#N/A,FALSE,"AR";#N/A,#N/A,FALSE,"BS";#N/A,#N/A,FALSE,"PL";#N/A,#N/A,FALSE,"NOTES";#N/A,#N/A,FALSE,"NOTES (2)";#N/A,#N/A,FALSE,"NOTES (3)";#N/A,#N/A,FALSE,"DPL";#N/A,#N/A,FALSE,"DPL"}</definedName>
    <definedName name="wrn.tigertax." hidden="1">{#N/A,#N/A,FALSE,"TAXC.INDEX";#N/A,#N/A,FALSE,"Schedule I";#N/A,#N/A,FALSE,"Schedule  II";#N/A,#N/A,FALSE,"Schedule III"}</definedName>
    <definedName name="wrn.tigertax.1" hidden="1">{#N/A,#N/A,FALSE,"TAXC.INDEX";#N/A,#N/A,FALSE,"Schedule I";#N/A,#N/A,FALSE,"Schedule  II";#N/A,#N/A,FALSE,"Schedule III"}</definedName>
    <definedName name="wrn.Todas._.las._.tablas." hidden="1">{#N/A,#N/A,FALSE,"Resumen";#N/A,#N/A,FALSE,"Full";#N/A,"Carabeer",FALSE,"Dscto.";#N/A,"Disbracentro",FALSE,"Dscto.";#N/A,"Andes",FALSE,"Dscto.";#N/A,"Mar Caribe",FALSE,"Dscto.";#N/A,"Río Beer",FALSE,"Dscto.";#N/A,#N/A,FALSE,"P.L.Full";#N/A,#N/A,FALSE,"P.L.Desc."}</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hidden="1">{#N/A,"TCHEM",FALSE,"BSHIST.XLS"}</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Informes." hidden="1">{#N/A,#N/A,FALSE,"CA";#N/A,#N/A,FALSE,"CN";#N/A,#N/A,FALSE,"Inv";#N/A,#N/A,FALSE,"Inv Acc";"Miguel_balance",#N/A,FALSE,"Bal";#N/A,#N/A,FALSE,"Plantilla";#N/A,#N/A,FALSE,"CA (2)";#N/A,#N/A,FALSE,"CN (2)"}</definedName>
    <definedName name="wrn.Total._.Market._.Report." hidden="1">{#N/A,#N/A,FALSE,"Sales Graph";#N/A,#N/A,FALSE,"BUC Graph";#N/A,#N/A,FALSE,"P&amp;L - YTD"}</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hidden="1">{"comp1",#N/A,FALSE,"COMPS";"footnotes",#N/A,FALSE,"COMPS"}</definedName>
    <definedName name="wrn.totalcomp.1" hidden="1">{"comp1",#N/A,FALSE,"COMPS";"footnotes",#N/A,FALSE,"COMPS"}</definedName>
    <definedName name="wrn.Totar." hidden="1">{"Totax",#N/A,FALSE,"Sheet1";#N/A,#N/A,FALSE,"Law Output"}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hidden="1">{#N/A,#N/A,FALSE,"Inc Stmt";#N/A,#N/A,FALSE,"Indirect Costs";#N/A,#N/A,FALSE,"Capital"}</definedName>
    <definedName name="wrn.trademark._.and._.trade._.name." hidden="1">{"trademark1",#N/A,FALSE,"Trademark(s) and Trade Name(s)"}</definedName>
    <definedName name="wrn.trans._.sum." hidden="1">{"trans assumptions",#N/A,FALSE,"Merger";"trans accretion",#N/A,FALSE,"Merger"}</definedName>
    <definedName name="wrn.TRANSPORT._.COSTS." hidden="1">{"TRANSPORT COSTS",#N/A,FALSE,"C.CENTRE"}</definedName>
    <definedName name="wrn.treso._.mrz." hidden="1">{#N/A,#N/A,TRUE,"rmblt";#N/A,#N/A,TRUE,"emlt";#N/A,#N/A,TRUE,"graphes";#N/A,#N/A,TRUE,"recap"}</definedName>
    <definedName name="wrn.Trial._.Balances." hidden="1">{#N/A,#N/A,FALSE,"Trial Balance-STAT";#N/A,#N/A,FALSE,"Trial Balance-GAAP"}</definedName>
    <definedName name="wrn.Tweety." hidden="1">{#N/A,#N/A,FALSE,"A&amp;E";#N/A,#N/A,FALSE,"HighTop";#N/A,#N/A,FALSE,"JG";#N/A,#N/A,FALSE,"RI";#N/A,#N/A,FALSE,"woHT";#N/A,#N/A,FALSE,"woHT&amp;JG"}</definedName>
    <definedName name="wrn.Typhoon." hidden="1">{"Agg Output",#N/A,FALSE,"Operational Drivers Output";"NW Output",#N/A,FALSE,"Operational Drivers Output";"South Output",#N/A,FALSE,"Operational Drivers Output";"Central Output",#N/A,FALSE,"Operational Drivers Output"}</definedName>
    <definedName name="wrn.typical." hidden="1">{"typical",#N/A,FALSE,"Typical Absence"}</definedName>
    <definedName name="wrn.Umsatz." hidden="1">{#N/A,#N/A,FALSE,"Umsatz";#N/A,#N/A,FALSE,"Base V.02";#N/A,#N/A,FALSE,"Charts"}</definedName>
    <definedName name="wrn.UmsatzwertePlan1997." hidden="1">{#N/A,#N/A,TRUE,"UmsSumAnteilFZ";#N/A,#N/A,TRUE,"UmsatzSumme";#N/A,#N/A,TRUE,"G&amp;V"}</definedName>
    <definedName name="wrn.uni" hidden="1">{"Units A",#N/A,FALSE,"FY95SLS";"Units B",#N/A,FALSE,"FY95SLS"}</definedName>
    <definedName name="wrn.Units." hidden="1">{"Units A",#N/A,FALSE,"FY95SLS";"Units B",#N/A,FALSE,"FY95SLS"}</definedName>
    <definedName name="wrn.up." hidden="1">{"up stand alones",#N/A,FALSE,"Acquiror"}</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stairs." hidden="1">{"histincome",#N/A,FALSE,"hyfins";"closing balance",#N/A,FALSE,"hyfins"}</definedName>
    <definedName name="wrn.US._.and._.Europe." hidden="1">{#N/A,#N/A,FALSE,"Consolidated Financials";#N/A,#N/A,FALSE,"US Mkt";#N/A,#N/A,FALSE,"Eur Mkt"}</definedName>
    <definedName name="wrn.US._.Dollar." hidden="1">{"US Dollars",#N/A,TRUE,"PPD";"US Dollar",#N/A,TRUE,"Anaquest";"US Dollar",#N/A,TRUE,"Delta";"US Dollar",#N/A,TRUE,"INO"}</definedName>
    <definedName name="wrn.usd." hidden="1">{#N/A,#N/A,FALSE,"USD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wrn.USW." hidden="1">{"IS",#N/A,FALSE,"IS";"RPTIS",#N/A,FALSE,"RPTIS";"STATS",#N/A,FALSE,"STATS";"BS",#N/A,FALSE,"BS"}</definedName>
    <definedName name="wrn.UTL._.Position." hidden="1">{"UTL effect",#N/A,FALSE,"Sensitivity"}</definedName>
    <definedName name="wrn.valderrama." hidden="1">{"valderrama1",#N/A,FALSE,"Pro Forma";"valderrama",#N/A,FALSE,"Pro Forma"}</definedName>
    <definedName name="wrn.Valo._.Vivendi." hidden="1">{#N/A,#N/A,FALSE,"VIVENDI SOP";#N/A,#N/A,FALSE,"Water division SOP";#N/A,#N/A,FALSE,"Water multiple valuation"}</definedName>
    <definedName name="wrn.VALUATION." hidden="1">{#N/A,#N/A,FALSE,"Valuation Assumptions";#N/A,#N/A,FALSE,"Summary";#N/A,#N/A,FALSE,"DCF";#N/A,#N/A,FALSE,"Valuation";#N/A,#N/A,FALSE,"WACC";#N/A,#N/A,FALSE,"UBVH";#N/A,#N/A,FALSE,"Free Cash Flow"}</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iance." hidden="1">{"Act_vs_Budget",#N/A,FALSE,"QTRDPVAR";"Act_vs_Prior_Year",#N/A,FALSE,"QTRDPVAR"}</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VERB." hidden="1">{#N/A,#N/A,FALSE,"Valuation Assumptions";#N/A,#N/A,FALSE,"Summary";#N/A,#N/A,FALSE,"DCF";#N/A,#N/A,FALSE,"Valuation";#N/A,#N/A,FALSE,"WACC";#N/A,#N/A,FALSE,"UBVH";#N/A,#N/A,FALSE,"Free Cash Flow"}</definedName>
    <definedName name="wrn.Vinyl1999IFOrecons." hidden="1">{"Vinyl1999Q1IFOrecon",#N/A,TRUE,"Vinyl";"Vinyl1999Q2IFOrecon",#N/A,TRUE,"Vinyl";"Vinyl1999Q3IFOrecon",#N/A,TRUE,"Vinyl";"Vinyl1999Q4IFOrecon",#N/A,TRUE,"Vinyl";"Vinyl1999TotalIFOrecon",#N/A,TRUE,"Vinyl";#N/A,#N/A,TRUE,"Vinyl"}</definedName>
    <definedName name="wrn.Wacc." hidden="1">{"Area1",#N/A,FALSE,"OREWACC";"Area2",#N/A,FALSE,"OREWACC"}</definedName>
    <definedName name="wrn.wara." hidden="1">{"weighted average returns",#N/A,FALSE,"WACC and WARA"}</definedName>
    <definedName name="wrn.Water." hidden="1">{#N/A,#N/A,FALSE,"Water";#N/A,#N/A,FALSE,"Ballygowan";#N/A,#N/A,FALSE,"Volvic"}</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 hidden="1">{#N/A,#N/A,FALSE,"W&amp;Spirits";#N/A,#N/A,FALSE,"Grants";#N/A,#N/A,FALSE,"CCB"}</definedName>
    <definedName name="wrn.work._.paper._.shcedules." hidden="1">{"summary1",#N/A,FALSE,"Summary of Values";"summary2",#N/A,FALSE,"Summary of Values";"weighted average returns",#N/A,FALSE,"WACC and WARA";"fixed asset detail",#N/A,FALSE,"Fixed Asset Detail"}</definedName>
    <definedName name="wrn.WORKING._.CAPITAL." hidden="1">{"working capital",#N/A,FALSE,"Bal. Sht.- Work Cap"}</definedName>
    <definedName name="wrn.X140." hidden="1">{"page1",#N/A,FALSE,"X140withReclasses";"page2",#N/A,FALSE,"X140withReclasses";"page3",#N/A,FALSE,"X140withReclasses"}</definedName>
    <definedName name="wrn.YTD." hidden="1">{"YTD",#N/A,FALSE,"SUM"}</definedName>
    <definedName name="wrn.YTD._.PACKAGE." hidden="1">{"YD PACKAGE",#N/A,FALSE,"YTD"}</definedName>
    <definedName name="wrn.YTD._.PRS." hidden="1">{"YD PRS",#N/A,FALSE,"YTD"}</definedName>
    <definedName name="wrn.YTD_ALL." hidden="1">{"YD LAPO2",#N/A,FALSE,"YTD";"YD LPH2",#N/A,FALSE,"YTD";"YD LOUISIANA",#N/A,FALSE,"YTD";"YD GENERALH2",#N/A,FALSE,"YTD";"YD PRS",#N/A,FALSE,"YTD";"YD PACKAGE",#N/A,FALSE,"YTD";"YD OTHER",#N/A,FALSE,"YTD"}</definedName>
    <definedName name="wrn.YTD_GENERALH2." hidden="1">{"YD GENERALH2",#N/A,FALSE,"YTD"}</definedName>
    <definedName name="wrn.YTD_LAPORTE_O2N2." hidden="1">{"YD LAPO2",#N/A,FALSE,"YTD"}</definedName>
    <definedName name="wrn.YTD_LOUISIANA." hidden="1">{"YD LOUISIANA",#N/A,FALSE,"YTD"}</definedName>
    <definedName name="wrn.YTD_OTHER." hidden="1">{"YD OTHER",#N/A,FALSE,"YTD"}</definedName>
    <definedName name="wrn.YTD_TEXAS._.HYCO." hidden="1">{"YD LPH2",#N/A,FALSE,"YTD"}</definedName>
    <definedName name="wrn.YTDvsBud." hidden="1">{"Pg1",#N/A,FALSE,"OpExYTDvsBud";"Pg2",#N/A,FALSE,"OpExYTDvsBud"}</definedName>
    <definedName name="wrn.YTDvsPY." hidden="1">{"Pa1",#N/A,FALSE,"OpExYTDvsPY";"Pa2",#N/A,FALSE,"OpExYTDvsPY"}</definedName>
    <definedName name="wrn.ZAG." hidden="1">{#N/A,"MacToolsZag",FALSE,"P&amp;L"}</definedName>
    <definedName name="wrn.zagwo337." hidden="1">{#N/A,"Zag Europe w/out Zag Israel",FALSE,"P&amp;L";#N/A,"ZagUkTotal",FALSE,"P&amp;L";#N/A,"ZagFranceConsolid",FALSE,"P&amp;L";#N/A,"ZagItalyConsolid",FALSE,"P&amp;L";#N/A,"ZagCanicoGermany",FALSE,"P&amp;L";#N/A,"ZagNorthernConsolid",FALSE,"P&amp;L"}</definedName>
    <definedName name="wrn1.1.1" hidden="1">{#N/A,#N/A,FALSE,"Calc";#N/A,#N/A,FALSE,"Sensitivity";#N/A,#N/A,FALSE,"LT Earn.Dil.";#N/A,#N/A,FALSE,"Dil. AVP"}</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history" hidden="1">{#N/A,#N/A,FALSE,"model"}</definedName>
    <definedName name="wrn1.PRINT." hidden="1">{"DOWNLOAD",#N/A,FALSE,"GLDownload";"UPLOAD",#N/A,FALSE,"GLUpload"}</definedName>
    <definedName name="wrn1.summit" hidden="1">{#N/A,#N/A,FALSE,"TB";#N/A,#N/A,FALSE,"DR";#N/A,#N/A,FALSE,"AR";#N/A,#N/A,FALSE,"PL";#N/A,#N/A,FALSE,"BS";#N/A,#N/A,FALSE,"NOTES";#N/A,#N/A,FALSE,"NOTES (2)";#N/A,#N/A,FALSE,"NOTES (3)";#N/A,#N/A,FALSE,"DPL";#N/A,#N/A,FALSE,"TAXC.INDEX";#N/A,#N/A,FALSE,"Schedule I";#N/A,#N/A,FALSE,"Adjustments"}</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tigertax." hidden="1">{#N/A,#N/A,FALSE,"TAXC.INDEX";#N/A,#N/A,FALSE,"Schedule I";#N/A,#N/A,FALSE,"Schedule  II";#N/A,#N/A,FALSE,"Schedule III"}</definedName>
    <definedName name="wrn2.All"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2.Bplan." hidden="1">{#N/A,#N/A,FALSE,"F_Plan";#N/A,#N/A,FALSE,"Parameter"}</definedName>
    <definedName name="WRN2.Document" hidden="1">{"consolidated",#N/A,FALSE,"Sheet1";"cms",#N/A,FALSE,"Sheet1";"fse",#N/A,FALSE,"Sheet1"}</definedName>
    <definedName name="wrn3.ALL." hidden="1">{#N/A,#N/A,FALSE,"DCF";#N/A,#N/A,FALSE,"WACC";#N/A,#N/A,FALSE,"Sales_EBIT";#N/A,#N/A,FALSE,"Capex_Depreciation";#N/A,#N/A,FALSE,"WC";#N/A,#N/A,FALSE,"Interest";#N/A,#N/A,FALSE,"Assumptions"}</definedName>
    <definedName name="wrn3.histroic" hidden="1">{#N/A,#N/A,FALSE,"model"}</definedName>
    <definedName name="wrna.prod" hidden="1">{#N/A,#N/A,FALSE,"1";#N/A,#N/A,FALSE,"2";#N/A,#N/A,FALSE,"16 - 17";#N/A,#N/A,FALSE,"18 - 19";#N/A,#N/A,FALSE,"26";#N/A,#N/A,FALSE,"27";#N/A,#N/A,FALSE,"28"}</definedName>
    <definedName name="wrnaboth" hidden="1">{"detail",#N/A,FALSE,"mfg";"summary",#N/A,FALSE,"mfg"}</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hidden="1">{"detail",#N/A,FALSE,"mfg";"summary",#N/A,FALSE,"mfg"}</definedName>
    <definedName name="wrnavpucspadd" hidden="1">{#N/A,"PURCHM",FALSE,"Business Analysis";#N/A,"SPADD",FALSE,"Business Analysis"}</definedName>
    <definedName name="wrnb213" hidden="1">{"detail",#N/A,FALSE,"mfg";"summary",#N/A,FALSE,"mfg"}</definedName>
    <definedName name="wrnb412" hidden="1">{"detail",#N/A,FALSE,"mfg";"summary",#N/A,FALSE,"mfg"}</definedName>
    <definedName name="wrnboth14a" hidden="1">{"detail",#N/A,FALSE,"mfg";"summary",#N/A,FALSE,"mfg"}</definedName>
    <definedName name="WRNP41" hidden="1">{#N/A,"PURCHM",FALSE,"Business Analysis";#N/A,"SPADD",FALSE,"Business Analysis"}</definedName>
    <definedName name="wrnp61" hidden="1">{#N/A,"PURCHM",FALSE,"Business Analysis";#N/A,"SPADD",FALSE,"Business Analysis"}</definedName>
    <definedName name="wrnpav" hidden="1">{#N/A,"PURCHM",FALSE,"Business Analysis";#N/A,"SPADD",FALSE,"Business Analysis"}</definedName>
    <definedName name="wrnpuc213" hidden="1">{#N/A,"PURCHM",FALSE,"Business Analysis";#N/A,"SPADD",FALSE,"Business Analysis"}</definedName>
    <definedName name="wrnpuc2412" hidden="1">{#N/A,"PURCHM",FALSE,"Business Analysis";#N/A,"SPADD",FALSE,"Business Analysis"}</definedName>
    <definedName name="wrnpuc412" hidden="1">{#N/A,"PURCHM",FALSE,"Business Analysis";#N/A,"SPADD",FALSE,"Business Analysis"}</definedName>
    <definedName name="wrnpucs213" hidden="1">{#N/A,"PURCHM",FALSE,"Business Analysis";#N/A,"SPADD",FALSE,"Business Analysis"}</definedName>
    <definedName name="wrnpucspadd32" hidden="1">{#N/A,"PURCHM",FALSE,"Business Analysis";#N/A,"SPADD",FALSE,"Business Analysis"}</definedName>
    <definedName name="wrnpucspaddza103" hidden="1">{#N/A,"PURCHM",FALSE,"Business Analysis";#N/A,"SPADD",FALSE,"Business Analysis"}</definedName>
    <definedName name="wrnpucspvd" hidden="1">{#N/A,"PURCHM",FALSE,"Business Analysis";#N/A,"SPADD",FALSE,"Business Analysis"}</definedName>
    <definedName name="wrnpvcs" hidden="1">{#N/A,"PURCHM",FALSE,"Business Analysis";#N/A,"SPADD",FALSE,"Business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R" hidden="1">{#N/A,#N/A,FALSE,"Pharm";#N/A,#N/A,FALSE,"WWCM"}</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hidden="1">{#N/A,#N/A,FALSE,"REPORT"}</definedName>
    <definedName name="wrwer" hidden="1">{#N/A,#N/A,FALSE,"Umsatz 99";#N/A,#N/A,FALSE,"ER 99 "}</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hidden="1">{"YD LAPO2",#N/A,FALSE,"YTD"}</definedName>
    <definedName name="ws" hidden="1">{#N/A,#N/A,FALSE,"TB";#N/A,#N/A,FALSE,"AR";#N/A,#N/A,FALSE,"BS";#N/A,#N/A,FALSE,"PL";#N/A,#N/A,FALSE,"NOTES";#N/A,#N/A,FALSE,"NOTES (2)";#N/A,#N/A,FALSE,"NOTES (3)";#N/A,#N/A,FALSE,"TAXC.INDEX";#N/A,#N/A,FALSE,"Schedule I";#N/A,#N/A,FALSE,"DPL";#N/A,#N/A,FALSE,"Schedule IV";#N/A,#N/A,FALSE,"Adjustments"}</definedName>
    <definedName name="wsetm" hidden="1">{#N/A,#N/A,FALSE,"Eastern";#N/A,#N/A,FALSE,"Western"}</definedName>
    <definedName name="wt" hidden="1">{"comps2_1",#N/A,FALSE,"Comps2";"comps2_2",#N/A,FALSE,"Comps2";"comps2_3",#N/A,FALSE,"Comps2";"comps2_4",#N/A,FALSE,"Comps2";"comps2_5",#N/A,FALSE,"Comps2"}</definedName>
    <definedName name="wv" hidden="1">{#N/A,#N/A,FALSE,"Pharm";#N/A,#N/A,FALSE,"WWCM"}</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e_storici." hidden="1">{TRUE,TRUE,-1.25,-15.5,484.5,301.5,FALSE,FALSE,TRUE,TRUE,0,1,#N/A,13,#N/A,7.06382978723404,20.2352941176471,1,FALSE,FALSE,3,TRUE,1,FALSE,100,"Swvu.ce_storici.","ACwvu.ce_storici.",1,FALSE,FALSE,0.36,0.44,0.984251968503937,0.984251968503937,2,"&amp;C&amp;B&amp;UBangers Distribution Italia S.p.A.","",TRUE,TRUE,FALSE,FALSE,1,110,#N/A,#N/A,"=R12C1:R242C6,R12C8,R12C8,R12C8:R75C20,R12C22:R242C30",FALSE,#N/A,#N/A,FALSE,FALSE}</definedName>
    <definedName name="wvu.dd." hidden="1">{TRUE,TRUE,-1.25,-15.5,484.5,301.5,FALSE,FALSE,TRUE,TRUE,0,1,#N/A,9,#N/A,7.578125,17.4117647058824,1,FALSE,FALSE,3,TRUE,1,FALSE,100,"Swvu.dd.","ACwvu.dd.",1,FALSE,FALSE,0.748031496062992,0.354330708661417,1.73228346456693,0.275590551181102,1,"&amp;L&amp;10PASFIN - Servizi Finanziari S.p.A.
&amp;I Mergers  and Acquisitions&amp;R&amp;10Data di stampa: &amp;D
 Ore:      &amp;T","&amp;R&amp;""Times New Roman""Pagina &amp;P",FALSE,FALSE,FALSE,FALSE,1,100,#N/A,#N/A,"=R59C1:R283C7",FALSE,#N/A,#N/A,FALSE,FALSE}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hidden="1">{#N/A,#N/A,FALSE,"Pharm";#N/A,#N/A,FALSE,"WWCM"}</definedName>
    <definedName name="ww.Rele" hidden="1">{#N/A,#N/A,FALSE,"Title Page";#N/A,#N/A,FALSE,"Conclusions";#N/A,#N/A,FALSE,"Assum.";#N/A,#N/A,FALSE,"Sun  DCF-WC-Dep";#N/A,#N/A,FALSE,"MarketValue";#N/A,#N/A,FALSE,"BalSheet";#N/A,#N/A,FALSE,"WACC";#N/A,#N/A,FALSE,"PC+ Info.";#N/A,#N/A,FALSE,"PC+Info_2"}</definedName>
    <definedName name="wwe" hidden="1">{"'Sheet1'!$A$1:$E$287"}</definedName>
    <definedName name="wwe.kkjk" hidden="1">{#N/A,#N/A,FALSE,"Umsatz CH";#N/A,#N/A,FALSE,"ER CH";#N/A,#N/A,FALSE,"EA CH (2) ";#N/A,#N/A,FALSE,"EA CH";#N/A,#N/A,FALSE,"EA CH (3) ";#N/A,#N/A,FALSE,"EA CH (4)";#N/A,#N/A,FALSE,"KA CH";#N/A,#N/A,FALSE,"KA CH  (2)";#N/A,#N/A,FALSE,"KA CH  (3)";#N/A,#N/A,FALSE,"KA CH (4)"}</definedName>
    <definedName name="wwt" hidden="1">{"YD LAPO2",#N/A,FALSE,"YTD"}</definedName>
    <definedName name="www" hidden="1">{#N/A,"PURCHM",FALSE,"Business Analysis";#N/A,"SPADD",FALSE,"Business Analysis"}</definedName>
    <definedName name="wwww" hidden="1">{#N/A,#N/A,FALSE,"Produkte Erw.";#N/A,#N/A,FALSE,"Produkte Plan";#N/A,#N/A,FALSE,"Leistungen Erw.";#N/A,#N/A,FALSE,"Leistungen Plan";#N/A,#N/A,FALSE,"KA Allg.Kosten (2)";#N/A,#N/A,FALSE,"KA All.Kosten"}</definedName>
    <definedName name="wwwwwwwww" hidden="1">{"YTD",#N/A,FALSE,"SUM"}</definedName>
    <definedName name="wwwwwwwwwww" hidden="1">{"YD PACKAGE",#N/A,FALSE,"YTD"}</definedName>
    <definedName name="wwwwwwwwwwwwww" hidden="1">{"detail",#N/A,FALSE,"mfg";"summary",#N/A,FALSE,"mfg"}</definedName>
    <definedName name="wx" hidden="1">{#N/A,#N/A,FALSE,"Pharm";#N/A,#N/A,FALSE,"WWCM"}</definedName>
    <definedName name="x" hidden="1">{#N/A,#N/A,FALSE,"REPORT"}</definedName>
    <definedName name="xay" hidden="1">{#N/A,#N/A,FALSE,"TAXC.INDEX";#N/A,#N/A,FALSE,"Schedule I";#N/A,#N/A,FALSE,"Schedule  II";#N/A,#N/A,FALSE,"Schedule III";#N/A,#N/A,FALSE,"Schedule IV";#N/A,#N/A,FALSE,"Schedule IV (Cont'd)";#N/A,#N/A,FALSE,"Schedule V";#N/A,#N/A,FALSE,"Schedule VI";#N/A,#N/A,FALSE,"Schedule VII"}</definedName>
    <definedName name="xb" hidden="1">{"BA detail",#N/A,FALSE,"Q3YTD "}</definedName>
    <definedName name="xc" hidden="1">{"ICD Details",#N/A,FALSE,"Current Yr";"ICD Details",#N/A,FALSE,"Budget";"ICD Details",#N/A,FALSE,"Prior Year"}</definedName>
    <definedName name="xccvbcbvcb" hidden="1">{"comps2",#N/A,FALSE,"AERO";"footnotes",#N/A,FALSE,"AERO"}</definedName>
    <definedName name="xckt" hidden="1">{#N/A,#N/A,FALSE,"DIR-REP";#N/A,#N/A,FALSE,"AUD-REPORT";#N/A,#N/A,FALSE,"P7L&amp;BS";#N/A,#N/A,FALSE,"NOTES";#N/A,#N/A,FALSE,"FA";#N/A,#N/A,FALSE,"NOTES (2)";#N/A,#N/A,FALSE,"Schedule  IV";#N/A,#N/A,FALSE,"Schedule V"}</definedName>
    <definedName name="xcv" hidden="1">{#N/A,#N/A,FALSE,"Pharm";#N/A,#N/A,FALSE,"WWCM"}</definedName>
    <definedName name="xcvbxcvbcx" hidden="1">{#N/A,#N/A,FALSE,"Umsatz EO BP";#N/A,#N/A,FALSE,"Umsatz EO OP";#N/A,#N/A,FALSE,"ER EO BP";#N/A,#N/A,FALSE,"ER EO OP";#N/A,#N/A,FALSE,"EA EO (2)";#N/A,#N/A,FALSE,"EA EO";#N/A,#N/A,FALSE,"EA EO (3)";#N/A,#N/A,FALSE,"EA EO (4)";#N/A,#N/A,FALSE,"KA EO  (2)";#N/A,#N/A,FALSE,"KA EO";#N/A,#N/A,FALSE,"KA EO  (3)";#N/A,#N/A,FALSE,"KA EO (4)"}</definedName>
    <definedName name="xcvcvb"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zvzs" hidden="1">{"Units A",#N/A,FALSE,"FY95SLS";"Units B",#N/A,FALSE,"FY95SLS"}</definedName>
    <definedName name="xddd" hidden="1">{#N/A,#N/A,FALSE,"Presentation by Unit";#N/A,#N/A,FALSE,"Presentation by BD";#N/A,#N/A,FALSE,"Presentation Split by Biggest U";#N/A,#N/A,FALSE,"Presentation Split by Area";#N/A,#N/A,FALSE,"Presentation Split by BD"}</definedName>
    <definedName name="xdfgh" hidden="1">{"Units A",#N/A,FALSE,"FY95SLS";"Units B",#N/A,FALSE,"FY95SLS"}</definedName>
    <definedName name="xdxdxdx" hidden="1">{"Units A",#N/A,FALSE,"FY95SLS";"Units B",#N/A,FALSE,"FY95SLS"}</definedName>
    <definedName name="xeas" hidden="1">{#N/A,#N/A,FALSE,"TAXC.INDEX";#N/A,#N/A,FALSE,"Schedule I";#N/A,#N/A,FALSE,"Schedule  II";#N/A,#N/A,FALSE,"Schedule III"}</definedName>
    <definedName name="XLSIMPARAM" hidden="1">{"Param","Uncertainty!$B$26","NPV","1,000","1","3","1","level","Uncertainty!$E$12:$H$12","Uncertainty!$B$12"}</definedName>
    <definedName name="XLSIMSIM" hidden="1">{"Sim",1,"Output 1","'Incremental Baxter'!$C$47","1","2","100","0"}</definedName>
    <definedName name="xlst" hidden="1">{#N/A,#N/A,FALSE,"DIR-REP";#N/A,#N/A,FALSE,"AUD-REPORT";#N/A,#N/A,FALSE,"P7L&amp;BS";#N/A,#N/A,FALSE,"NOTES";#N/A,#N/A,FALSE,"FA";#N/A,#N/A,FALSE,"NOTES (2)";#N/A,#N/A,FALSE,"Schedule  IV";#N/A,#N/A,FALSE,"Schedule V"}</definedName>
    <definedName name="xlx" hidden="1">{#N/A,#N/A,FALSE,"PMW Gruppe 99_98";#N/A,#N/A,FALSE,"PMW KG 98_99";#N/A,#N/A,FALSE,"PMW Inc. 99_98";#N/A,#N/A,FALSE,"PMW VTECH 99_98";#N/A,#N/A,FALSE,"PMW Thail. 99_98";#N/A,#N/A,FALSE,"PMW Canada 99_98";#N/A,#N/A,FALSE,"Währungsabw. 99_98"}</definedName>
    <definedName name="xn" hidden="1">{"oct_res_comm",#N/A,FALSE,"VarToBud"}</definedName>
    <definedName name="xoct" hidden="1">{#N/A,#N/A,FALSE,"TB";#N/A,#N/A,FALSE,"DR";#N/A,#N/A,FALSE,"AR";#N/A,#N/A,FALSE,"BS";#N/A,#N/A,FALSE,"PL";#N/A,#N/A,FALSE,"NOTES";#N/A,#N/A,FALSE,"NOTES (2)";#N/A,#N/A,FALSE,"NOTES (3)";#N/A,#N/A,FALSE,"DPL";#N/A,#N/A,FALSE,"DPL"}</definedName>
    <definedName name="xod" hidden="1">{#N/A,#N/A,FALSE,"TB";#N/A,#N/A,FALSE,"DR";#N/A,#N/A,FALSE,"AR";#N/A,#N/A,FALSE,"PL";#N/A,#N/A,FALSE,"BS";#N/A,#N/A,FALSE,"NOTES";#N/A,#N/A,FALSE,"NOTES (2)";#N/A,#N/A,FALSE,"NOTES (3)";#N/A,#N/A,FALSE,"DPL";#N/A,#N/A,FALSE,"TAXC.INDEX";#N/A,#N/A,FALSE,"Schedule I";#N/A,#N/A,FALSE,"Adjustments"}</definedName>
    <definedName name="xog" hidden="1">{#N/A,#N/A,FALSE,"DIR-REP";#N/A,#N/A,FALSE,"AUD-REPORT";#N/A,#N/A,FALSE,"P7L&amp;BS";#N/A,#N/A,FALSE,"NOTES";#N/A,#N/A,FALSE,"FA";#N/A,#N/A,FALSE,"NOTES (2)";#N/A,#N/A,FALSE,"Schedule  IV";#N/A,#N/A,FALSE,"Schedule V"}</definedName>
    <definedName name="xotlsl" hidden="1">{#N/A,#N/A,FALSE,"TB";#N/A,#N/A,FALSE,"DR";#N/A,#N/A,FALSE,"AR";#N/A,#N/A,FALSE,"BS";#N/A,#N/A,FALSE,"PL";#N/A,#N/A,FALSE,"NOTES";#N/A,#N/A,FALSE,"NOTES (2)";#N/A,#N/A,FALSE,"NOTES (3)";#N/A,#N/A,FALSE,"DPL";#N/A,#N/A,FALSE,"DPL"}</definedName>
    <definedName name="xptl" hidden="1">{#N/A,#N/A,FALSE,"TB";#N/A,#N/A,FALSE,"AR";#N/A,#N/A,FALSE,"BS";#N/A,#N/A,FALSE,"PL";#N/A,#N/A,FALSE,"NOTES";#N/A,#N/A,FALSE,"NOTES (2)";#N/A,#N/A,FALSE,"NOTES (3)";#N/A,#N/A,FALSE,"TAXC.INDEX";#N/A,#N/A,FALSE,"Schedule I";#N/A,#N/A,FALSE,"DPL";#N/A,#N/A,FALSE,"Schedule IV";#N/A,#N/A,FALSE,"Adjustments"}</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ActiveRow" hidden="1">#REF!</definedName>
    <definedName name="XRefColumnsCount" hidden="1">1</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2</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definedName>
    <definedName name="xrm" hidden="1">{"vue1",#N/A,FALSE,"synthese";"vue2",#N/A,FALSE,"synthese"}</definedName>
    <definedName name="xrm2" hidden="1">{"vue1",#N/A,FALSE,"synthese";"vue2",#N/A,FALSE,"synthese"}</definedName>
    <definedName name="xRng_019bc86369544cf2ae14261ce53502a7">#REF!</definedName>
    <definedName name="xRng_03168d0eaeea461d8acfd7142c9f1109">#REF!</definedName>
    <definedName name="xRng_05bbe5d9f673459a83660282109b8df6">#REF!</definedName>
    <definedName name="xRng_06b721e1a3b04f08900170252be7453c">#REF!</definedName>
    <definedName name="xRng_0730be8cb6a344aeb88dd24298aade95">#REF!</definedName>
    <definedName name="xRng_084ede63dccc4e94b2d3f86bc6db579f">#REF!</definedName>
    <definedName name="xRng_0e588efb4ba343a69155f36a6b0adf97">#REF!</definedName>
    <definedName name="xRng_11b1763ec57348cba6de0c2b4e537a4b">#REF!</definedName>
    <definedName name="xRng_1247d07d2fc4476d86ec60c6946c01a9">#REF!</definedName>
    <definedName name="xRng_1341cb9a1091455faf72fece42204607">#REF!</definedName>
    <definedName name="xRng_139dae9a0e7a403a8ddf20c53c68cb20">#REF!</definedName>
    <definedName name="xRng_143b5bd1543749ab9b14d347f219cc6d">#REF!</definedName>
    <definedName name="xRng_199edc57185f4537b334732bd4afbf57">#REF!</definedName>
    <definedName name="xRng_1aafc931e61b4f539229af5d62afe60f">#REF!</definedName>
    <definedName name="xRng_1c325e84c6bf4edabf1b868356f1496d">#REF!</definedName>
    <definedName name="xRng_1f0091c677484b54bec6e6c5f364abf2">#REF!</definedName>
    <definedName name="xRng_20b520b0393f473d9372eb537979c69b">#REF!</definedName>
    <definedName name="xRng_27a4aa6c7f9b453792293fd479997abd">#REF!</definedName>
    <definedName name="xRng_2a6c93dd191f46b9b1f12d25c135636e">#REF!</definedName>
    <definedName name="xRng_301df9ade63e40718903f3dd42ce3a2b">#REF!</definedName>
    <definedName name="xRng_30c9feb2cd4b4ad5b84b1c1718dee567">#REF!</definedName>
    <definedName name="xRng_320eede9a5f3463db2b9c20f306efb94">#REF!</definedName>
    <definedName name="xRng_32d304267709432abdc7ff4e5b1c3df2">#REF!</definedName>
    <definedName name="xRng_336332b4c36e49ebb03ba02e4eee087a">#REF!</definedName>
    <definedName name="xRng_33b3771e536f4a0d8045a582df551543">#REF!</definedName>
    <definedName name="xRng_3626dd922b01424d98d15a7a27425f1c">#REF!</definedName>
    <definedName name="xRng_366749d183e840a7953f4c9b9bb2dc5d">#REF!</definedName>
    <definedName name="xRng_3843e992cfdf4054a15224a8f19f3db0">#REF!</definedName>
    <definedName name="xRng_3867f64e485342889ab63f40affff90e">#REF!</definedName>
    <definedName name="xRng_3a554ed4abe043e4ba6a168ad5aea5df">#REF!</definedName>
    <definedName name="xRng_3d008395267f4ccea93c643ddd15a6a5">#REF!</definedName>
    <definedName name="xRng_424d6de5dcd34032b2de459912c7e5fb">#REF!</definedName>
    <definedName name="xRng_42e4579ee33246ac9e3a7ac997a466a0">#REF!</definedName>
    <definedName name="xRng_447a72a41c7f4aba8aaca5f1c481e390">#REF!</definedName>
    <definedName name="xRng_453d6e8274034064aa6654a8a4881522">#REF!</definedName>
    <definedName name="xRng_457e146ef42b46e68e719d284f615b2b">#REF!</definedName>
    <definedName name="xRng_466eda57bfc44b9181de2e2071c4c159">#REF!</definedName>
    <definedName name="xRng_468bdc2bb29941bc985db8fe565e6b4e">#REF!</definedName>
    <definedName name="xRng_48f2249ebd2843edad30d043be6b6d7c">#REF!</definedName>
    <definedName name="xRng_4b4cca91ce3f4cd78f53244a0ce3b664">#REF!</definedName>
    <definedName name="xRng_4c40a8155f9b4cfbaac7a270888136d0">#REF!</definedName>
    <definedName name="xRng_4ceabe230df44ffc8734718802eccafa">#REF!</definedName>
    <definedName name="xRng_4d0cdaea159f4fddbc6f594213d4661d">#REF!</definedName>
    <definedName name="xRng_4eb2291cf19f468eaf044261fa4f391e">#REF!</definedName>
    <definedName name="xRng_50a3cc7626a547089509d8e0bd28f8d8">#REF!</definedName>
    <definedName name="xRng_51d948f310ca4321a418e2b8bf97c024">#REF!</definedName>
    <definedName name="xRng_536410b15fbc4ef19db3526b13b47983">#REF!</definedName>
    <definedName name="xRng_559041211a514957bb02dce0f1f487c1">#REF!</definedName>
    <definedName name="xRng_55936aab6b5f42e6863761e904cfe564">#REF!</definedName>
    <definedName name="xRng_562f1e660f07499fb50bbda813337759">#REF!</definedName>
    <definedName name="xRng_57391e859d524189b318256f420934b4">#REF!</definedName>
    <definedName name="xRng_5782b5afe5c145c6acb44bce6adee1c7">#REF!</definedName>
    <definedName name="xRng_59add285f8dd44e1bb1251824ea3e16d">#REF!</definedName>
    <definedName name="xRng_5ba03911934b42e48d3e9d7c6a96d665">#REF!</definedName>
    <definedName name="xRng_5f03e895f63445eaa397eac322df7d49">#REF!</definedName>
    <definedName name="xRng_60e79bff99b946ce8c77d0fad02cdae7">#REF!</definedName>
    <definedName name="xRng_614239a3b1d546a798fc53c62ed20456">#REF!</definedName>
    <definedName name="xRng_62f193ce8ff44b5e9d7befa0e794d68e">#REF!</definedName>
    <definedName name="xRng_6397d8cb76734676a08c26df335d5fac">#REF!</definedName>
    <definedName name="xRng_65a46292e60942d4bda3d090093e04c9">#REF!</definedName>
    <definedName name="xRng_669073f4166d4189aa64b056f126a125">#REF!</definedName>
    <definedName name="xRng_66c202904b9d42ec9201689aadcd0e61">#REF!</definedName>
    <definedName name="xRng_673f0e85dbb146d1a5f9e2267a531c38">#REF!</definedName>
    <definedName name="xRng_6793c02711834fca8e74ca05e2b2a3ab">#REF!</definedName>
    <definedName name="xRng_67c49eb995c544fcadff0436116bbd1c">#REF!</definedName>
    <definedName name="xRng_6be5fe470cda4379a93e4a340f9b65a4">#REF!</definedName>
    <definedName name="xRng_70562896fc714c19aee39ebfafb11e6b">#REF!</definedName>
    <definedName name="xRng_713f9e5a8cdc4d2cb15613d12e57e769">#REF!</definedName>
    <definedName name="xRng_71443f8a415d4c13adf6133318ce58d6">#REF!</definedName>
    <definedName name="xRng_730fcf8cab2f4a56ac173d064f7e1874">#REF!</definedName>
    <definedName name="xRng_74e824e23d074ff6bc55d868ef368507">#REF!</definedName>
    <definedName name="xRng_77a237d5c1e945abbc7270a97602e762">#REF!</definedName>
    <definedName name="xRng_793885cfc40949dcb5daeadbe4896022">#REF!</definedName>
    <definedName name="xRng_7b80b897132c46a881410a5345a5a470">#REF!</definedName>
    <definedName name="xRng_7cf306d850e349a0b2ac1fe9e158f85a">#REF!</definedName>
    <definedName name="xRng_7e2f7dfe176d4060ac64be78304a5329">#REF!</definedName>
    <definedName name="xRng_7ffcf4c0923b445fb75502de11aee4f3">#REF!</definedName>
    <definedName name="xRng_80564fb5418242f794849d653d60b00d">#REF!</definedName>
    <definedName name="xRng_8170a2bdae6846bfa613ec7f1b1bd53e">#REF!</definedName>
    <definedName name="xRng_8186e8a7c7f8447786b5b17e1759df9c">#REF!</definedName>
    <definedName name="xRng_82402ae3a71f436a86633552a3ddfa69">#REF!</definedName>
    <definedName name="xRng_8722871580b8468c9632fa0f8f608a15">#REF!</definedName>
    <definedName name="xRng_876dccced977408ca97eeffff32e237f">#REF!</definedName>
    <definedName name="xRng_88c830c7358b4e978d1439a5e4f1b3cd">#REF!</definedName>
    <definedName name="xRng_89aefe76c57440e788b20c4d513c4105">#REF!</definedName>
    <definedName name="xRng_8a364d27c6634e3c9aabec6f321b66c1">#REF!</definedName>
    <definedName name="xRng_8ab6737e14af472ead884961967db322">#REF!</definedName>
    <definedName name="xRng_903db01be6f849ddb6e7ac78026f5b2b">#REF!</definedName>
    <definedName name="xRng_928e14e697c6498c922f2253e6d072b1">#REF!</definedName>
    <definedName name="xRng_945276f7ee6845e4a795aa9642ae664b">#REF!</definedName>
    <definedName name="xRng_9553866078c346c3abd2d6780efa8a3a">#REF!</definedName>
    <definedName name="xRng_95689444adc84c229ce1a3ccbad4fb83">#REF!</definedName>
    <definedName name="xRng_979475d05a444819aa86e46e6250e6b7">#REF!</definedName>
    <definedName name="xRng_98653595d9ad4fa0812b1af93cdd1895">#REF!</definedName>
    <definedName name="xRng_9952f00ad5a44d87a71f69a177b96a1c">#REF!</definedName>
    <definedName name="xRng_9dc2fc85cb0a4430aa6f2861dd448a37">#REF!</definedName>
    <definedName name="xRng_9dc6e0be3f21439b8b411d3d0c3ba060">#REF!</definedName>
    <definedName name="xRng_a073bfb4b052403c9e7e8d33662cbe34">#REF!</definedName>
    <definedName name="xRng_a408f5b502d4411cb86a472c2b5c1794">#REF!</definedName>
    <definedName name="xRng_a5104b28f58443c7a689ba3e9236e30d">#REF!</definedName>
    <definedName name="xRng_a833d00527974adea98fd68f7ed221f0">#REF!</definedName>
    <definedName name="xRng_a8fa6881d2f74df8ae05b58073acd586">#REF!</definedName>
    <definedName name="xRng_aac9c90ee64647d4886454983bf82649">#REF!</definedName>
    <definedName name="xRng_acecd897f5c44e12a52ef2e54efe6aaf">#REF!</definedName>
    <definedName name="xRng_ad9a6979497c44499c78db27368d6753">#REF!</definedName>
    <definedName name="xRng_b04b9f4e56764a85afd1988daa707602">#REF!</definedName>
    <definedName name="xRng_b3462763012440e480bcd09b7509f634">#REF!</definedName>
    <definedName name="xRng_b36105e3f1af4f599dc61fa5433691f0">#REF!</definedName>
    <definedName name="xRng_bc4942371ebc42adb313b8d17fe78634">#REF!</definedName>
    <definedName name="xRng_bd5cb5ade39c4b4ea3e6bbc980f6f3cf">#REF!</definedName>
    <definedName name="xRng_be7d4e2e8ae44369a8e81c8c2888c527">#REF!</definedName>
    <definedName name="xRng_c1be15ae5e3f49afa0235df16e11e412">#REF!</definedName>
    <definedName name="xRng_c25224d96d4d42d69c2953697dba7a11">#REF!</definedName>
    <definedName name="xRng_c3523f551f3248d2a208e133c29ff3ec">#REF!</definedName>
    <definedName name="xRng_c52f705f812b4639a7e19d8a4959dd00">#REF!</definedName>
    <definedName name="xRng_c6220e11f6e8463c979b627ec225262f">#REF!</definedName>
    <definedName name="xRng_c80e907498d74c8eb7c5d2497d12df05">#REF!</definedName>
    <definedName name="xRng_c9a9b235c530484ba9835df3a068c016">#REF!</definedName>
    <definedName name="xRng_c9adf5859ee8430d8820155304919419">#REF!</definedName>
    <definedName name="xRng_cc0db2f357b54e47985e2dd3a68932fe">#REF!</definedName>
    <definedName name="xRng_cdfd8d14a58944edbd7ba7c6d41b186c">#REF!</definedName>
    <definedName name="xRng_d16368ad99ef468c91e16e80da68ed59">#REF!</definedName>
    <definedName name="xRng_d258360f41474ea4861bd6235d5f2b26">#REF!</definedName>
    <definedName name="xRng_d58ba25ea0ca42c699ed96a6c92629d6">#REF!</definedName>
    <definedName name="xRng_d6714761d81d4f4eb064c1abd4bc6779">#REF!</definedName>
    <definedName name="xRng_da4aece6059b423a844c5b2900f320df">#REF!</definedName>
    <definedName name="xRng_dae0826e39c947e5967d80d8876b42d4">#REF!</definedName>
    <definedName name="xRng_db34778bbe5144fb9d82e9f104edf883">#REF!</definedName>
    <definedName name="xRng_db889ee6c3824ca488150793e384c4bd">#REF!</definedName>
    <definedName name="xRng_dca1e49d4d794306af5a0ec2694a7941">#REF!</definedName>
    <definedName name="xRng_deb1c2edeb964d0e80e436a16efa7549">#REF!</definedName>
    <definedName name="xRng_df6ab070b64944788ea118558093e6f9">#REF!</definedName>
    <definedName name="xRng_e06eb54d39284591b42bf86e582f22c2">#REF!</definedName>
    <definedName name="xRng_e22d59be7e0a451fbd8efeaddf3e352d">#REF!</definedName>
    <definedName name="xRng_e6c232ee792d4d7f832931e9bd12bf70">#REF!</definedName>
    <definedName name="xRng_e71368ece7554531b3a2597f77786a6a">#REF!</definedName>
    <definedName name="xRng_e87a68aa74b74bcabed7d358448694e7">#REF!</definedName>
    <definedName name="xRng_e88a93a14f5b44c8a3aeb40a70cef7bf">#REF!</definedName>
    <definedName name="xRng_e91a4a667aa448bfb3bd8f332dcec4aa">#REF!</definedName>
    <definedName name="xRng_eaddf7ceda914ebf989ebb6cc824c3e8">#REF!</definedName>
    <definedName name="xRng_eb9b4542e5f14e45aaa33cbff62806e1">#REF!</definedName>
    <definedName name="xRng_eb9d0f88c58b4f389fbed90278e63b3d">#REF!</definedName>
    <definedName name="xRng_ec0a93077be942bfa613770eeb4e6c99">#REF!</definedName>
    <definedName name="xRng_ecc7aafe82de4166ae4bbb7c8905e372">#REF!</definedName>
    <definedName name="xRng_edcbcd85759f4b789ce144aa2e59ae32">#REF!</definedName>
    <definedName name="xRng_ede1cfa55f094a47a18f2f7e25c3fd2b">#REF!</definedName>
    <definedName name="xRng_f09ed096cc2a4c8f8e29a2f67b974f4d">#REF!</definedName>
    <definedName name="xRng_f374735791954bb8b92e1ee981d52924">#REF!</definedName>
    <definedName name="xRng_f3902073e72d4f888a3df403262b580e">#REF!</definedName>
    <definedName name="xRng_f391dbf5b40245c997971b355c6b9902">#REF!</definedName>
    <definedName name="xRng_f48a1eacb73b4e8eb970d22bb7071817">#REF!</definedName>
    <definedName name="xRng_f837a7103e104f95bba0d25953ac7fd5">#REF!</definedName>
    <definedName name="xRng_f8e5f9d063c14a209aedc7e7d3a2e55a">#REF!</definedName>
    <definedName name="xRng_f9b4e5eab78e4e1ab9db1d9d9ffddd63">#REF!</definedName>
    <definedName name="xs" hidden="1">{#N/A,"PURCHM",FALSE,"Business Analysis";#N/A,"SPADD",FALSE,"Business Analysis"}</definedName>
    <definedName name="xsd" hidden="1">{"detail",#N/A,FALSE,"mfg";"summary",#N/A,FALSE,"mfg"}</definedName>
    <definedName name="xt" hidden="1">{#N/A,"PURADD",FALSE,"Business Analysis";#N/A,"PURSPP",FALSE,"Business Analysis";#N/A,"CTGIND",FALSE,"Business Analysis";#N/A,"PURCHM",FALSE,"Business Analysis";#N/A,"SPADD",FALSE,"Business Analysis";#N/A,"EPOXY",FALSE,"Business Analysis";#N/A,"PURPER",FALSE,"Business Analysis"}</definedName>
    <definedName name="xv" hidden="1">{"Commentary",#N/A,FALSE,"May"}</definedName>
    <definedName name="xvx" hidden="1">{#N/A,#N/A,FALSE,"3";#N/A,#N/A,FALSE,"5";#N/A,#N/A,FALSE,"6";#N/A,#N/A,FALSE,"8";#N/A,#N/A,FALSE,"10";#N/A,#N/A,FALSE,"13";#N/A,#N/A,FALSE,"14";#N/A,#N/A,FALSE,"15";#N/A,#N/A,FALSE,"16"}</definedName>
    <definedName name="xw" hidden="1">{#N/A,#N/A,FALSE,"FCF Corporate Services";#N/A,#N/A,FALSE,"FCF Assum Corporate Services";#N/A,#N/A,FALSE,"DCF Corp. Services Sensitivity";#N/A,#N/A,FALSE,"AVP Corporate Services";"FCF in percent",#N/A,FALSE,"FCF Corporate Services"}</definedName>
    <definedName name="xx" hidden="1">{#N/A,#N/A,FALSE,"REPORT"}</definedName>
    <definedName name="xxcxc" hidden="1">{#N/A,#N/A,FALSE,"Umsatz CH";#N/A,#N/A,FALSE,"ER CH";#N/A,#N/A,FALSE,"EA CH (2) ";#N/A,#N/A,FALSE,"EA CH";#N/A,#N/A,FALSE,"EA CH (3) ";#N/A,#N/A,FALSE,"EA CH (4)";#N/A,#N/A,FALSE,"KA CH";#N/A,#N/A,FALSE,"KA CH  (2)";#N/A,#N/A,FALSE,"KA CH  (3)";#N/A,#N/A,FALSE,"KA CH (4)"}</definedName>
    <definedName name="xxes" hidden="1">{#N/A,#N/A,FALSE,"TB";#N/A,#N/A,FALSE,"DR";#N/A,#N/A,FALSE,"AR";#N/A,#N/A,FALSE,"BS";#N/A,#N/A,FALSE,"PL";#N/A,#N/A,FALSE,"NOTES";#N/A,#N/A,FALSE,"NOTES (2)";#N/A,#N/A,FALSE,"NOTES (3)";#N/A,#N/A,FALSE,"DPL";#N/A,#N/A,FALSE,"DPL"}</definedName>
    <definedName name="xxv" hidden="1">{#N/A,#N/A,FALSE,"3";#N/A,#N/A,FALSE,"5";#N/A,#N/A,FALSE,"6";#N/A,#N/A,FALSE,"8";#N/A,#N/A,FALSE,"10";#N/A,#N/A,FALSE,"13";#N/A,#N/A,FALSE,"14";#N/A,#N/A,FALSE,"15";#N/A,#N/A,FALSE,"16"}</definedName>
    <definedName name="XXX" hidden="1">{#N/A,#N/A,FALSE,"Other";#N/A,#N/A,FALSE,"Ace";#N/A,#N/A,FALSE,"Derm"}</definedName>
    <definedName name="xxx.gb._Hm." hidden="1">{#N/A,#N/A,FALSE,"Umsatz HM";#N/A,#N/A,FALSE,"ER HM";#N/A,#N/A,FALSE,"EA HM  (2)";#N/A,#N/A,FALSE,"EA HM ";#N/A,#N/A,FALSE,"EA HM  (4)";#N/A,#N/A,FALSE,"EA HM  (3)";#N/A,#N/A,FALSE,"KA HM  (2)";#N/A,#N/A,FALSE,"KA HM";#N/A,#N/A,FALSE,"KA HM  (3)";#N/A,#N/A,FALSE,"KA HM (4)"}</definedName>
    <definedName name="xxx2" hidden="1">{"oct_res_comm",#N/A,FALSE,"VarToBud"}</definedName>
    <definedName name="xxxx" hidden="1">{"detail",#N/A,FALSE,"mfg";"summary",#N/A,FALSE,"mfg"}</definedName>
    <definedName name="xxxx777" hidden="1">{0,0,0,0;0,0,0,0;0,0,0,0;TRUE,0,0,0;0,0,0,0;0,0,0,0;0,0,0,0;0,0,147.84,147.84;12,1774.08,0,0;0,0,0,#NULL!;0,0,0,0;0,0,TRUE,0;0,TRUE,TRUE,TRUE;0,0,0,0;0,0,0,0;0,0,0,0;0,0,0,0;0,0,0,0;0,0,0,0;0,0,0,0}</definedName>
    <definedName name="xxxxx" hidden="1">{#N/A,#N/A,FALSE,"Pharm";#N/A,#N/A,FALSE,"WWCM"}</definedName>
    <definedName name="xxxxxx" hidden="1">{"10yp graphs",#N/A,FALSE,"Market Data"}</definedName>
    <definedName name="xxxxxxx" hidden="1">#REF!</definedName>
    <definedName name="XYZ" hidden="1">{"detail",#N/A,FALSE,"mfg";"summary",#N/A,FALSE,"mfg"}</definedName>
    <definedName name="xzcxcxzcxc" hidden="1">{#N/A,#N/A,FALSE,"CONTENTS";#N/A,#N/A,FALSE,"DR";#N/A,#N/A,FALSE,"PL";#N/A,#N/A,FALSE,"BS";#N/A,#N/A,FALSE,"Cash Flow";#N/A,#N/A,FALSE,"NOTES";#N/A,#N/A,FALSE,"NOTES (FA)";#N/A,#N/A,FALSE,"Notes(3)";#N/A,#N/A,FALSE,"NOTES (4)";#N/A,#N/A,FALSE,"DP&amp;L";#N/A,#N/A,FALSE,"EXPENSES";#N/A,#N/A,FALSE,"EXPENSES-1"}</definedName>
    <definedName name="xzxz" hidden="1">{#N/A,"PURCHM",FALSE,"Business Analysis";#N/A,"SPADD",FALSE,"Business Analysis"}</definedName>
    <definedName name="y" hidden="1">{#N/A,#N/A,FALSE,"Pharm";#N/A,#N/A,FALSE,"WWCM"}</definedName>
    <definedName name="y1hs" hidden="1">{#N/A,#N/A,FALSE,"TB";#N/A,#N/A,FALSE,"AR";#N/A,#N/A,FALSE,"BS";#N/A,#N/A,FALSE,"PL";#N/A,#N/A,FALSE,"NOTES";#N/A,#N/A,FALSE,"NOTES (2)";#N/A,#N/A,FALSE,"NOTES (3)";#N/A,#N/A,FALSE,"TAXC.INDEX";#N/A,#N/A,FALSE,"Schedule I";#N/A,#N/A,FALSE,"DPL";#N/A,#N/A,FALSE,"Schedule IV";#N/A,#N/A,FALSE,"Adjustments"}</definedName>
    <definedName name="yay" hidden="1">{#N/A,#N/A,FALSE,"TB";#N/A,#N/A,FALSE,"DR";#N/A,#N/A,FALSE,"AR";#N/A,#N/A,FALSE,"PL";#N/A,#N/A,FALSE,"BS";#N/A,#N/A,FALSE,"NOTES";#N/A,#N/A,FALSE,"NOTES (2)";#N/A,#N/A,FALSE,"NOTES (3)";#N/A,#N/A,FALSE,"DPL";#N/A,#N/A,FALSE,"TAXC.INDEX";#N/A,#N/A,FALSE,"Schedule I";#N/A,#N/A,FALSE,"Adjustments"}</definedName>
    <definedName name="ye" hidden="1">{#N/A,#N/A,TRUE,"COVER";#N/A,#N/A,TRUE,"DIR";#N/A,#N/A,TRUE,"AUDIT"}</definedName>
    <definedName name="YEAR" hidden="1">2016</definedName>
    <definedName name="Year00">#REF!</definedName>
    <definedName name="Year1">#REF!</definedName>
    <definedName name="Year10">#REF!</definedName>
    <definedName name="Year11">#REF!</definedName>
    <definedName name="Year2">#REF!</definedName>
    <definedName name="Year3">#REF!</definedName>
    <definedName name="Year4">#REF!</definedName>
    <definedName name="Year5">#REF!</definedName>
    <definedName name="Year6">#REF!</definedName>
    <definedName name="Year7">#REF!</definedName>
    <definedName name="Year8">#REF!</definedName>
    <definedName name="Year9">#REF!</definedName>
    <definedName name="yearRow" hidden="1">#REF!</definedName>
    <definedName name="Yes" hidden="1">#REF!</definedName>
    <definedName name="YesNo" hidden="1">#REF!</definedName>
    <definedName name="yfj" hidden="1">{#N/A,#N/A,TRUE,"Cover sheet";#N/A,#N/A,TRUE,"INPUTS";#N/A,#N/A,TRUE,"OUTPUTS";#N/A,#N/A,TRUE,"VALUATION"}</definedName>
    <definedName name="yfrul" hidden="1">{#N/A,#N/A,FALSE,"Title Page";#N/A,#N/A,FALSE,"Conclusions";#N/A,#N/A,FALSE,"Assum.";#N/A,#N/A,FALSE,"Sun  DCF-WC-Dep";#N/A,#N/A,FALSE,"MarketValue";#N/A,#N/A,FALSE,"BalSheet";#N/A,#N/A,FALSE,"WACC";#N/A,#N/A,FALSE,"PC+ Info.";#N/A,#N/A,FALSE,"PC+Info_2"}</definedName>
    <definedName name="yg" hidden="1">{"Polymers Details",#N/A,FALSE,"Current Yr";"Polymer Details",#N/A,FALSE,"Budget";"Polymer Details",#N/A,FALSE,"Prior Year"}</definedName>
    <definedName name="yh" hidden="1">{"Polymers Details",#N/A,FALSE,"Current Yr";"Polymer Details",#N/A,FALSE,"Budget";"Polymer Details",#N/A,FALSE,"Prior Year"}</definedName>
    <definedName name="yhg" hidden="1">2</definedName>
    <definedName name="yhjdtyu" hidden="1">{"Sum WW A",#N/A,FALSE,"FY95SLS";"Sum WW B",#N/A,FALSE,"FY95SLS";"Sum US A",#N/A,FALSE,"FY95SLS";"Sum US B",#N/A,FALSE,"FY95SLS";"Sum US Bocg",#N/A,FALSE,"FY95SLS";"Sum Can A",#N/A,FALSE,"FY95SLS";"Sum Can B",#N/A,FALSE,"FY95SLS";"Sum Europe",#N/A,FALSE,"FY95SLS";"Sum Row",#N/A,FALSE,"FY95SLS"}</definedName>
    <definedName name="yhn" hidden="1">{"detail",#N/A,FALSE,"mfg";"summary",#N/A,FALSE,"mfg"}</definedName>
    <definedName name="yii" hidden="1">{#N/A,#N/A,FALSE,"3";#N/A,#N/A,FALSE,"5";#N/A,#N/A,FALSE,"6";#N/A,#N/A,FALSE,"8";#N/A,#N/A,FALSE,"10";#N/A,#N/A,FALSE,"13";#N/A,#N/A,FALSE,"14";#N/A,#N/A,FALSE,"15";#N/A,#N/A,FALSE,"16"}</definedName>
    <definedName name="yityi" hidden="1">{#N/A,#N/A,FALSE,"3";#N/A,#N/A,FALSE,"5";#N/A,#N/A,FALSE,"6";#N/A,#N/A,FALSE,"8";#N/A,#N/A,FALSE,"10";#N/A,#N/A,FALSE,"13";#N/A,#N/A,FALSE,"14";#N/A,#N/A,FALSE,"15";#N/A,#N/A,FALSE,"16"}</definedName>
    <definedName name="yiyti" hidden="1">{#N/A,#N/A,FALSE,"3";#N/A,#N/A,FALSE,"5";#N/A,#N/A,FALSE,"6";#N/A,#N/A,FALSE,"8";#N/A,#N/A,FALSE,"10";#N/A,#N/A,FALSE,"13";#N/A,#N/A,FALSE,"14";#N/A,#N/A,FALSE,"15";#N/A,#N/A,FALSE,"16"}</definedName>
    <definedName name="yjtrutry" hidden="1">{"Units A",#N/A,FALSE,"FY95SLS";"Units B",#N/A,FALSE,"FY95SLS"}</definedName>
    <definedName name="yjtyjy" hidden="1">{"Units A",#N/A,FALSE,"FY95SLS";"Units B",#N/A,FALSE,"FY95SLS"}</definedName>
    <definedName name="yk" hidden="1">{#N/A,#N/A,FALSE,"TAXC.INDEX";#N/A,#N/A,FALSE,"Schedule I";#N/A,#N/A,FALSE,"Schedule  II";#N/A,#N/A,FALSE,"Schedule III";#N/A,#N/A,FALSE,"Schedule IV";#N/A,#N/A,FALSE,"Schedule IV (Cont'd)";#N/A,#N/A,FALSE,"Schedule V";#N/A,#N/A,FALSE,"Schedule VI";#N/A,#N/A,FALSE,"Schedule VII"}</definedName>
    <definedName name="ykhkhj" hidden="1">{#N/A,#N/A,FALSE,"3";#N/A,#N/A,FALSE,"5";#N/A,#N/A,FALSE,"6";#N/A,#N/A,FALSE,"8";#N/A,#N/A,FALSE,"10";#N/A,#N/A,FALSE,"13";#N/A,#N/A,FALSE,"14";#N/A,#N/A,FALSE,"15";#N/A,#N/A,FALSE,"16"}</definedName>
    <definedName name="ym" hidden="1">{#N/A,"PURCHM",FALSE,"Business Analysis";#N/A,"SPADD",FALSE,"Business Analysis"}</definedName>
    <definedName name="yn" hidden="1">{"AS REP",#N/A,FALSE,"EEFSNAP2";"PROP",#N/A,FALSE,"EEFSNAP2";"RISKS",#N/A,FALSE,"EEFSNAP2";"VIEW ALL",#N/A,FALSE,"EEFSNAP2"}</definedName>
    <definedName name="yp" hidden="1">{#N/A,"PURADD",FALSE,"Business Analysis";#N/A,"PURSPP",FALSE,"Business Analysis";#N/A,"CTGIND",FALSE,"Business Analysis";#N/A,"PURCHM",FALSE,"Business Analysis";#N/A,"SPADD",FALSE,"Business Analysis";#N/A,"EPOXY",FALSE,"Business Analysis";#N/A,"PURPER",FALSE,"Business Analysis"}</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t" hidden="1">{"Sum WW A",#N/A,FALSE,"FY95SLS";"Sum WW B",#N/A,FALSE,"FY95SLS";"Sum US A",#N/A,FALSE,"FY95SLS";"Sum US B",#N/A,FALSE,"FY95SLS";"Sum US Bocg",#N/A,FALSE,"FY95SLS";"Sum Can A",#N/A,FALSE,"FY95SLS";"Sum Can B",#N/A,FALSE,"FY95SLS";"Sum Europe",#N/A,FALSE,"FY95SLS";"Sum Row",#N/A,FALSE,"FY95SLS"}</definedName>
    <definedName name="ysrt" hidden="1">{"Units A",#N/A,FALSE,"FY95SLS";"Units B",#N/A,FALSE,"FY95SLS"}</definedName>
    <definedName name="YTD">#REF!</definedName>
    <definedName name="YTD1">#REF!</definedName>
    <definedName name="YTD2">#REF!</definedName>
    <definedName name="YTG1">#REF!</definedName>
    <definedName name="YTG2">#REF!</definedName>
    <definedName name="ytiyi" hidden="1">{#N/A,#N/A,FALSE,"3";#N/A,#N/A,FALSE,"5";#N/A,#N/A,FALSE,"6";#N/A,#N/A,FALSE,"8";#N/A,#N/A,FALSE,"10";#N/A,#N/A,FALSE,"13";#N/A,#N/A,FALSE,"14";#N/A,#N/A,FALSE,"15";#N/A,#N/A,FALSE,"16"}</definedName>
    <definedName name="ytre" hidden="1">{"overview",#N/A,FALSE,"summary";"net assets",#N/A,FALSE,"summary";"asset turnover",#N/A,FALSE,"summary";"orona",#N/A,FALSE,"summary"}</definedName>
    <definedName name="ytrhyutwuw" hidden="1">{"Sum WW A",#N/A,FALSE,"FY95SLS";"Sum WW B",#N/A,FALSE,"FY95SLS";"Sum US A",#N/A,FALSE,"FY95SLS";"Sum US B",#N/A,FALSE,"FY95SLS";"Sum US Bocg",#N/A,FALSE,"FY95SLS";"Sum Can A",#N/A,FALSE,"FY95SLS";"Sum Can B",#N/A,FALSE,"FY95SLS";"Sum Europe",#N/A,FALSE,"FY95SLS";"Sum Row",#N/A,FALSE,"FY95SLS"}</definedName>
    <definedName name="ytrywty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ytu"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ytuetyi" hidden="1">{"Units A",#N/A,FALSE,"FY95SLS";"Units B",#N/A,FALSE,"FY95SLS"}</definedName>
    <definedName name="ytukyui" hidden="1">{"Units A",#N/A,FALSE,"FY95SLS";"Units B",#N/A,FALSE,"FY95SLS"}</definedName>
    <definedName name="yt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yu" hidden="1">{#N/A,"PURADD",FALSE,"Business Analysis";#N/A,"PURSPP",FALSE,"Business Analysis";#N/A,"CTGIND",FALSE,"Business Analysis";#N/A,"PURCHM",FALSE,"Business Analysis";#N/A,"SPADD",FALSE,"Business Analysis";#N/A,"EPOXY",FALSE,"Business Analysis";#N/A,"PURPER",FALSE,"Business Analysis"}</definedName>
    <definedName name="yued" hidden="1">{"Units A",#N/A,FALSE,"FY95SLS";"Units B",#N/A,FALSE,"FY95SLS"}</definedName>
    <definedName name="yufiyd" hidden="1">{"Units A",#N/A,FALSE,"FY95SLS";"Units B",#N/A,FALSE,"FY95SLS"}</definedName>
    <definedName name="yui" hidden="1">{"Commentary",#N/A,FALSE,"May"}</definedName>
    <definedName name="yuio" hidden="1">{"oct_res_comm",#N/A,FALSE,"VarToBud"}</definedName>
    <definedName name="yuiuy" hidden="1">{"Pound Sterling",#N/A,TRUE,"PPD";"Pound Sterling",#N/A,TRUE,"Anaquest";"Pound Sterling",#N/A,TRUE,"Delta";"Pound Sterling",#N/A,TRUE,"INO"}</definedName>
    <definedName name="yukiuyo" hidden="1">{"Units A",#N/A,FALSE,"FY95SLS";"Units B",#N/A,FALSE,"FY95SLS"}</definedName>
    <definedName name="yuktyu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yulr" hidden="1">{#N/A,#N/A,FALSE,"Title Page";#N/A,#N/A,FALSE,"Conclusions";#N/A,#N/A,FALSE,"Assum.";#N/A,#N/A,FALSE,"Sun  DCF-WC-Dep";#N/A,#N/A,FALSE,"MarketValue";#N/A,#N/A,FALSE,"BalSheet";#N/A,#N/A,FALSE,"WACC";#N/A,#N/A,FALSE,"PC+ Info.";#N/A,#N/A,FALSE,"PC+Info_2"}</definedName>
    <definedName name="yuoo" hidden="1">{#N/A,#N/A,FALSE,"3";#N/A,#N/A,FALSE,"5";#N/A,#N/A,FALSE,"6";#N/A,#N/A,FALSE,"8";#N/A,#N/A,FALSE,"10";#N/A,#N/A,FALSE,"13";#N/A,#N/A,FALSE,"14";#N/A,#N/A,FALSE,"15";#N/A,#N/A,FALSE,"16"}</definedName>
    <definedName name="yuop" hidden="1">{"OTHER",#N/A,FALSE,"CM"}</definedName>
    <definedName name="yut" hidden="1">{"Units A",#N/A,FALSE,"FY95SLS";"Units B",#N/A,FALSE,"FY95SLS"}</definedName>
    <definedName name="yuty" hidden="1">{"Pound Sterling",#N/A,TRUE,"PPD";"Pound Sterling",#N/A,TRUE,"Anaquest";"Pound Sterling",#N/A,TRUE,"Delta";"Pound Sterling",#N/A,TRUE,"INO"}</definedName>
    <definedName name="yuuuuuuu" hidden="1">{"ratios",#N/A,FALSE,"Summary Accounts"}</definedName>
    <definedName name="yuyuyuyuyu" hidden="1">{"US Dollars",#N/A,TRUE,"PPD";"US Dollar",#N/A,TRUE,"Anaquest";"US Dollar",#N/A,TRUE,"Delta";"US Dollar",#N/A,TRUE,"INO"}</definedName>
    <definedName name="yv" hidden="1">{"sales growth",#N/A,FALSE,"summary";"oper income",#N/A,FALSE,"summary";"oros rank",#N/A,FALSE,"summary";"net assets",#N/A,FALSE,"summary";"asset turnover",#N/A,FALSE,"summary";"orona",#N/A,FALSE,"summary"}</definedName>
    <definedName name="yx" hidden="1">{"overview",#N/A,FALSE,"summary";"net assets",#N/A,FALSE,"summary";"asset turnover",#N/A,FALSE,"summary";"orona",#N/A,FALSE,"summary"}</definedName>
    <definedName name="yxcxycxy" hidden="1">{#N/A,#N/A,FALSE,"Umsatz 99";#N/A,#N/A,FALSE,"ER 99 "}</definedName>
    <definedName name="yy" hidden="1">{"consolidated",#N/A,FALSE,"Sheet1";"cms",#N/A,FALSE,"Sheet1";"fse",#N/A,FALSE,"Sheet1"}</definedName>
    <definedName name="yy.7" hidden="1">{#N/A,#N/A,FALSE,"PMW Gruppe 00_99";#N/A,#N/A,FALSE,"PMW KG 00_99";#N/A,#N/A,FALSE,"PMW Inc. 00_99";#N/A,#N/A,FALSE,"PMW VTECH 00_99";#N/A,#N/A,FALSE,"PMW Thail. 00_99";#N/A,#N/A,FALSE,"PMW Canada 00_99";#N/A,#N/A,FALSE,"Währungsabw. 00_99"}</definedName>
    <definedName name="yyy" hidden="1">{#N/A,#N/A,FALSE,"Other";#N/A,#N/A,FALSE,"Ace";#N/A,#N/A,FALSE,"Derm"}</definedName>
    <definedName name="yyyyyy" hidden="1">{"p_l",#N/A,FALSE,"Summary Accounts"}</definedName>
    <definedName name="ｚ" hidden="1">{"'下期集計（10.27迄・速報値）'!$Q$16"}</definedName>
    <definedName name="z.l" hidden="1">{#N/A,#N/A,FALSE,"KA CH  (2)"}</definedName>
    <definedName name="Z_11782E94_661D_4A92_BEE0_E08F366CBCE8_.wvu.PrintArea" hidden="1">#REF!</definedName>
    <definedName name="Z_9AB953AE_3105_11D2_8B95_00A0C9B6775A_.wvu.PrintArea" hidden="1">#REF!</definedName>
    <definedName name="Z_BFDC2AE4_9827_11D3_B764_00403392CBD9_.wvu.Cols" hidden="1">#REF!,#REF!,#REF!,#REF!,#REF!</definedName>
    <definedName name="Z_BFDC2AE4_9827_11D3_B764_00403392CBD9_.wvu.FilterData" hidden="1">#REF!</definedName>
    <definedName name="Z_BFDC2AE4_9827_11D3_B764_00403392CBD9_.wvu.Rows" hidden="1">#REF!</definedName>
    <definedName name="Z_D6A399A1_3411_11D2_88B3_A98C263D353B_.wvu.Rows" hidden="1">#REF!,#REF!,#REF!,#REF!,#REF!</definedName>
    <definedName name="Z_D6A399A2_3411_11D2_88B3_A98C263D353B_.wvu.Cols" hidden="1">#REF!</definedName>
    <definedName name="Z_D6A399A2_3411_11D2_88B3_A98C263D353B_.wvu.Rows" hidden="1">#REF!,#REF!,#REF!,#REF!,#REF!</definedName>
    <definedName name="Z_D6A399A3_3411_11D2_88B3_A98C263D353B_.wvu.Cols" hidden="1">#REF!,#REF!</definedName>
    <definedName name="Z_D6A399A3_3411_11D2_88B3_A98C263D353B_.wvu.Rows" hidden="1">#REF!,#REF!,#REF!,#REF!,#REF!</definedName>
    <definedName name="Z_D6A399AF_3411_11D2_88B3_A98C263D353B_.wvu.Cols" hidden="1">#REF!</definedName>
    <definedName name="Z_D6A399AF_3411_11D2_88B3_A98C263D353B_.wvu.Rows" hidden="1">#REF!,#REF!,#REF!,#REF!,#REF!</definedName>
    <definedName name="Z_D6A399B0_3411_11D2_88B3_A98C263D353B_.wvu.Cols" hidden="1">#REF!</definedName>
    <definedName name="za" hidden="1">{"detail",#N/A,FALSE,"mfg";"summary",#N/A,FALSE,"mfg"}</definedName>
    <definedName name="zaazaz" hidden="1">{"vue1",#N/A,FALSE,"synthese";"vue2",#N/A,FALSE,"synthese"}</definedName>
    <definedName name="ZAE" hidden="1">#REF!</definedName>
    <definedName name="zaq" hidden="1">{#N/A,#N/A,FALSE,"Calc";#N/A,#N/A,FALSE,"Sensitivity";#N/A,#N/A,FALSE,"LT Earn.Dil.";#N/A,#N/A,FALSE,"Dil. AVP"}</definedName>
    <definedName name="zay" hidden="1">{#N/A,#N/A,FALSE,"DIR-REP";#N/A,#N/A,FALSE,"AUD-REPORT";#N/A,#N/A,FALSE,"P7L&amp;BS";#N/A,#N/A,FALSE,"NOTES";#N/A,#N/A,FALSE,"FA";#N/A,#N/A,FALSE,"NOTES (2)";#N/A,#N/A,FALSE,"Schedule  IV";#N/A,#N/A,FALSE,"Schedule V"}</definedName>
    <definedName name="zaz" hidden="1">{#N/A,"PURCHM",FALSE,"Business Analysis";#N/A,"SPADD",FALSE,"Business Analysis"}</definedName>
    <definedName name="zbsdr" hidden="1">{"Pound Sterling",#N/A,TRUE,"PPD";"Pound Sterling",#N/A,TRUE,"Anaquest";"Pound Sterling",#N/A,TRUE,"Delta";"Pound Sterling",#N/A,TRUE,"INO"}</definedName>
    <definedName name="zcvbdfg" hidden="1">{"Sum WW A",#N/A,FALSE,"FY95SLS";"Sum WW B",#N/A,FALSE,"FY95SLS";"Sum US A",#N/A,FALSE,"FY95SLS";"Sum US B",#N/A,FALSE,"FY95SLS";"Sum US Bocg",#N/A,FALSE,"FY95SLS";"Sum Can A",#N/A,FALSE,"FY95SLS";"Sum Can B",#N/A,FALSE,"FY95SLS";"Sum Europe",#N/A,FALSE,"FY95SLS";"Sum Row",#N/A,FALSE,"FY95SLS"}</definedName>
    <definedName name="zdfgaer" hidden="1">{"Sum WW A",#N/A,FALSE,"FY95SLS";"Sum WW B",#N/A,FALSE,"FY95SLS";"Sum US A",#N/A,FALSE,"FY95SLS";"Sum US B",#N/A,FALSE,"FY95SLS";"Sum US Bocg",#N/A,FALSE,"FY95SLS";"Sum Can A",#N/A,FALSE,"FY95SLS";"Sum Can B",#N/A,FALSE,"FY95SLS";"Sum Europe",#N/A,FALSE,"FY95SLS";"Sum Row",#N/A,FALSE,"FY95SLS"}</definedName>
    <definedName name="zdfgd" hidden="1">{"Units A",#N/A,FALSE,"FY95SLS";"Units B",#N/A,FALSE,"FY95SLS"}</definedName>
    <definedName name="zdfghdf" hidden="1">{"Sum WW A",#N/A,FALSE,"FY95SLS";"Sum WW B",#N/A,FALSE,"FY95SLS";"Sum US A",#N/A,FALSE,"FY95SLS";"Sum US B",#N/A,FALSE,"FY95SLS";"Sum US Bocg",#N/A,FALSE,"FY95SLS";"Sum Can A",#N/A,FALSE,"FY95SLS";"Sum Can B",#N/A,FALSE,"FY95SLS";"Sum Europe",#N/A,FALSE,"FY95SLS";"Sum Row",#N/A,FALSE,"FY95SLS"}</definedName>
    <definedName name="zedaqzd" hidden="1">{#N/A,#N/A,FALSE,"Operations";#N/A,#N/A,FALSE,"Financials"}</definedName>
    <definedName name="zefz" hidden="1">{"First Page",#N/A,FALSE,"Surfactants LBO";"Second Page",#N/A,FALSE,"Surfactants LBO"}</definedName>
    <definedName name="zer" hidden="1">{#N/A,#N/A,FALSE,"Calc";#N/A,#N/A,FALSE,"Sensitivity";#N/A,#N/A,FALSE,"LT Earn.Dil.";#N/A,#N/A,FALSE,"Dil. AVP"}</definedName>
    <definedName name="zergz" hidden="1">{#N/A,#N/A,FALSE,"Ev.ventes DP";#N/A,#N/A,FALSE,"Hypo.econ.";#N/A,#N/A,FALSE,"Pot.2015";#N/A,#N/A,FALSE,"Comp.pot";#N/A,#N/A,FALSE,"HorsG";#N/A,#N/A,FALSE,"DP"}</definedName>
    <definedName name="ZETEHFN" hidden="1">#REF!</definedName>
    <definedName name="zezrzrzerz" hidden="1">{"equity comps",#N/A,FALSE,"CS Comps";"equity comps",#N/A,FALSE,"PS Comps";"equity comps",#N/A,FALSE,"GIC_Comps";"equity comps",#N/A,FALSE,"GIC2_Comps"}</definedName>
    <definedName name="zfbdfh" hidden="1">{"Units A",#N/A,FALSE,"FY95SLS";"Units B",#N/A,FALSE,"FY95SLS"}</definedName>
    <definedName name="zfgzsdfgzsdf" hidden="1">{"Sum WW A",#N/A,FALSE,"FY95SLS";"Sum WW B",#N/A,FALSE,"FY95SLS";"Sum US A",#N/A,FALSE,"FY95SLS";"Sum US B",#N/A,FALSE,"FY95SLS";"Sum US Bocg",#N/A,FALSE,"FY95SLS";"Sum Can A",#N/A,FALSE,"FY95SLS";"Sum Can B",#N/A,FALSE,"FY95SLS";"Sum Europe",#N/A,FALSE,"FY95SLS";"Sum Row",#N/A,FALSE,"FY95SLS"}</definedName>
    <definedName name="zf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zfhae" hidden="1">{"Pound Sterling",#N/A,TRUE,"PPD";"Pound Sterling",#N/A,TRUE,"Anaquest";"Pound Sterling",#N/A,TRUE,"Delta";"Pound Sterling",#N/A,TRUE,"INO"}</definedName>
    <definedName name="zhu" hidden="1">{#N/A,#N/A,FALSE,"REPORT"}</definedName>
    <definedName name="zhutr" hidden="1">{#N/A,#N/A,FALSE,"REPORT"}</definedName>
    <definedName name="zioio" hidden="1">{#N/A,#N/A,FALSE,"Umsatz CH";#N/A,#N/A,FALSE,"ER CH";#N/A,#N/A,FALSE,"EA CH (2) ";#N/A,#N/A,FALSE,"EA CH";#N/A,#N/A,FALSE,"EA CH (3) ";#N/A,#N/A,FALSE,"EA CH (4)";#N/A,#N/A,FALSE,"KA CH";#N/A,#N/A,FALSE,"KA CH  (2)";#N/A,#N/A,FALSE,"KA CH  (3)";#N/A,#N/A,FALSE,"KA CH (4)"}</definedName>
    <definedName name="ziot" hidden="1">{#N/A,#N/A,FALSE,"CONTENTS";#N/A,#N/A,FALSE,"DR";#N/A,#N/A,FALSE,"PL";#N/A,#N/A,FALSE,"BS";#N/A,#N/A,FALSE,"Cash Flow";#N/A,#N/A,FALSE,"NOTES";#N/A,#N/A,FALSE,"NOTES (FA)";#N/A,#N/A,FALSE,"Notes(3)";#N/A,#N/A,FALSE,"NOTES (4)";#N/A,#N/A,FALSE,"DP&amp;L";#N/A,#N/A,FALSE,"EXPENSES";#N/A,#N/A,FALSE,"EXPENSES-1"}</definedName>
    <definedName name="zjoa" hidden="1">{#N/A,#N/A,FALSE,"TB";#N/A,#N/A,FALSE,"DR";#N/A,#N/A,FALSE,"AR";#N/A,#N/A,FALSE,"PL";#N/A,#N/A,FALSE,"BS";#N/A,#N/A,FALSE,"NOTES";#N/A,#N/A,FALSE,"NOTES (2)";#N/A,#N/A,FALSE,"NOTES (3)";#N/A,#N/A,FALSE,"DPL";#N/A,#N/A,FALSE,"TAXC.INDEX";#N/A,#N/A,FALSE,"Schedule I";#N/A,#N/A,FALSE,"Adjustments"}</definedName>
    <definedName name="zjpt" hidden="1">{#N/A,#N/A,FALSE,"TB";#N/A,#N/A,FALSE,"DR";#N/A,#N/A,FALSE,"AR";#N/A,#N/A,FALSE,"PL";#N/A,#N/A,FALSE,"BS";#N/A,#N/A,FALSE,"NOTES";#N/A,#N/A,FALSE,"NOTES (2)";#N/A,#N/A,FALSE,"NOTES (3)";#N/A,#N/A,FALSE,"DPL";#N/A,#N/A,FALSE,"TAXC.INDEX";#N/A,#N/A,FALSE,"Schedule I";#N/A,#N/A,FALSE,"Adjustments"}</definedName>
    <definedName name="zl" hidden="1">{#N/A,"PURCHM",FALSE,"Business Analysis";#N/A,"SPADD",FALSE,"Business Analysis"}</definedName>
    <definedName name="zotnals.r" hidden="1">{#N/A,#N/A,FALSE,"TB";#N/A,#N/A,FALSE,"AR";#N/A,#N/A,FALSE,"BS";#N/A,#N/A,FALSE,"PL";#N/A,#N/A,FALSE,"NOTES";#N/A,#N/A,FALSE,"NOTES (2)";#N/A,#N/A,FALSE,"NOTES (3)";#N/A,#N/A,FALSE,"TAXC.INDEX";#N/A,#N/A,FALSE,"Schedule I";#N/A,#N/A,FALSE,"DPL";#N/A,#N/A,FALSE,"Schedule IV";#N/A,#N/A,FALSE,"Adjustments"}</definedName>
    <definedName name="zozo" hidden="1">{"COMP FEES ELIMINS",#N/A,FALSE,"COMPIS FEES"}</definedName>
    <definedName name="zptls" hidden="1">{#N/A,#N/A,FALSE,"DIR-REP";#N/A,#N/A,FALSE,"AUD-REPORT";#N/A,#N/A,FALSE,"P7L&amp;BS";#N/A,#N/A,FALSE,"NOTES";#N/A,#N/A,FALSE,"FA";#N/A,#N/A,FALSE,"NOTES (2)";#N/A,#N/A,FALSE,"Schedule  IV";#N/A,#N/A,FALSE,"Schedule V"}</definedName>
    <definedName name="zsdfs" hidden="1">{"US Dollars",#N/A,TRUE,"PPD";"US Dollar",#N/A,TRUE,"Anaquest";"US Dollar",#N/A,TRUE,"Delta";"US Dollar",#N/A,TRUE,"INO"}</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vfg" hidden="1">{"US Dollars",#N/A,TRUE,"PPD";"US Dollar",#N/A,TRUE,"Anaquest";"US Dollar",#N/A,TRUE,"Delta";"US Dollar",#N/A,TRUE,"INO"}</definedName>
    <definedName name="zxdfg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zxzx" hidden="1">{"oct_res_comm",#N/A,FALSE,"VarToBud"}</definedName>
    <definedName name="zz" hidden="1">{#N/A,#N/A,FALSE,"KA CH  (2)"}</definedName>
    <definedName name="zza4pg" hidden="1">{#N/A,#N/A,FALSE,"REPORT"}</definedName>
    <definedName name="zzaxz" hidden="1">{"detail",#N/A,FALSE,"mfg";"summary",#N/A,FALSE,"mfg"}</definedName>
    <definedName name="zzee" hidden="1">{#N/A,#N/A,FALSE,"Pharm";#N/A,#N/A,FALSE,"WWCM"}</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z" hidden="1">{#N/A,#N/A,FALSE,"Umsatz CH";#N/A,#N/A,FALSE,"ER CH";#N/A,#N/A,FALSE,"EA CH (2) ";#N/A,#N/A,FALSE,"EA CH";#N/A,#N/A,FALSE,"EA CH (3) ";#N/A,#N/A,FALSE,"EA CH (4)";#N/A,#N/A,FALSE,"KA CH";#N/A,#N/A,FALSE,"KA CH  (2)";#N/A,#N/A,FALSE,"KA CH  (3)";#N/A,#N/A,FALSE,"KA CH (4)"}</definedName>
    <definedName name="zzz.com" hidden="1">{#N/A,#N/A,FALSE,"Title Page";#N/A,#N/A,FALSE,"Conclusions";#N/A,#N/A,FALSE,"Assum.";#N/A,#N/A,FALSE,"Sun  DCF-WC-Dep";#N/A,#N/A,FALSE,"MarketValue";#N/A,#N/A,FALSE,"BalSheet";#N/A,#N/A,FALSE,"WACC";#N/A,#N/A,FALSE,"PC+ Info.";#N/A,#N/A,FALSE,"PC+Info_2"}</definedName>
    <definedName name="zzzz" hidden="1">#N/A</definedName>
    <definedName name="zzzzz" hidden="1">{#N/A,#N/A,FALSE,"REPORT"}</definedName>
    <definedName name="ZZZZZZ" hidden="1">{#N/A,#N/A,FALSE,"3";#N/A,#N/A,FALSE,"5";#N/A,#N/A,FALSE,"6";#N/A,#N/A,FALSE,"8";#N/A,#N/A,FALSE,"10";#N/A,#N/A,FALSE,"13";#N/A,#N/A,FALSE,"14";#N/A,#N/A,FALSE,"15";#N/A,#N/A,FALSE,"16"}</definedName>
    <definedName name="ZZZZZZZZ" hidden="1">{#N/A,#N/A,FALSE,"3";#N/A,#N/A,FALSE,"5";#N/A,#N/A,FALSE,"6";#N/A,#N/A,FALSE,"8";#N/A,#N/A,FALSE,"10";#N/A,#N/A,FALSE,"13";#N/A,#N/A,FALSE,"14";#N/A,#N/A,FALSE,"15";#N/A,#N/A,FALSE,"16"}</definedName>
    <definedName name="ZZZZZZZZZZZ" hidden="1">{#N/A,#N/A,FALSE,"3";#N/A,#N/A,FALSE,"5";#N/A,#N/A,FALSE,"6";#N/A,#N/A,FALSE,"8";#N/A,#N/A,FALSE,"10";#N/A,#N/A,FALSE,"13";#N/A,#N/A,FALSE,"14";#N/A,#N/A,FALSE,"15";#N/A,#N/A,FALSE,"16"}</definedName>
    <definedName name="zzzzzzzzzzzzzz" hidden="1">{"Units A",#N/A,FALSE,"FY95SLS";"Units B",#N/A,FALSE,"FY95SLS"}</definedName>
    <definedName name="zzzzzzzzzzzzzzzz" hidden="1">{"Units A",#N/A,FALSE,"FY95SLS";"Units B",#N/A,FALSE,"FY95SLS"}</definedName>
    <definedName name="ZZZZZZZZZZZZZZZZZZZZZ" hidden="1">{"Units A",#N/A,FALSE,"FY95SLS";"Units B",#N/A,FALSE,"FY95SLS"}</definedName>
    <definedName name="zzzzzzzzzzzzzzzzzzzzzzzzzzzz" hidden="1">{"Units A",#N/A,FALSE,"FY95SLS";"Units B",#N/A,FALSE,"FY95SLS"}</definedName>
    <definedName name="zzzzzzzzzzzzzzzzzzzzzzzzzzzzz" hidden="1">{"Units A",#N/A,FALSE,"FY95SLS";"Units B",#N/A,FALSE,"FY95SLS"}</definedName>
    <definedName name="あ" hidden="1">{"'下期集計（10.27迄・速報値）'!$Q$16"}</definedName>
    <definedName name="あああ" hidden="1">{"'下期集計（10.27迄・速報値）'!$Q$16"}</definedName>
    <definedName name="なんで" hidden="1">{"'下期集計（10.27迄・速報値）'!$Q$16"}</definedName>
    <definedName name="なんなの" hidden="1">{"'下期集計（10.27迄・速報値）'!$Q$16"}</definedName>
    <definedName name="고" hidden="1">{#N/A,#N/A,FALSE,"REPORT"}</definedName>
    <definedName name="ㄶㅇ노ㅗㄶ호" hidden="1">{#N/A,#N/A,FALSE,"REPORT"}</definedName>
    <definedName name="미애" hidden="1">{#N/A,#N/A,FALSE,"REPORT"}</definedName>
    <definedName name="ㅂㅁ" hidden="1">{#N/A,"PURCHM",FALSE,"Business Analysis";#N/A,"SPADD",FALSE,"Business Analysis"}</definedName>
    <definedName name="이" hidden="1">{"vol data",#N/A,FALSE,"Datasheet";"vol graph",#N/A,FALSE,"Volume";"price data",#N/A,FALSE,"Datasheet";"price graph",#N/A,FALSE,"Price";"dp data",#N/A,FALSE,"Datasheet";"dp graph",#N/A,FALSE,"DirectProfit"}</definedName>
    <definedName name="年間収支買掛" hidden="1">{"'下期集計（10.27迄・速報値）'!$Q$16"}</definedName>
    <definedName name="年間資金収支あ" hidden="1">{"'下期集計（10.27迄・速報値）'!$Q$16"}</definedName>
    <definedName name="日繰06" hidden="1">{"'下期集計（10.27迄・速報値）'!$Q$16"}</definedName>
    <definedName name="枯" hidden="1">#REF!</definedName>
    <definedName name="要処理資産②" hidden="1">{"'下期集計（10.27迄・速報値）'!$Q$16"}</definedName>
    <definedName name="資金" hidden="1">{"'下期集計（10.27迄・速報値）'!$Q$16"}</definedName>
    <definedName name="金利体系" hidden="1">{"'下期集計（10.27迄・速報値）'!$Q$16"}</definedName>
    <definedName name="関連" hidden="1">{"'下期集計（10.27迄・速報値）'!$Q$16"}</definedName>
    <definedName name="问问" hidden="1">{#N/A,#N/A,FALSE,"SF"}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1" i="7" l="1"/>
  <c r="F15" i="7"/>
  <c r="F7" i="7"/>
  <c r="G7" i="7" s="1"/>
  <c r="H7" i="7" s="1"/>
  <c r="B3" i="7"/>
  <c r="E82" i="6"/>
  <c r="B3" i="6"/>
  <c r="M509" i="5"/>
  <c r="M508" i="5"/>
  <c r="M507" i="5"/>
  <c r="M506" i="5"/>
  <c r="M505" i="5"/>
  <c r="M504" i="5"/>
  <c r="M503" i="5"/>
  <c r="M502" i="5"/>
  <c r="M501" i="5"/>
  <c r="M500" i="5"/>
  <c r="M499" i="5"/>
  <c r="M498" i="5"/>
  <c r="M497" i="5"/>
  <c r="M496" i="5"/>
  <c r="M488" i="5"/>
  <c r="M487" i="5"/>
  <c r="M483" i="5"/>
  <c r="M482" i="5"/>
  <c r="M481" i="5"/>
  <c r="M480" i="5"/>
  <c r="M479" i="5"/>
  <c r="M473" i="5"/>
  <c r="M472" i="5"/>
  <c r="M471" i="5"/>
  <c r="M470" i="5"/>
  <c r="M469" i="5"/>
  <c r="M468" i="5"/>
  <c r="M467" i="5"/>
  <c r="M461" i="5"/>
  <c r="M460" i="5"/>
  <c r="M453" i="5"/>
  <c r="M452" i="5"/>
  <c r="M451" i="5"/>
  <c r="M450" i="5"/>
  <c r="M449" i="5"/>
  <c r="M448" i="5"/>
  <c r="M447" i="5"/>
  <c r="M446" i="5"/>
  <c r="M445" i="5"/>
  <c r="M441" i="5"/>
  <c r="M440" i="5"/>
  <c r="M439" i="5"/>
  <c r="M436" i="5"/>
  <c r="M435" i="5"/>
  <c r="M434" i="5"/>
  <c r="M433" i="5"/>
  <c r="M432" i="5"/>
  <c r="M431" i="5"/>
  <c r="M430" i="5"/>
  <c r="M429" i="5"/>
  <c r="M428" i="5"/>
  <c r="M427" i="5"/>
  <c r="M425" i="5"/>
  <c r="M424" i="5"/>
  <c r="M423" i="5"/>
  <c r="M422" i="5"/>
  <c r="M417" i="5"/>
  <c r="M416" i="5"/>
  <c r="M413" i="5"/>
  <c r="M412" i="5"/>
  <c r="M408" i="5"/>
  <c r="M407" i="5"/>
  <c r="M406" i="5"/>
  <c r="M405" i="5"/>
  <c r="M404" i="5"/>
  <c r="M403" i="5"/>
  <c r="M398" i="5"/>
  <c r="M397" i="5"/>
  <c r="M395" i="5"/>
  <c r="M394" i="5"/>
  <c r="M393" i="5"/>
  <c r="M389" i="5"/>
  <c r="M388" i="5"/>
  <c r="M387" i="5"/>
  <c r="M386" i="5"/>
  <c r="M385" i="5"/>
  <c r="M384" i="5"/>
  <c r="M379" i="5"/>
  <c r="M376" i="5"/>
  <c r="M373" i="5"/>
  <c r="M367" i="5"/>
  <c r="M366" i="5"/>
  <c r="M365" i="5"/>
  <c r="M364" i="5"/>
  <c r="M363" i="5"/>
  <c r="M362" i="5"/>
  <c r="M361" i="5"/>
  <c r="M360" i="5"/>
  <c r="M355" i="5"/>
  <c r="M354" i="5"/>
  <c r="M353" i="5"/>
  <c r="M352" i="5"/>
  <c r="M351" i="5"/>
  <c r="M350" i="5"/>
  <c r="M345" i="5"/>
  <c r="M344" i="5"/>
  <c r="M343" i="5"/>
  <c r="M342" i="5"/>
  <c r="M341" i="5"/>
  <c r="M340" i="5"/>
  <c r="M339" i="5"/>
  <c r="M338" i="5"/>
  <c r="M337" i="5"/>
  <c r="M336" i="5"/>
  <c r="M335" i="5"/>
  <c r="M334" i="5"/>
  <c r="M550" i="5" s="1"/>
  <c r="M333" i="5"/>
  <c r="M259" i="5"/>
  <c r="M258" i="5"/>
  <c r="M257" i="5"/>
  <c r="M256" i="5"/>
  <c r="M255" i="5"/>
  <c r="M254" i="5"/>
  <c r="M253" i="5"/>
  <c r="M252" i="5"/>
  <c r="M251" i="5"/>
  <c r="M250" i="5"/>
  <c r="M249" i="5"/>
  <c r="M248" i="5"/>
  <c r="M247" i="5"/>
  <c r="M246" i="5"/>
  <c r="M245" i="5"/>
  <c r="M244" i="5"/>
  <c r="M243" i="5"/>
  <c r="M242" i="5"/>
  <c r="M241" i="5"/>
  <c r="M240" i="5"/>
  <c r="M239" i="5"/>
  <c r="M238" i="5"/>
  <c r="M237" i="5"/>
  <c r="M236" i="5"/>
  <c r="M228" i="5"/>
  <c r="M227" i="5"/>
  <c r="M226" i="5"/>
  <c r="M222" i="5"/>
  <c r="M221" i="5"/>
  <c r="M220" i="5"/>
  <c r="M219" i="5"/>
  <c r="M215" i="5"/>
  <c r="M214" i="5"/>
  <c r="M213" i="5"/>
  <c r="M212" i="5"/>
  <c r="M208" i="5"/>
  <c r="M207" i="5"/>
  <c r="M206" i="5"/>
  <c r="M205" i="5"/>
  <c r="M204" i="5"/>
  <c r="M200" i="5"/>
  <c r="M199" i="5"/>
  <c r="M198" i="5"/>
  <c r="M197" i="5"/>
  <c r="M196" i="5"/>
  <c r="M195" i="5"/>
  <c r="M191" i="5"/>
  <c r="M190" i="5"/>
  <c r="M189" i="5"/>
  <c r="M188" i="5"/>
  <c r="M187" i="5"/>
  <c r="M186" i="5"/>
  <c r="M185" i="5"/>
  <c r="M184" i="5"/>
  <c r="M183" i="5"/>
  <c r="M182" i="5"/>
  <c r="M173" i="5"/>
  <c r="M172" i="5"/>
  <c r="M171" i="5"/>
  <c r="M170" i="5"/>
  <c r="M169" i="5"/>
  <c r="M168" i="5"/>
  <c r="M167" i="5"/>
  <c r="M164" i="5"/>
  <c r="M163" i="5"/>
  <c r="M162" i="5"/>
  <c r="M161" i="5"/>
  <c r="M160" i="5"/>
  <c r="M157" i="5"/>
  <c r="M154" i="5"/>
  <c r="M153" i="5"/>
  <c r="M152" i="5"/>
  <c r="M151" i="5"/>
  <c r="M143" i="5"/>
  <c r="M142" i="5"/>
  <c r="M141" i="5"/>
  <c r="M140" i="5"/>
  <c r="M139" i="5"/>
  <c r="M138" i="5"/>
  <c r="M137" i="5"/>
  <c r="M136" i="5"/>
  <c r="M133" i="5"/>
  <c r="M132" i="5"/>
  <c r="M131" i="5"/>
  <c r="M130" i="5"/>
  <c r="M129" i="5"/>
  <c r="M128" i="5"/>
  <c r="M127" i="5"/>
  <c r="M126" i="5"/>
  <c r="M121" i="5"/>
  <c r="M117" i="5"/>
  <c r="M116" i="5"/>
  <c r="M115" i="5"/>
  <c r="M114" i="5"/>
  <c r="M113" i="5"/>
  <c r="M109" i="5"/>
  <c r="M108" i="5"/>
  <c r="M107" i="5"/>
  <c r="M106" i="5"/>
  <c r="M105" i="5"/>
  <c r="M104" i="5"/>
  <c r="M103" i="5"/>
  <c r="M102" i="5"/>
  <c r="M101" i="5"/>
  <c r="M100" i="5"/>
  <c r="M99" i="5"/>
  <c r="M98" i="5"/>
  <c r="M97" i="5"/>
  <c r="M96" i="5"/>
  <c r="M95" i="5"/>
  <c r="M94" i="5"/>
  <c r="M93" i="5"/>
  <c r="M92" i="5"/>
  <c r="M91" i="5"/>
  <c r="M90" i="5"/>
  <c r="M89" i="5"/>
  <c r="M88" i="5"/>
  <c r="M87" i="5"/>
  <c r="M86" i="5"/>
  <c r="M85" i="5"/>
  <c r="M79" i="5"/>
  <c r="M77" i="5"/>
  <c r="M74" i="5"/>
  <c r="M72" i="5"/>
  <c r="M71" i="5"/>
  <c r="M67" i="5"/>
  <c r="M66" i="5"/>
  <c r="M63" i="5"/>
  <c r="M62" i="5"/>
  <c r="M61" i="5"/>
  <c r="M60" i="5"/>
  <c r="M59" i="5"/>
  <c r="M58" i="5"/>
  <c r="M57" i="5"/>
  <c r="M56" i="5"/>
  <c r="M55" i="5"/>
  <c r="M54" i="5"/>
  <c r="M53" i="5"/>
  <c r="M52" i="5"/>
  <c r="M51" i="5"/>
  <c r="M50" i="5"/>
  <c r="M49" i="5"/>
  <c r="M48" i="5"/>
  <c r="M44" i="5"/>
  <c r="M43" i="5"/>
  <c r="M42" i="5"/>
  <c r="M39" i="5"/>
  <c r="M38" i="5"/>
  <c r="M37" i="5"/>
  <c r="M36" i="5"/>
  <c r="M33" i="5"/>
  <c r="M32" i="5"/>
  <c r="M28" i="5"/>
  <c r="M27" i="5"/>
  <c r="M26" i="5"/>
  <c r="M25" i="5"/>
  <c r="M24" i="5"/>
  <c r="M23" i="5"/>
  <c r="M22" i="5"/>
  <c r="M21" i="5"/>
  <c r="M16" i="5"/>
  <c r="M15" i="5"/>
  <c r="M12" i="5"/>
  <c r="F7" i="5"/>
  <c r="G7" i="5" s="1"/>
  <c r="H7" i="5" s="1"/>
  <c r="B3" i="5"/>
  <c r="J548" i="4"/>
  <c r="H548" i="4"/>
  <c r="G548" i="4"/>
  <c r="F548" i="4"/>
  <c r="F545" i="4"/>
  <c r="H542" i="4"/>
  <c r="G542" i="4"/>
  <c r="F542" i="4"/>
  <c r="J542" i="4" s="1"/>
  <c r="H541" i="4"/>
  <c r="G541" i="4"/>
  <c r="H536" i="4"/>
  <c r="G536" i="4"/>
  <c r="F536" i="4"/>
  <c r="J536" i="4" s="1"/>
  <c r="G532" i="4"/>
  <c r="F532" i="4"/>
  <c r="J531" i="4"/>
  <c r="H526" i="4"/>
  <c r="H523" i="4"/>
  <c r="G523" i="4"/>
  <c r="F523" i="4"/>
  <c r="J523" i="4" s="1"/>
  <c r="H522" i="4"/>
  <c r="F520" i="4"/>
  <c r="H519" i="4"/>
  <c r="G519" i="4"/>
  <c r="F519" i="4"/>
  <c r="J519" i="4" s="1"/>
  <c r="H518" i="4"/>
  <c r="J518" i="4" s="1"/>
  <c r="H514" i="4"/>
  <c r="F514" i="4"/>
  <c r="J514" i="4" s="1"/>
  <c r="H513" i="4"/>
  <c r="H512" i="4"/>
  <c r="G512" i="4"/>
  <c r="E493" i="4"/>
  <c r="F475" i="4"/>
  <c r="F535" i="4" s="1"/>
  <c r="H474" i="4"/>
  <c r="H475" i="4" s="1"/>
  <c r="H535" i="4" s="1"/>
  <c r="G474" i="4"/>
  <c r="F474" i="4"/>
  <c r="F522" i="4" s="1"/>
  <c r="H462" i="4"/>
  <c r="G462" i="4"/>
  <c r="F462" i="4"/>
  <c r="H459" i="4"/>
  <c r="G459" i="4"/>
  <c r="F459" i="4"/>
  <c r="F455" i="4"/>
  <c r="H454" i="4"/>
  <c r="G454" i="4"/>
  <c r="F454" i="4"/>
  <c r="F521" i="4" s="1"/>
  <c r="G437" i="4"/>
  <c r="F437" i="4"/>
  <c r="F438" i="4" s="1"/>
  <c r="H414" i="4"/>
  <c r="H415" i="4" s="1"/>
  <c r="G414" i="4"/>
  <c r="G415" i="4" s="1"/>
  <c r="F414" i="4"/>
  <c r="F415" i="4" s="1"/>
  <c r="G410" i="4"/>
  <c r="G531" i="4" s="1"/>
  <c r="H409" i="4"/>
  <c r="H410" i="4" s="1"/>
  <c r="H531" i="4" s="1"/>
  <c r="G409" i="4"/>
  <c r="G518" i="4" s="1"/>
  <c r="H396" i="4"/>
  <c r="H590" i="3" s="1"/>
  <c r="G396" i="4"/>
  <c r="F396" i="4"/>
  <c r="H369" i="4"/>
  <c r="G369" i="4"/>
  <c r="G526" i="4" s="1"/>
  <c r="H368" i="4"/>
  <c r="G368" i="4"/>
  <c r="G514" i="4" s="1"/>
  <c r="F368" i="4"/>
  <c r="F369" i="4" s="1"/>
  <c r="H357" i="4"/>
  <c r="F357" i="4"/>
  <c r="H356" i="4"/>
  <c r="G356" i="4"/>
  <c r="G513" i="4" s="1"/>
  <c r="F356" i="4"/>
  <c r="H347" i="4"/>
  <c r="G347" i="4"/>
  <c r="H346" i="4"/>
  <c r="G346" i="4"/>
  <c r="F346" i="4"/>
  <c r="F512" i="4" s="1"/>
  <c r="J512" i="4" s="1"/>
  <c r="H309" i="4"/>
  <c r="G309" i="4"/>
  <c r="F309" i="4"/>
  <c r="J309" i="4" s="1"/>
  <c r="F308" i="4"/>
  <c r="E308" i="4"/>
  <c r="H307" i="4"/>
  <c r="H306" i="4"/>
  <c r="G306" i="4"/>
  <c r="F305" i="4"/>
  <c r="E304" i="4"/>
  <c r="H303" i="4"/>
  <c r="G303" i="4"/>
  <c r="G301" i="4"/>
  <c r="F301" i="4"/>
  <c r="G300" i="4"/>
  <c r="H296" i="4"/>
  <c r="G293" i="4"/>
  <c r="F293" i="4"/>
  <c r="H288" i="4"/>
  <c r="H287" i="4"/>
  <c r="G287" i="4"/>
  <c r="F281" i="4"/>
  <c r="E281" i="4"/>
  <c r="E280" i="4"/>
  <c r="H279" i="4"/>
  <c r="G279" i="4"/>
  <c r="G277" i="4"/>
  <c r="F277" i="4"/>
  <c r="E277" i="4"/>
  <c r="H276" i="4"/>
  <c r="G276" i="4"/>
  <c r="F276" i="4"/>
  <c r="F274" i="4"/>
  <c r="E274" i="4"/>
  <c r="H272" i="4"/>
  <c r="G272" i="4"/>
  <c r="H271" i="4"/>
  <c r="G270" i="4"/>
  <c r="F270" i="4"/>
  <c r="J270" i="4" s="1"/>
  <c r="G267" i="4"/>
  <c r="F267" i="4"/>
  <c r="F266" i="4"/>
  <c r="H265" i="4"/>
  <c r="H263" i="4"/>
  <c r="J263" i="4" s="1"/>
  <c r="G263" i="4"/>
  <c r="F263" i="4"/>
  <c r="H229" i="4"/>
  <c r="G229" i="4"/>
  <c r="F229" i="4"/>
  <c r="H211" i="4"/>
  <c r="G211" i="4"/>
  <c r="F211" i="4"/>
  <c r="E211" i="4"/>
  <c r="M211" i="5" s="1"/>
  <c r="H209" i="4"/>
  <c r="G209" i="4"/>
  <c r="F209" i="4"/>
  <c r="E209" i="4"/>
  <c r="F203" i="4"/>
  <c r="E203" i="4"/>
  <c r="E305" i="4" s="1"/>
  <c r="H201" i="4"/>
  <c r="H280" i="4" s="1"/>
  <c r="G201" i="4"/>
  <c r="G280" i="4" s="1"/>
  <c r="F201" i="4"/>
  <c r="E201" i="4"/>
  <c r="E194" i="4" s="1"/>
  <c r="H194" i="4"/>
  <c r="H304" i="4" s="1"/>
  <c r="G194" i="4"/>
  <c r="H192" i="4"/>
  <c r="G192" i="4"/>
  <c r="F192" i="4"/>
  <c r="E192" i="4"/>
  <c r="H181" i="4"/>
  <c r="G181" i="4"/>
  <c r="H175" i="4"/>
  <c r="H301" i="4" s="1"/>
  <c r="G175" i="4"/>
  <c r="F175" i="4"/>
  <c r="E175" i="4"/>
  <c r="E301" i="4" s="1"/>
  <c r="H174" i="4"/>
  <c r="H277" i="4" s="1"/>
  <c r="G174" i="4"/>
  <c r="F174" i="4"/>
  <c r="E174" i="4"/>
  <c r="F166" i="4"/>
  <c r="F300" i="4" s="1"/>
  <c r="H165" i="4"/>
  <c r="H166" i="4" s="1"/>
  <c r="H300" i="4" s="1"/>
  <c r="G165" i="4"/>
  <c r="G166" i="4" s="1"/>
  <c r="F165" i="4"/>
  <c r="E165" i="4"/>
  <c r="F156" i="4"/>
  <c r="E156" i="4"/>
  <c r="H155" i="4"/>
  <c r="G155" i="4"/>
  <c r="G274" i="4" s="1"/>
  <c r="F155" i="4"/>
  <c r="E155" i="4"/>
  <c r="H145" i="4"/>
  <c r="G145" i="4"/>
  <c r="G296" i="4" s="1"/>
  <c r="H144" i="4"/>
  <c r="G144" i="4"/>
  <c r="F144" i="4"/>
  <c r="E144" i="4"/>
  <c r="H135" i="4"/>
  <c r="F135" i="4"/>
  <c r="F295" i="4" s="1"/>
  <c r="E135" i="4"/>
  <c r="E295" i="4" s="1"/>
  <c r="H134" i="4"/>
  <c r="G134" i="4"/>
  <c r="F134" i="4"/>
  <c r="F271" i="4" s="1"/>
  <c r="E134" i="4"/>
  <c r="E271" i="4" s="1"/>
  <c r="H119" i="4"/>
  <c r="G119" i="4"/>
  <c r="G310" i="4" s="1"/>
  <c r="F119" i="4"/>
  <c r="F310" i="4" s="1"/>
  <c r="H118" i="4"/>
  <c r="H270" i="4" s="1"/>
  <c r="G118" i="4"/>
  <c r="F118" i="4"/>
  <c r="H64" i="4"/>
  <c r="H47" i="4" s="1"/>
  <c r="G64" i="4"/>
  <c r="F64" i="4"/>
  <c r="H46" i="4"/>
  <c r="H45" i="4"/>
  <c r="H267" i="4" s="1"/>
  <c r="G45" i="4"/>
  <c r="F45" i="4"/>
  <c r="H41" i="4"/>
  <c r="G41" i="4"/>
  <c r="F41" i="4"/>
  <c r="H40" i="4"/>
  <c r="G40" i="4"/>
  <c r="F40" i="4"/>
  <c r="F35" i="4" s="1"/>
  <c r="H34" i="4"/>
  <c r="G34" i="4"/>
  <c r="G265" i="4" s="1"/>
  <c r="F34" i="4"/>
  <c r="H31" i="4"/>
  <c r="H285" i="4" s="1"/>
  <c r="G31" i="4"/>
  <c r="G285" i="4" s="1"/>
  <c r="H29" i="4"/>
  <c r="H264" i="4" s="1"/>
  <c r="G29" i="4"/>
  <c r="F29" i="4"/>
  <c r="H20" i="4"/>
  <c r="H284" i="4" s="1"/>
  <c r="H17" i="4"/>
  <c r="G17" i="4"/>
  <c r="F17" i="4"/>
  <c r="H14" i="4"/>
  <c r="H18" i="4" s="1"/>
  <c r="G14" i="4"/>
  <c r="G18" i="4" s="1"/>
  <c r="F14" i="4"/>
  <c r="H13" i="4"/>
  <c r="G13" i="4"/>
  <c r="F7" i="4"/>
  <c r="G7" i="4" s="1"/>
  <c r="H7" i="4" s="1"/>
  <c r="B3" i="4"/>
  <c r="F737" i="3"/>
  <c r="H736" i="3"/>
  <c r="H15" i="7" s="1"/>
  <c r="G736" i="3"/>
  <c r="G15" i="7" s="1"/>
  <c r="F736" i="3"/>
  <c r="H735" i="3"/>
  <c r="H16" i="7" s="1"/>
  <c r="G735" i="3"/>
  <c r="G16" i="7" s="1"/>
  <c r="F735" i="3"/>
  <c r="F16" i="7" s="1"/>
  <c r="G731" i="3"/>
  <c r="F731" i="3"/>
  <c r="G730" i="3"/>
  <c r="F730" i="3"/>
  <c r="G729" i="3"/>
  <c r="F729" i="3"/>
  <c r="G720" i="3"/>
  <c r="H718" i="3"/>
  <c r="F706" i="3"/>
  <c r="G704" i="3"/>
  <c r="G702" i="3"/>
  <c r="G685" i="3"/>
  <c r="H684" i="3"/>
  <c r="G684" i="3"/>
  <c r="F684" i="3"/>
  <c r="H683" i="3"/>
  <c r="G683" i="3"/>
  <c r="F683" i="3"/>
  <c r="G682" i="3"/>
  <c r="G23" i="7" s="1"/>
  <c r="F681" i="3"/>
  <c r="H680" i="3"/>
  <c r="G680" i="3"/>
  <c r="F680" i="3"/>
  <c r="H679" i="3"/>
  <c r="G679" i="3"/>
  <c r="F679" i="3"/>
  <c r="H678" i="3"/>
  <c r="G678" i="3"/>
  <c r="F678" i="3"/>
  <c r="H677" i="3"/>
  <c r="G677" i="3"/>
  <c r="F677" i="3"/>
  <c r="H676" i="3"/>
  <c r="G676" i="3"/>
  <c r="F676" i="3"/>
  <c r="H675" i="3"/>
  <c r="G675" i="3"/>
  <c r="F675" i="3"/>
  <c r="G673" i="3"/>
  <c r="H671" i="3"/>
  <c r="G671" i="3"/>
  <c r="F671" i="3"/>
  <c r="H663" i="3"/>
  <c r="G663" i="3"/>
  <c r="F663" i="3"/>
  <c r="G662" i="3"/>
  <c r="H652" i="3"/>
  <c r="G652" i="3"/>
  <c r="F652" i="3"/>
  <c r="H644" i="3"/>
  <c r="G644" i="3"/>
  <c r="G18" i="7" s="1"/>
  <c r="F644" i="3"/>
  <c r="F18" i="7" s="1"/>
  <c r="H629" i="3"/>
  <c r="G629" i="3"/>
  <c r="F629" i="3"/>
  <c r="H628" i="3"/>
  <c r="G628" i="3"/>
  <c r="F628" i="3"/>
  <c r="H627" i="3"/>
  <c r="G627" i="3"/>
  <c r="F627" i="3"/>
  <c r="H626" i="3"/>
  <c r="G626" i="3"/>
  <c r="H620" i="3"/>
  <c r="H21" i="7" s="1"/>
  <c r="G620" i="3"/>
  <c r="F620" i="3"/>
  <c r="F21" i="7" s="1"/>
  <c r="H618" i="3"/>
  <c r="G618" i="3"/>
  <c r="F618" i="3"/>
  <c r="H616" i="3"/>
  <c r="G616" i="3"/>
  <c r="F616" i="3"/>
  <c r="H610" i="3"/>
  <c r="G610" i="3"/>
  <c r="F610" i="3"/>
  <c r="H609" i="3"/>
  <c r="H710" i="3" s="1"/>
  <c r="G609" i="3"/>
  <c r="F609" i="3"/>
  <c r="H608" i="3"/>
  <c r="G608" i="3"/>
  <c r="G709" i="3" s="1"/>
  <c r="F608" i="3"/>
  <c r="F709" i="3" s="1"/>
  <c r="H607" i="3"/>
  <c r="G607" i="3"/>
  <c r="F607" i="3"/>
  <c r="F605" i="3"/>
  <c r="H604" i="3"/>
  <c r="G604" i="3"/>
  <c r="F604" i="3"/>
  <c r="H603" i="3"/>
  <c r="G603" i="3"/>
  <c r="F603" i="3"/>
  <c r="H602" i="3"/>
  <c r="G602" i="3"/>
  <c r="F602" i="3"/>
  <c r="H601" i="3"/>
  <c r="G601" i="3"/>
  <c r="G605" i="3" s="1"/>
  <c r="F601" i="3"/>
  <c r="H599" i="3"/>
  <c r="G599" i="3"/>
  <c r="H598" i="3"/>
  <c r="G598" i="3"/>
  <c r="G706" i="3" s="1"/>
  <c r="F598" i="3"/>
  <c r="F685" i="3" s="1"/>
  <c r="H597" i="3"/>
  <c r="H704" i="3" s="1"/>
  <c r="G597" i="3"/>
  <c r="F597" i="3"/>
  <c r="H596" i="3"/>
  <c r="G596" i="3"/>
  <c r="F596" i="3"/>
  <c r="H593" i="3"/>
  <c r="G593" i="3"/>
  <c r="F593" i="3"/>
  <c r="H591" i="3"/>
  <c r="H25" i="7" s="1"/>
  <c r="G591" i="3"/>
  <c r="G25" i="7" s="1"/>
  <c r="F591" i="3"/>
  <c r="F25" i="7" s="1"/>
  <c r="G590" i="3"/>
  <c r="F590" i="3"/>
  <c r="H589" i="3"/>
  <c r="H701" i="3" s="1"/>
  <c r="G589" i="3"/>
  <c r="G701" i="3" s="1"/>
  <c r="F589" i="3"/>
  <c r="F701" i="3" s="1"/>
  <c r="H588" i="3"/>
  <c r="G588" i="3"/>
  <c r="F588" i="3"/>
  <c r="H582" i="3"/>
  <c r="G582" i="3"/>
  <c r="F582" i="3"/>
  <c r="F583" i="3" s="1"/>
  <c r="F728" i="3" s="1"/>
  <c r="F732" i="3" s="1"/>
  <c r="H581" i="3"/>
  <c r="H583" i="3" s="1"/>
  <c r="H728" i="3" s="1"/>
  <c r="G581" i="3"/>
  <c r="F581" i="3"/>
  <c r="H580" i="3"/>
  <c r="G580" i="3"/>
  <c r="F580" i="3"/>
  <c r="H575" i="3"/>
  <c r="H636" i="3" s="1"/>
  <c r="H574" i="3"/>
  <c r="G574" i="3"/>
  <c r="F574" i="3"/>
  <c r="H573" i="3"/>
  <c r="G573" i="3"/>
  <c r="F573" i="3"/>
  <c r="H572" i="3"/>
  <c r="G572" i="3"/>
  <c r="F572" i="3"/>
  <c r="H571" i="3"/>
  <c r="G571" i="3"/>
  <c r="F571" i="3"/>
  <c r="F575" i="3" s="1"/>
  <c r="F636" i="3" s="1"/>
  <c r="H569" i="3"/>
  <c r="G569" i="3"/>
  <c r="F569" i="3"/>
  <c r="F513" i="3"/>
  <c r="H510" i="3"/>
  <c r="G508" i="3"/>
  <c r="G430" i="3"/>
  <c r="F430" i="3"/>
  <c r="H378" i="3"/>
  <c r="G378" i="3"/>
  <c r="G380" i="3" s="1"/>
  <c r="G513" i="3" s="1"/>
  <c r="F378" i="3"/>
  <c r="F380" i="3" s="1"/>
  <c r="H373" i="3"/>
  <c r="H328" i="3"/>
  <c r="G328" i="3"/>
  <c r="F328" i="3"/>
  <c r="H327" i="3"/>
  <c r="G327" i="3"/>
  <c r="G323" i="3"/>
  <c r="G372" i="3" s="1"/>
  <c r="G509" i="3" s="1"/>
  <c r="F323" i="3"/>
  <c r="H322" i="3"/>
  <c r="H371" i="3" s="1"/>
  <c r="G322" i="3"/>
  <c r="G371" i="3" s="1"/>
  <c r="G316" i="3"/>
  <c r="H275" i="3"/>
  <c r="G275" i="3"/>
  <c r="F275" i="3"/>
  <c r="E275" i="3"/>
  <c r="G272" i="3"/>
  <c r="F272" i="3"/>
  <c r="F688" i="3" s="1"/>
  <c r="E272" i="3"/>
  <c r="H271" i="3"/>
  <c r="G271" i="3"/>
  <c r="F271" i="3"/>
  <c r="F316" i="3" s="1"/>
  <c r="E271" i="3"/>
  <c r="H270" i="3"/>
  <c r="G270" i="3"/>
  <c r="F270" i="3"/>
  <c r="E270" i="3"/>
  <c r="H269" i="3"/>
  <c r="G269" i="3"/>
  <c r="F269" i="3"/>
  <c r="E269" i="3"/>
  <c r="H268" i="3"/>
  <c r="G268" i="3"/>
  <c r="F268" i="3"/>
  <c r="E268" i="3"/>
  <c r="E286" i="3" s="1"/>
  <c r="H267" i="3"/>
  <c r="G267" i="3"/>
  <c r="F267" i="3"/>
  <c r="E267" i="3"/>
  <c r="H258" i="3"/>
  <c r="G258" i="3"/>
  <c r="G314" i="3" s="1"/>
  <c r="F258" i="3"/>
  <c r="F314" i="3" s="1"/>
  <c r="E258" i="3"/>
  <c r="H256" i="3"/>
  <c r="G256" i="3"/>
  <c r="F256" i="3"/>
  <c r="E256" i="3"/>
  <c r="H255" i="3"/>
  <c r="H766" i="3" s="1"/>
  <c r="G255" i="3"/>
  <c r="F255" i="3"/>
  <c r="F766" i="3" s="1"/>
  <c r="E255" i="3"/>
  <c r="H254" i="3"/>
  <c r="G254" i="3"/>
  <c r="F254" i="3"/>
  <c r="E254" i="3"/>
  <c r="H253" i="3"/>
  <c r="H314" i="3" s="1"/>
  <c r="G253" i="3"/>
  <c r="F253" i="3"/>
  <c r="E253" i="3"/>
  <c r="H247" i="3"/>
  <c r="G247" i="3"/>
  <c r="F247" i="3"/>
  <c r="E247" i="3"/>
  <c r="H246" i="3"/>
  <c r="G246" i="3"/>
  <c r="F246" i="3"/>
  <c r="E246" i="3"/>
  <c r="H245" i="3"/>
  <c r="H326" i="3" s="1"/>
  <c r="G245" i="3"/>
  <c r="F245" i="3"/>
  <c r="E245" i="3"/>
  <c r="H244" i="3"/>
  <c r="H248" i="3" s="1"/>
  <c r="G244" i="3"/>
  <c r="G326" i="3" s="1"/>
  <c r="F244" i="3"/>
  <c r="F326" i="3" s="1"/>
  <c r="E244" i="3"/>
  <c r="H243" i="3"/>
  <c r="G243" i="3"/>
  <c r="F243" i="3"/>
  <c r="E243" i="3"/>
  <c r="H242" i="3"/>
  <c r="G242" i="3"/>
  <c r="F242" i="3"/>
  <c r="E242" i="3"/>
  <c r="H236" i="3"/>
  <c r="G236" i="3"/>
  <c r="F236" i="3"/>
  <c r="E236" i="3"/>
  <c r="H235" i="3"/>
  <c r="G235" i="3"/>
  <c r="F235" i="3"/>
  <c r="E235" i="3"/>
  <c r="H234" i="3"/>
  <c r="G234" i="3"/>
  <c r="F234" i="3"/>
  <c r="E234" i="3"/>
  <c r="H233" i="3"/>
  <c r="G233" i="3"/>
  <c r="F233" i="3"/>
  <c r="E233" i="3"/>
  <c r="H232" i="3"/>
  <c r="G232" i="3"/>
  <c r="F232" i="3"/>
  <c r="E232" i="3"/>
  <c r="H231" i="3"/>
  <c r="G231" i="3"/>
  <c r="F231" i="3"/>
  <c r="E231" i="3"/>
  <c r="H230" i="3"/>
  <c r="H324" i="3" s="1"/>
  <c r="G230" i="3"/>
  <c r="G237" i="3" s="1"/>
  <c r="F230" i="3"/>
  <c r="F237" i="3" s="1"/>
  <c r="E230" i="3"/>
  <c r="E237" i="3" s="1"/>
  <c r="H227" i="3"/>
  <c r="H226" i="3"/>
  <c r="G226" i="3"/>
  <c r="F226" i="3"/>
  <c r="E226" i="3"/>
  <c r="H225" i="3"/>
  <c r="G225" i="3"/>
  <c r="F225" i="3"/>
  <c r="E225" i="3"/>
  <c r="H224" i="3"/>
  <c r="G224" i="3"/>
  <c r="F224" i="3"/>
  <c r="E224" i="3"/>
  <c r="H223" i="3"/>
  <c r="G223" i="3"/>
  <c r="F223" i="3"/>
  <c r="F322" i="3" s="1"/>
  <c r="E223" i="3"/>
  <c r="H222" i="3"/>
  <c r="G222" i="3"/>
  <c r="F222" i="3"/>
  <c r="E222" i="3"/>
  <c r="H221" i="3"/>
  <c r="H323" i="3" s="1"/>
  <c r="H372" i="3" s="1"/>
  <c r="H509" i="3" s="1"/>
  <c r="G221" i="3"/>
  <c r="G227" i="3" s="1"/>
  <c r="F221" i="3"/>
  <c r="F227" i="3" s="1"/>
  <c r="E221" i="3"/>
  <c r="E227" i="3" s="1"/>
  <c r="H191" i="3"/>
  <c r="F187" i="3"/>
  <c r="H168" i="3"/>
  <c r="H166" i="3"/>
  <c r="G166" i="3"/>
  <c r="F166" i="3"/>
  <c r="H163" i="3"/>
  <c r="G163" i="3"/>
  <c r="F163" i="3"/>
  <c r="F161" i="3"/>
  <c r="H160" i="3"/>
  <c r="F159" i="3"/>
  <c r="H155" i="3"/>
  <c r="G155" i="3"/>
  <c r="F155" i="3"/>
  <c r="H154" i="3"/>
  <c r="G154" i="3"/>
  <c r="F154" i="3"/>
  <c r="H153" i="3"/>
  <c r="G153" i="3"/>
  <c r="F153" i="3"/>
  <c r="H152" i="3"/>
  <c r="H156" i="3" s="1"/>
  <c r="G152" i="3"/>
  <c r="G156" i="3" s="1"/>
  <c r="F152" i="3"/>
  <c r="H151" i="3"/>
  <c r="G151" i="3"/>
  <c r="F151" i="3"/>
  <c r="F142" i="3"/>
  <c r="F137" i="3"/>
  <c r="F135" i="3"/>
  <c r="H129" i="3"/>
  <c r="H130" i="3" s="1"/>
  <c r="G129" i="3"/>
  <c r="G130" i="3" s="1"/>
  <c r="F129" i="3"/>
  <c r="F130" i="3" s="1"/>
  <c r="H115" i="3"/>
  <c r="G115" i="3"/>
  <c r="F115" i="3"/>
  <c r="H109" i="3"/>
  <c r="G109" i="3"/>
  <c r="J101" i="3"/>
  <c r="H101" i="3"/>
  <c r="H100" i="3"/>
  <c r="H97" i="3"/>
  <c r="G97" i="3"/>
  <c r="H94" i="3"/>
  <c r="J94" i="3" s="1"/>
  <c r="G94" i="3"/>
  <c r="F94" i="3"/>
  <c r="H93" i="3"/>
  <c r="G93" i="3"/>
  <c r="F93" i="3"/>
  <c r="H92" i="3"/>
  <c r="G92" i="3"/>
  <c r="F92" i="3"/>
  <c r="J92" i="3" s="1"/>
  <c r="H91" i="3"/>
  <c r="G91" i="3"/>
  <c r="J91" i="3" s="1"/>
  <c r="F91" i="3"/>
  <c r="H90" i="3"/>
  <c r="G90" i="3"/>
  <c r="F90" i="3"/>
  <c r="J90" i="3" s="1"/>
  <c r="H89" i="3"/>
  <c r="G89" i="3"/>
  <c r="F89" i="3"/>
  <c r="J89" i="3" s="1"/>
  <c r="H88" i="3"/>
  <c r="G88" i="3"/>
  <c r="J88" i="3" s="1"/>
  <c r="F88" i="3"/>
  <c r="H82" i="3"/>
  <c r="G82" i="3"/>
  <c r="F82" i="3"/>
  <c r="H77" i="3"/>
  <c r="G77" i="3"/>
  <c r="F77" i="3"/>
  <c r="F78" i="3" s="1"/>
  <c r="H76" i="3"/>
  <c r="H78" i="3" s="1"/>
  <c r="G76" i="3"/>
  <c r="G78" i="3" s="1"/>
  <c r="F76" i="3"/>
  <c r="H75" i="3"/>
  <c r="G75" i="3"/>
  <c r="F75" i="3"/>
  <c r="F71" i="3"/>
  <c r="F490" i="3" s="1"/>
  <c r="G70" i="3"/>
  <c r="G71" i="3" s="1"/>
  <c r="G490" i="3" s="1"/>
  <c r="G69" i="3"/>
  <c r="F69" i="3"/>
  <c r="H68" i="3"/>
  <c r="G68" i="3"/>
  <c r="F68" i="3"/>
  <c r="H67" i="3"/>
  <c r="G67" i="3"/>
  <c r="F67" i="3"/>
  <c r="H66" i="3"/>
  <c r="G66" i="3"/>
  <c r="F66" i="3"/>
  <c r="H65" i="3"/>
  <c r="G65" i="3"/>
  <c r="F65" i="3"/>
  <c r="H64" i="3"/>
  <c r="G64" i="3"/>
  <c r="F64" i="3"/>
  <c r="H62" i="3"/>
  <c r="G62" i="3"/>
  <c r="F62" i="3"/>
  <c r="H61" i="3"/>
  <c r="G61" i="3"/>
  <c r="F61" i="3"/>
  <c r="H60" i="3"/>
  <c r="H646" i="3" s="1"/>
  <c r="H19" i="7" s="1"/>
  <c r="G60" i="3"/>
  <c r="G646" i="3" s="1"/>
  <c r="G19" i="7" s="1"/>
  <c r="F60" i="3"/>
  <c r="F646" i="3" s="1"/>
  <c r="F19" i="7" s="1"/>
  <c r="H59" i="3"/>
  <c r="G59" i="3"/>
  <c r="F59" i="3"/>
  <c r="H58" i="3"/>
  <c r="H645" i="3" s="1"/>
  <c r="H20" i="7" s="1"/>
  <c r="G58" i="3"/>
  <c r="G645" i="3" s="1"/>
  <c r="F58" i="3"/>
  <c r="F645" i="3" s="1"/>
  <c r="H57" i="3"/>
  <c r="G57" i="3"/>
  <c r="F57" i="3"/>
  <c r="H56" i="3"/>
  <c r="G56" i="3"/>
  <c r="F56" i="3"/>
  <c r="H55" i="3"/>
  <c r="G55" i="3"/>
  <c r="F55" i="3"/>
  <c r="H54" i="3"/>
  <c r="G54" i="3"/>
  <c r="F54" i="3"/>
  <c r="F70" i="3" s="1"/>
  <c r="H47" i="3"/>
  <c r="H415" i="3" s="1"/>
  <c r="G47" i="3"/>
  <c r="G415" i="3" s="1"/>
  <c r="F47" i="3"/>
  <c r="F415" i="3" s="1"/>
  <c r="H46" i="3"/>
  <c r="H48" i="3" s="1"/>
  <c r="G46" i="3"/>
  <c r="F46" i="3"/>
  <c r="H40" i="3"/>
  <c r="H443" i="3" s="1"/>
  <c r="G40" i="3"/>
  <c r="F40" i="3"/>
  <c r="H39" i="3"/>
  <c r="G39" i="3"/>
  <c r="F39" i="3"/>
  <c r="H35" i="3"/>
  <c r="G35" i="3"/>
  <c r="F35" i="3"/>
  <c r="H34" i="3"/>
  <c r="H33" i="3"/>
  <c r="H190" i="3" s="1"/>
  <c r="G33" i="3"/>
  <c r="G190" i="3" s="1"/>
  <c r="F33" i="3"/>
  <c r="F190" i="3" s="1"/>
  <c r="H29" i="3"/>
  <c r="H188" i="3" s="1"/>
  <c r="G29" i="3"/>
  <c r="F29" i="3"/>
  <c r="F28" i="3"/>
  <c r="H26" i="3"/>
  <c r="G26" i="3"/>
  <c r="F26" i="3"/>
  <c r="H25" i="3"/>
  <c r="H21" i="3"/>
  <c r="G21" i="3"/>
  <c r="F21" i="3"/>
  <c r="H20" i="3"/>
  <c r="G20" i="3"/>
  <c r="F20" i="3"/>
  <c r="F136" i="3" s="1"/>
  <c r="H19" i="3"/>
  <c r="H182" i="3" s="1"/>
  <c r="G19" i="3"/>
  <c r="G100" i="3" s="1"/>
  <c r="F19" i="3"/>
  <c r="H18" i="3"/>
  <c r="G18" i="3"/>
  <c r="F18" i="3"/>
  <c r="F181" i="3" s="1"/>
  <c r="F16" i="3"/>
  <c r="F133" i="3" s="1"/>
  <c r="H15" i="3"/>
  <c r="H167" i="3" s="1"/>
  <c r="G15" i="3"/>
  <c r="G167" i="3" s="1"/>
  <c r="F15" i="3"/>
  <c r="F167" i="3" s="1"/>
  <c r="H14" i="3"/>
  <c r="G14" i="3"/>
  <c r="F14" i="3"/>
  <c r="H12" i="3"/>
  <c r="G12" i="3"/>
  <c r="F12" i="3"/>
  <c r="J97" i="3" s="1"/>
  <c r="F7" i="3"/>
  <c r="G7" i="3" s="1"/>
  <c r="H7" i="3" s="1"/>
  <c r="B3" i="3"/>
  <c r="B3" i="2"/>
  <c r="G186" i="3" l="1"/>
  <c r="G162" i="3"/>
  <c r="G140" i="3"/>
  <c r="G102" i="3"/>
  <c r="H281" i="3"/>
  <c r="H309" i="3" s="1"/>
  <c r="J310" i="4"/>
  <c r="J510" i="3"/>
  <c r="E239" i="3"/>
  <c r="E250" i="3" s="1"/>
  <c r="E281" i="3"/>
  <c r="H186" i="3"/>
  <c r="H162" i="3"/>
  <c r="H140" i="3"/>
  <c r="J102" i="3"/>
  <c r="H102" i="3"/>
  <c r="H41" i="3"/>
  <c r="H540" i="4"/>
  <c r="H371" i="4"/>
  <c r="H525" i="4"/>
  <c r="H372" i="4"/>
  <c r="H286" i="3"/>
  <c r="H272" i="3"/>
  <c r="H105" i="3"/>
  <c r="F20" i="4"/>
  <c r="F264" i="4"/>
  <c r="G46" i="4"/>
  <c r="G34" i="3"/>
  <c r="J105" i="3" s="1"/>
  <c r="F239" i="3"/>
  <c r="G239" i="3"/>
  <c r="G203" i="4"/>
  <c r="G281" i="4"/>
  <c r="G41" i="3"/>
  <c r="F157" i="3"/>
  <c r="F156" i="3"/>
  <c r="F432" i="3"/>
  <c r="F520" i="3" s="1"/>
  <c r="G374" i="3"/>
  <c r="G511" i="3" s="1"/>
  <c r="G136" i="3"/>
  <c r="G161" i="3"/>
  <c r="F443" i="3"/>
  <c r="G705" i="3"/>
  <c r="G672" i="3"/>
  <c r="H669" i="3"/>
  <c r="G317" i="3"/>
  <c r="G283" i="3"/>
  <c r="F180" i="3"/>
  <c r="H257" i="3"/>
  <c r="J301" i="4"/>
  <c r="F145" i="3"/>
  <c r="F159" i="4"/>
  <c r="F158" i="4"/>
  <c r="F275" i="4" s="1"/>
  <c r="F274" i="3"/>
  <c r="F298" i="4"/>
  <c r="G143" i="3"/>
  <c r="F371" i="3"/>
  <c r="H737" i="3"/>
  <c r="J274" i="4"/>
  <c r="G376" i="3"/>
  <c r="G108" i="3"/>
  <c r="G377" i="3"/>
  <c r="J280" i="4"/>
  <c r="G148" i="3"/>
  <c r="G99" i="3"/>
  <c r="G181" i="3"/>
  <c r="H26" i="7"/>
  <c r="H12" i="7"/>
  <c r="J281" i="4"/>
  <c r="H767" i="3"/>
  <c r="H545" i="4"/>
  <c r="H532" i="4"/>
  <c r="J532" i="4" s="1"/>
  <c r="G20" i="4"/>
  <c r="G264" i="4"/>
  <c r="F526" i="4"/>
  <c r="J526" i="4" s="1"/>
  <c r="F541" i="4"/>
  <c r="J541" i="4" s="1"/>
  <c r="H274" i="4"/>
  <c r="H156" i="4"/>
  <c r="F41" i="3"/>
  <c r="F376" i="3"/>
  <c r="F377" i="3"/>
  <c r="F188" i="3"/>
  <c r="E145" i="4"/>
  <c r="E272" i="4"/>
  <c r="F148" i="3"/>
  <c r="F372" i="3"/>
  <c r="F509" i="3" s="1"/>
  <c r="J509" i="3" s="1"/>
  <c r="H380" i="3"/>
  <c r="H513" i="3" s="1"/>
  <c r="J513" i="3" s="1"/>
  <c r="H381" i="3"/>
  <c r="H310" i="4"/>
  <c r="H69" i="3"/>
  <c r="H70" i="3" s="1"/>
  <c r="H71" i="3" s="1"/>
  <c r="H490" i="3" s="1"/>
  <c r="J490" i="3" s="1"/>
  <c r="H293" i="4"/>
  <c r="J293" i="4" s="1"/>
  <c r="G13" i="3"/>
  <c r="G486" i="3" s="1"/>
  <c r="G183" i="3"/>
  <c r="E248" i="3"/>
  <c r="F379" i="3"/>
  <c r="F512" i="3" s="1"/>
  <c r="F533" i="4"/>
  <c r="F544" i="4"/>
  <c r="E282" i="3"/>
  <c r="E283" i="3"/>
  <c r="H203" i="4"/>
  <c r="H281" i="4"/>
  <c r="H157" i="3"/>
  <c r="F310" i="3"/>
  <c r="F317" i="3"/>
  <c r="F283" i="3"/>
  <c r="F599" i="3"/>
  <c r="F720" i="3"/>
  <c r="F662" i="3"/>
  <c r="G304" i="4"/>
  <c r="G307" i="4"/>
  <c r="H161" i="3"/>
  <c r="G310" i="3"/>
  <c r="H611" i="3"/>
  <c r="H664" i="3" s="1"/>
  <c r="H709" i="3"/>
  <c r="G16" i="3"/>
  <c r="F647" i="3"/>
  <c r="F20" i="7"/>
  <c r="G156" i="4"/>
  <c r="H315" i="3"/>
  <c r="H146" i="3"/>
  <c r="H183" i="3"/>
  <c r="F248" i="3"/>
  <c r="F281" i="3" s="1"/>
  <c r="F327" i="3"/>
  <c r="F325" i="3"/>
  <c r="F286" i="3"/>
  <c r="F315" i="3"/>
  <c r="F324" i="3"/>
  <c r="F373" i="3" s="1"/>
  <c r="F510" i="3" s="1"/>
  <c r="G379" i="3"/>
  <c r="G512" i="3" s="1"/>
  <c r="F669" i="3"/>
  <c r="G688" i="3"/>
  <c r="G716" i="3"/>
  <c r="H266" i="4"/>
  <c r="H35" i="4"/>
  <c r="E279" i="4"/>
  <c r="E181" i="4"/>
  <c r="F540" i="4"/>
  <c r="F525" i="4"/>
  <c r="G438" i="4"/>
  <c r="G520" i="4"/>
  <c r="J520" i="4" s="1"/>
  <c r="G157" i="3"/>
  <c r="F682" i="3"/>
  <c r="F23" i="7" s="1"/>
  <c r="F705" i="3"/>
  <c r="F672" i="3"/>
  <c r="F716" i="3"/>
  <c r="F704" i="3"/>
  <c r="F143" i="3"/>
  <c r="E159" i="4"/>
  <c r="E158" i="4"/>
  <c r="E275" i="4" s="1"/>
  <c r="E274" i="3"/>
  <c r="E298" i="4"/>
  <c r="H295" i="4"/>
  <c r="H146" i="4"/>
  <c r="G545" i="4"/>
  <c r="J545" i="4" s="1"/>
  <c r="H16" i="3"/>
  <c r="G20" i="7"/>
  <c r="G647" i="3"/>
  <c r="H508" i="3"/>
  <c r="H374" i="3"/>
  <c r="H511" i="3" s="1"/>
  <c r="F22" i="3"/>
  <c r="G188" i="3"/>
  <c r="F145" i="4"/>
  <c r="F272" i="4"/>
  <c r="H355" i="3"/>
  <c r="H507" i="3" s="1"/>
  <c r="H377" i="3"/>
  <c r="H13" i="3"/>
  <c r="H486" i="3" s="1"/>
  <c r="F183" i="3"/>
  <c r="H148" i="3"/>
  <c r="F48" i="3"/>
  <c r="F182" i="3"/>
  <c r="H185" i="3"/>
  <c r="G48" i="3"/>
  <c r="G443" i="3" s="1"/>
  <c r="J100" i="3"/>
  <c r="F186" i="3"/>
  <c r="F162" i="3"/>
  <c r="F140" i="3"/>
  <c r="G101" i="3"/>
  <c r="F109" i="3"/>
  <c r="F134" i="3"/>
  <c r="G248" i="3"/>
  <c r="G281" i="3" s="1"/>
  <c r="G325" i="3"/>
  <c r="G286" i="3"/>
  <c r="G315" i="3"/>
  <c r="G324" i="3"/>
  <c r="G373" i="3" s="1"/>
  <c r="G510" i="3" s="1"/>
  <c r="H379" i="3"/>
  <c r="H512" i="3" s="1"/>
  <c r="G669" i="3"/>
  <c r="F46" i="4"/>
  <c r="M41" i="5"/>
  <c r="F34" i="3"/>
  <c r="F181" i="4"/>
  <c r="F279" i="4"/>
  <c r="F287" i="4"/>
  <c r="J287" i="4" s="1"/>
  <c r="G357" i="4"/>
  <c r="E296" i="3"/>
  <c r="H325" i="3"/>
  <c r="H376" i="3" s="1"/>
  <c r="M14" i="5"/>
  <c r="F18" i="4"/>
  <c r="F282" i="4"/>
  <c r="E276" i="4"/>
  <c r="J276" i="4" s="1"/>
  <c r="E166" i="4"/>
  <c r="E300" i="4" s="1"/>
  <c r="J300" i="4" s="1"/>
  <c r="H99" i="3"/>
  <c r="E257" i="3"/>
  <c r="E259" i="3" s="1"/>
  <c r="H662" i="3"/>
  <c r="H68" i="4"/>
  <c r="H283" i="4"/>
  <c r="G268" i="4"/>
  <c r="G47" i="4"/>
  <c r="G288" i="4" s="1"/>
  <c r="J267" i="4"/>
  <c r="J277" i="4"/>
  <c r="H282" i="4"/>
  <c r="F543" i="4"/>
  <c r="F534" i="4"/>
  <c r="G575" i="3"/>
  <c r="G636" i="3" s="1"/>
  <c r="F265" i="4"/>
  <c r="J265" i="4" s="1"/>
  <c r="F31" i="4"/>
  <c r="F673" i="3"/>
  <c r="G283" i="4"/>
  <c r="G282" i="4"/>
  <c r="H455" i="4"/>
  <c r="H521" i="4"/>
  <c r="H681" i="3"/>
  <c r="J99" i="3"/>
  <c r="G182" i="3"/>
  <c r="F257" i="3"/>
  <c r="H316" i="3"/>
  <c r="G271" i="4"/>
  <c r="J271" i="4" s="1"/>
  <c r="G135" i="4"/>
  <c r="G521" i="4"/>
  <c r="G455" i="4"/>
  <c r="G681" i="3"/>
  <c r="H181" i="3"/>
  <c r="F296" i="3"/>
  <c r="F268" i="4"/>
  <c r="J268" i="4" s="1"/>
  <c r="F47" i="4"/>
  <c r="H237" i="3"/>
  <c r="G257" i="3"/>
  <c r="F702" i="3"/>
  <c r="G35" i="4"/>
  <c r="G266" i="4"/>
  <c r="J266" i="4" s="1"/>
  <c r="H268" i="4"/>
  <c r="F513" i="4"/>
  <c r="J513" i="4" s="1"/>
  <c r="F710" i="3"/>
  <c r="G583" i="3"/>
  <c r="G728" i="3" s="1"/>
  <c r="H702" i="3"/>
  <c r="H706" i="3"/>
  <c r="H673" i="3"/>
  <c r="H685" i="3"/>
  <c r="G710" i="3"/>
  <c r="E307" i="4"/>
  <c r="M194" i="5"/>
  <c r="G524" i="4"/>
  <c r="G539" i="4"/>
  <c r="G475" i="4"/>
  <c r="G522" i="4"/>
  <c r="J522" i="4" s="1"/>
  <c r="H647" i="3"/>
  <c r="H18" i="7"/>
  <c r="F280" i="4"/>
  <c r="F194" i="4"/>
  <c r="H539" i="4"/>
  <c r="H524" i="4"/>
  <c r="J521" i="4"/>
  <c r="F26" i="7"/>
  <c r="F12" i="7"/>
  <c r="H720" i="3"/>
  <c r="H605" i="3"/>
  <c r="F611" i="3"/>
  <c r="F664" i="3" s="1"/>
  <c r="F718" i="3"/>
  <c r="F767" i="3"/>
  <c r="G26" i="7"/>
  <c r="G12" i="7"/>
  <c r="G611" i="3"/>
  <c r="G664" i="3" s="1"/>
  <c r="G718" i="3"/>
  <c r="F286" i="4"/>
  <c r="M35" i="5"/>
  <c r="G767" i="3"/>
  <c r="F347" i="4"/>
  <c r="G309" i="3" l="1"/>
  <c r="G282" i="3"/>
  <c r="G496" i="3" s="1"/>
  <c r="F309" i="3"/>
  <c r="F282" i="3"/>
  <c r="F496" i="3" s="1"/>
  <c r="H716" i="3"/>
  <c r="H682" i="3"/>
  <c r="H23" i="7" s="1"/>
  <c r="H672" i="3"/>
  <c r="H705" i="3"/>
  <c r="G737" i="3"/>
  <c r="G732" i="3"/>
  <c r="H310" i="3"/>
  <c r="H282" i="3"/>
  <c r="H496" i="3" s="1"/>
  <c r="E176" i="4"/>
  <c r="E177" i="4" s="1"/>
  <c r="E302" i="4" s="1"/>
  <c r="E299" i="4"/>
  <c r="F449" i="3"/>
  <c r="H27" i="3"/>
  <c r="H269" i="4"/>
  <c r="E296" i="4"/>
  <c r="E146" i="4"/>
  <c r="G158" i="3"/>
  <c r="G357" i="3"/>
  <c r="G358" i="3" s="1"/>
  <c r="F321" i="3"/>
  <c r="F370" i="3" s="1"/>
  <c r="F635" i="3"/>
  <c r="F637" i="3" s="1"/>
  <c r="F287" i="3"/>
  <c r="F495" i="3" s="1"/>
  <c r="F250" i="3"/>
  <c r="F176" i="4"/>
  <c r="F299" i="4"/>
  <c r="G535" i="4"/>
  <c r="J535" i="4" s="1"/>
  <c r="G766" i="3"/>
  <c r="J766" i="3" s="1"/>
  <c r="F259" i="3"/>
  <c r="F312" i="3" s="1"/>
  <c r="F319" i="3"/>
  <c r="G284" i="4"/>
  <c r="G25" i="3"/>
  <c r="H688" i="3"/>
  <c r="H317" i="3"/>
  <c r="H283" i="3"/>
  <c r="J286" i="4"/>
  <c r="J534" i="4"/>
  <c r="H135" i="3"/>
  <c r="H22" i="3"/>
  <c r="J98" i="3"/>
  <c r="H98" i="3"/>
  <c r="H145" i="3"/>
  <c r="H133" i="3"/>
  <c r="H180" i="3"/>
  <c r="H137" i="3"/>
  <c r="H134" i="3"/>
  <c r="J543" i="4"/>
  <c r="F357" i="3"/>
  <c r="F358" i="3" s="1"/>
  <c r="H534" i="4"/>
  <c r="H543" i="4"/>
  <c r="H139" i="3"/>
  <c r="H273" i="4"/>
  <c r="H261" i="3"/>
  <c r="H535" i="3" s="1"/>
  <c r="J544" i="4"/>
  <c r="F339" i="3"/>
  <c r="F348" i="3"/>
  <c r="G286" i="4"/>
  <c r="G28" i="3"/>
  <c r="G69" i="4"/>
  <c r="J279" i="4"/>
  <c r="G305" i="4"/>
  <c r="J305" i="4" s="1"/>
  <c r="M203" i="5"/>
  <c r="G308" i="4"/>
  <c r="J767" i="3"/>
  <c r="G68" i="4"/>
  <c r="F146" i="3"/>
  <c r="F191" i="3"/>
  <c r="F160" i="3"/>
  <c r="F164" i="3" s="1"/>
  <c r="F381" i="3"/>
  <c r="F146" i="4"/>
  <c r="F296" i="4"/>
  <c r="F147" i="4"/>
  <c r="H286" i="4"/>
  <c r="H28" i="3"/>
  <c r="H69" i="4"/>
  <c r="F592" i="3"/>
  <c r="F630" i="3"/>
  <c r="H143" i="3"/>
  <c r="H348" i="3"/>
  <c r="H339" i="3"/>
  <c r="M31" i="5"/>
  <c r="M313" i="5" s="1"/>
  <c r="M551" i="5" s="1"/>
  <c r="J54" i="2" s="1"/>
  <c r="F285" i="4"/>
  <c r="J285" i="4" s="1"/>
  <c r="E294" i="3"/>
  <c r="G592" i="3"/>
  <c r="G630" i="3"/>
  <c r="G631" i="3" s="1"/>
  <c r="F294" i="3"/>
  <c r="F499" i="3" s="1"/>
  <c r="F318" i="3"/>
  <c r="J512" i="3"/>
  <c r="H319" i="3"/>
  <c r="H259" i="3"/>
  <c r="H312" i="3" s="1"/>
  <c r="G533" i="4"/>
  <c r="G544" i="4"/>
  <c r="G191" i="3"/>
  <c r="G160" i="3"/>
  <c r="G146" i="3"/>
  <c r="G381" i="3"/>
  <c r="G105" i="3"/>
  <c r="H239" i="3"/>
  <c r="G540" i="4"/>
  <c r="G371" i="4"/>
  <c r="G525" i="4"/>
  <c r="G372" i="4"/>
  <c r="J525" i="4"/>
  <c r="G348" i="3"/>
  <c r="G339" i="3"/>
  <c r="H374" i="4"/>
  <c r="H375" i="4" s="1"/>
  <c r="H527" i="4"/>
  <c r="G543" i="4"/>
  <c r="G534" i="4"/>
  <c r="J540" i="4"/>
  <c r="G158" i="4"/>
  <c r="G275" i="4" s="1"/>
  <c r="G298" i="4"/>
  <c r="G274" i="3"/>
  <c r="G159" i="4"/>
  <c r="H136" i="3"/>
  <c r="J264" i="4"/>
  <c r="H386" i="3"/>
  <c r="H338" i="3"/>
  <c r="H329" i="3"/>
  <c r="H340" i="3" s="1"/>
  <c r="F307" i="4"/>
  <c r="F304" i="4"/>
  <c r="J304" i="4" s="1"/>
  <c r="M181" i="5"/>
  <c r="E306" i="4"/>
  <c r="J306" i="4" s="1"/>
  <c r="E303" i="4"/>
  <c r="J303" i="4" s="1"/>
  <c r="J533" i="4"/>
  <c r="G318" i="3"/>
  <c r="G449" i="3" s="1"/>
  <c r="H515" i="4"/>
  <c r="H612" i="3"/>
  <c r="H432" i="3"/>
  <c r="H520" i="3" s="1"/>
  <c r="E284" i="3"/>
  <c r="H630" i="3"/>
  <c r="H631" i="3" s="1"/>
  <c r="H592" i="3"/>
  <c r="G295" i="4"/>
  <c r="J295" i="4" s="1"/>
  <c r="G146" i="4"/>
  <c r="G147" i="4" s="1"/>
  <c r="J282" i="4"/>
  <c r="E276" i="3"/>
  <c r="E297" i="3"/>
  <c r="G135" i="3"/>
  <c r="G133" i="3"/>
  <c r="G22" i="3"/>
  <c r="G98" i="3"/>
  <c r="G145" i="3"/>
  <c r="G137" i="3"/>
  <c r="G180" i="3"/>
  <c r="G134" i="3"/>
  <c r="H158" i="4"/>
  <c r="H275" i="4" s="1"/>
  <c r="J275" i="4" s="1"/>
  <c r="H298" i="4"/>
  <c r="J298" i="4" s="1"/>
  <c r="H274" i="3"/>
  <c r="F297" i="3"/>
  <c r="F276" i="3"/>
  <c r="G321" i="3"/>
  <c r="G370" i="3" s="1"/>
  <c r="G250" i="3"/>
  <c r="G287" i="3"/>
  <c r="G495" i="3" s="1"/>
  <c r="G288" i="3"/>
  <c r="G635" i="3"/>
  <c r="G637" i="3" s="1"/>
  <c r="G432" i="3"/>
  <c r="G520" i="3" s="1"/>
  <c r="H430" i="3"/>
  <c r="F524" i="4"/>
  <c r="J524" i="4" s="1"/>
  <c r="F539" i="4"/>
  <c r="J539" i="4" s="1"/>
  <c r="F371" i="4"/>
  <c r="F626" i="3"/>
  <c r="F372" i="4"/>
  <c r="M47" i="5"/>
  <c r="F288" i="4"/>
  <c r="J288" i="4" s="1"/>
  <c r="J486" i="3"/>
  <c r="F158" i="3"/>
  <c r="J307" i="4"/>
  <c r="F508" i="3"/>
  <c r="J508" i="3" s="1"/>
  <c r="F374" i="3"/>
  <c r="F511" i="3" s="1"/>
  <c r="J511" i="3" s="1"/>
  <c r="M20" i="5"/>
  <c r="F284" i="4"/>
  <c r="F25" i="3"/>
  <c r="F306" i="4"/>
  <c r="F303" i="4"/>
  <c r="H147" i="4"/>
  <c r="H158" i="3"/>
  <c r="G259" i="3"/>
  <c r="G312" i="3" s="1"/>
  <c r="G319" i="3"/>
  <c r="F69" i="4"/>
  <c r="F283" i="4"/>
  <c r="J283" i="4" s="1"/>
  <c r="F68" i="4"/>
  <c r="F23" i="3"/>
  <c r="F184" i="3"/>
  <c r="F138" i="3"/>
  <c r="F539" i="3" s="1"/>
  <c r="F202" i="3"/>
  <c r="H305" i="4"/>
  <c r="H308" i="4"/>
  <c r="J272" i="4"/>
  <c r="G297" i="4" l="1"/>
  <c r="G298" i="3"/>
  <c r="G292" i="3"/>
  <c r="G306" i="3"/>
  <c r="H377" i="4"/>
  <c r="H517" i="4" s="1"/>
  <c r="H528" i="4"/>
  <c r="H378" i="4"/>
  <c r="F273" i="4"/>
  <c r="F261" i="3"/>
  <c r="F535" i="3" s="1"/>
  <c r="H297" i="4"/>
  <c r="H292" i="3"/>
  <c r="H290" i="3"/>
  <c r="H298" i="3"/>
  <c r="H306" i="3"/>
  <c r="H307" i="3"/>
  <c r="H719" i="3"/>
  <c r="H703" i="3"/>
  <c r="H594" i="3"/>
  <c r="H318" i="3"/>
  <c r="E273" i="4"/>
  <c r="E261" i="3"/>
  <c r="J496" i="3"/>
  <c r="F527" i="4"/>
  <c r="F374" i="4"/>
  <c r="F375" i="4"/>
  <c r="G23" i="3"/>
  <c r="G30" i="3"/>
  <c r="G202" i="3"/>
  <c r="G138" i="3"/>
  <c r="G539" i="3" s="1"/>
  <c r="J539" i="3" s="1"/>
  <c r="G184" i="3"/>
  <c r="H321" i="3"/>
  <c r="H370" i="3" s="1"/>
  <c r="H250" i="3"/>
  <c r="H635" i="3"/>
  <c r="H637" i="3" s="1"/>
  <c r="H288" i="3"/>
  <c r="H287" i="3"/>
  <c r="H495" i="3" s="1"/>
  <c r="J495" i="3" s="1"/>
  <c r="F311" i="3"/>
  <c r="F284" i="3"/>
  <c r="E147" i="4"/>
  <c r="F356" i="3"/>
  <c r="F544" i="3" s="1"/>
  <c r="F338" i="3"/>
  <c r="F329" i="3"/>
  <c r="F340" i="3" s="1"/>
  <c r="F386" i="3"/>
  <c r="F355" i="3"/>
  <c r="F507" i="3" s="1"/>
  <c r="F27" i="3"/>
  <c r="F269" i="4"/>
  <c r="J284" i="4"/>
  <c r="F631" i="3"/>
  <c r="F299" i="3"/>
  <c r="F308" i="3"/>
  <c r="F293" i="3"/>
  <c r="F497" i="3" s="1"/>
  <c r="F291" i="3"/>
  <c r="F289" i="3"/>
  <c r="F500" i="3" s="1"/>
  <c r="F278" i="3"/>
  <c r="J520" i="3"/>
  <c r="G632" i="3"/>
  <c r="G14" i="7" s="1"/>
  <c r="G577" i="3"/>
  <c r="F703" i="3"/>
  <c r="F719" i="3"/>
  <c r="F594" i="3"/>
  <c r="G269" i="4"/>
  <c r="G27" i="3"/>
  <c r="J296" i="4"/>
  <c r="H357" i="3"/>
  <c r="G273" i="4"/>
  <c r="G261" i="3"/>
  <c r="G535" i="3" s="1"/>
  <c r="G276" i="3"/>
  <c r="G290" i="3" s="1"/>
  <c r="G297" i="3"/>
  <c r="G296" i="3"/>
  <c r="G289" i="4"/>
  <c r="G73" i="4"/>
  <c r="G407" i="3"/>
  <c r="G212" i="3"/>
  <c r="G70" i="4"/>
  <c r="G210" i="3"/>
  <c r="G311" i="4"/>
  <c r="G104" i="3"/>
  <c r="G187" i="3"/>
  <c r="G142" i="3"/>
  <c r="G159" i="3"/>
  <c r="G164" i="3" s="1"/>
  <c r="F278" i="4"/>
  <c r="F262" i="3"/>
  <c r="F536" i="3" s="1"/>
  <c r="G284" i="3"/>
  <c r="G311" i="3"/>
  <c r="F457" i="3"/>
  <c r="F455" i="3"/>
  <c r="F458" i="3"/>
  <c r="F554" i="3" s="1"/>
  <c r="F456" i="3"/>
  <c r="F177" i="4"/>
  <c r="F302" i="4" s="1"/>
  <c r="F168" i="3"/>
  <c r="F139" i="3"/>
  <c r="F185" i="3"/>
  <c r="J103" i="3"/>
  <c r="F515" i="4"/>
  <c r="F612" i="3"/>
  <c r="H665" i="3"/>
  <c r="H707" i="3"/>
  <c r="H721" i="3"/>
  <c r="G703" i="3"/>
  <c r="G719" i="3"/>
  <c r="G594" i="3"/>
  <c r="H289" i="4"/>
  <c r="H73" i="4"/>
  <c r="H407" i="3"/>
  <c r="H70" i="4"/>
  <c r="H212" i="3"/>
  <c r="H311" i="4"/>
  <c r="H210" i="3"/>
  <c r="G103" i="3"/>
  <c r="G139" i="3"/>
  <c r="G185" i="3"/>
  <c r="G168" i="3"/>
  <c r="H103" i="3"/>
  <c r="G176" i="4"/>
  <c r="G177" i="4"/>
  <c r="G302" i="4" s="1"/>
  <c r="G299" i="4"/>
  <c r="G428" i="3"/>
  <c r="F297" i="4"/>
  <c r="F290" i="3"/>
  <c r="F306" i="3"/>
  <c r="F298" i="3"/>
  <c r="F307" i="3"/>
  <c r="F292" i="3"/>
  <c r="H428" i="3"/>
  <c r="E278" i="4"/>
  <c r="E262" i="3"/>
  <c r="E536" i="3" s="1"/>
  <c r="H447" i="3"/>
  <c r="H577" i="3"/>
  <c r="H632" i="3"/>
  <c r="H14" i="7" s="1"/>
  <c r="G515" i="4"/>
  <c r="G612" i="3"/>
  <c r="F289" i="4"/>
  <c r="F73" i="4"/>
  <c r="F407" i="3"/>
  <c r="F212" i="3"/>
  <c r="F70" i="4"/>
  <c r="F210" i="3"/>
  <c r="F311" i="4"/>
  <c r="J311" i="4" s="1"/>
  <c r="H159" i="4"/>
  <c r="H516" i="4"/>
  <c r="J104" i="3"/>
  <c r="H104" i="3"/>
  <c r="H159" i="3"/>
  <c r="H164" i="3" s="1"/>
  <c r="H187" i="3"/>
  <c r="H142" i="3"/>
  <c r="J308" i="4"/>
  <c r="H23" i="3"/>
  <c r="H30" i="3"/>
  <c r="H202" i="3"/>
  <c r="H184" i="3"/>
  <c r="H138" i="3"/>
  <c r="H539" i="3" s="1"/>
  <c r="F447" i="3"/>
  <c r="G527" i="4"/>
  <c r="G374" i="4"/>
  <c r="G375" i="4"/>
  <c r="G447" i="3"/>
  <c r="H297" i="3"/>
  <c r="H276" i="3"/>
  <c r="H296" i="3"/>
  <c r="E299" i="3"/>
  <c r="E291" i="3"/>
  <c r="E289" i="3"/>
  <c r="E278" i="3"/>
  <c r="E293" i="3"/>
  <c r="G457" i="3"/>
  <c r="G456" i="3"/>
  <c r="G458" i="3"/>
  <c r="G554" i="3" s="1"/>
  <c r="G455" i="3"/>
  <c r="F428" i="3"/>
  <c r="H169" i="3"/>
  <c r="H170" i="3" s="1"/>
  <c r="H141" i="3"/>
  <c r="G329" i="3"/>
  <c r="G340" i="3" s="1"/>
  <c r="G386" i="3"/>
  <c r="G355" i="3"/>
  <c r="G507" i="3" s="1"/>
  <c r="J507" i="3" s="1"/>
  <c r="G363" i="3"/>
  <c r="F394" i="3" l="1"/>
  <c r="F434" i="3"/>
  <c r="F522" i="3" s="1"/>
  <c r="F424" i="3"/>
  <c r="F451" i="3"/>
  <c r="F661" i="3"/>
  <c r="F613" i="3"/>
  <c r="F617" i="3"/>
  <c r="F686" i="3" s="1"/>
  <c r="F516" i="4"/>
  <c r="J516" i="4" s="1"/>
  <c r="F419" i="3"/>
  <c r="F401" i="3"/>
  <c r="F417" i="3"/>
  <c r="H75" i="4"/>
  <c r="H290" i="4"/>
  <c r="H76" i="4"/>
  <c r="H406" i="3"/>
  <c r="H463" i="3"/>
  <c r="G320" i="3"/>
  <c r="H380" i="4"/>
  <c r="H529" i="4"/>
  <c r="H417" i="3"/>
  <c r="G516" i="4"/>
  <c r="G651" i="3"/>
  <c r="G653" i="3" s="1"/>
  <c r="G584" i="3"/>
  <c r="F169" i="3"/>
  <c r="F170" i="3" s="1"/>
  <c r="F141" i="3"/>
  <c r="F30" i="3"/>
  <c r="G106" i="3" s="1"/>
  <c r="E535" i="3"/>
  <c r="J535" i="3" s="1"/>
  <c r="E264" i="3"/>
  <c r="E534" i="3" s="1"/>
  <c r="H617" i="3"/>
  <c r="H686" i="3" s="1"/>
  <c r="H311" i="3"/>
  <c r="H284" i="3"/>
  <c r="J273" i="4"/>
  <c r="G568" i="3"/>
  <c r="G203" i="3"/>
  <c r="G204" i="3"/>
  <c r="G199" i="3"/>
  <c r="G206" i="3" s="1"/>
  <c r="G144" i="3"/>
  <c r="G211" i="3"/>
  <c r="G189" i="3"/>
  <c r="G36" i="3"/>
  <c r="G200" i="3"/>
  <c r="G207" i="3" s="1"/>
  <c r="G205" i="3"/>
  <c r="G31" i="3"/>
  <c r="G487" i="3" s="1"/>
  <c r="G295" i="3"/>
  <c r="G498" i="3" s="1"/>
  <c r="G278" i="4"/>
  <c r="G262" i="3"/>
  <c r="G285" i="3" s="1"/>
  <c r="G537" i="3" s="1"/>
  <c r="G75" i="4"/>
  <c r="G76" i="4"/>
  <c r="G290" i="4"/>
  <c r="G406" i="3"/>
  <c r="G463" i="3"/>
  <c r="F320" i="3"/>
  <c r="F285" i="3"/>
  <c r="F537" i="3" s="1"/>
  <c r="F264" i="3"/>
  <c r="F377" i="4"/>
  <c r="F517" i="4" s="1"/>
  <c r="J517" i="4" s="1"/>
  <c r="F528" i="4"/>
  <c r="J528" i="4" s="1"/>
  <c r="F378" i="4"/>
  <c r="F76" i="4"/>
  <c r="F75" i="4"/>
  <c r="F290" i="4"/>
  <c r="J290" i="4" s="1"/>
  <c r="F463" i="3"/>
  <c r="F406" i="3"/>
  <c r="F427" i="3"/>
  <c r="F460" i="3"/>
  <c r="F384" i="3"/>
  <c r="F330" i="3"/>
  <c r="F349" i="3" s="1"/>
  <c r="F446" i="3"/>
  <c r="G409" i="3"/>
  <c r="G400" i="3"/>
  <c r="G399" i="3"/>
  <c r="G408" i="3"/>
  <c r="G338" i="3"/>
  <c r="J289" i="4"/>
  <c r="H455" i="3"/>
  <c r="H457" i="3" s="1"/>
  <c r="H449" i="3"/>
  <c r="G262" i="4"/>
  <c r="H358" i="3"/>
  <c r="H661" i="3"/>
  <c r="H613" i="3"/>
  <c r="H568" i="3"/>
  <c r="H204" i="3"/>
  <c r="H199" i="3"/>
  <c r="H206" i="3" s="1"/>
  <c r="H144" i="3"/>
  <c r="H211" i="3"/>
  <c r="H203" i="3"/>
  <c r="H31" i="3"/>
  <c r="H487" i="3" s="1"/>
  <c r="H189" i="3"/>
  <c r="H36" i="3"/>
  <c r="H106" i="3"/>
  <c r="H200" i="3"/>
  <c r="H207" i="3" s="1"/>
  <c r="H205" i="3"/>
  <c r="H295" i="3"/>
  <c r="H498" i="3" s="1"/>
  <c r="G460" i="3"/>
  <c r="G330" i="3"/>
  <c r="G349" i="3" s="1"/>
  <c r="G384" i="3"/>
  <c r="G347" i="3"/>
  <c r="G446" i="3"/>
  <c r="E262" i="4"/>
  <c r="E290" i="3"/>
  <c r="E297" i="4"/>
  <c r="J297" i="4" s="1"/>
  <c r="E292" i="3"/>
  <c r="E298" i="3"/>
  <c r="G377" i="4"/>
  <c r="G517" i="4" s="1"/>
  <c r="G528" i="4"/>
  <c r="G378" i="4"/>
  <c r="G141" i="3"/>
  <c r="G169" i="3"/>
  <c r="G170" i="3" s="1"/>
  <c r="G661" i="3"/>
  <c r="G613" i="3"/>
  <c r="H399" i="3"/>
  <c r="H408" i="3"/>
  <c r="F632" i="3"/>
  <c r="F14" i="7" s="1"/>
  <c r="F577" i="3"/>
  <c r="H174" i="3"/>
  <c r="H171" i="3"/>
  <c r="F469" i="3"/>
  <c r="J527" i="4"/>
  <c r="G356" i="3"/>
  <c r="G544" i="3" s="1"/>
  <c r="G721" i="3"/>
  <c r="G707" i="3"/>
  <c r="G665" i="3"/>
  <c r="G299" i="3"/>
  <c r="G308" i="3"/>
  <c r="G289" i="3"/>
  <c r="G500" i="3" s="1"/>
  <c r="G278" i="3"/>
  <c r="G293" i="3"/>
  <c r="G497" i="3" s="1"/>
  <c r="G291" i="3"/>
  <c r="G294" i="3"/>
  <c r="G499" i="3" s="1"/>
  <c r="J269" i="4"/>
  <c r="G307" i="3"/>
  <c r="F409" i="3"/>
  <c r="F400" i="3"/>
  <c r="F408" i="3"/>
  <c r="F399" i="3"/>
  <c r="H584" i="3"/>
  <c r="H651" i="3"/>
  <c r="H653" i="3" s="1"/>
  <c r="F721" i="3"/>
  <c r="F707" i="3"/>
  <c r="F665" i="3"/>
  <c r="H308" i="3"/>
  <c r="H299" i="3"/>
  <c r="H291" i="3"/>
  <c r="H278" i="3"/>
  <c r="H289" i="3"/>
  <c r="H500" i="3" s="1"/>
  <c r="H293" i="3"/>
  <c r="H497" i="3" s="1"/>
  <c r="H176" i="4"/>
  <c r="H299" i="4"/>
  <c r="J299" i="4" s="1"/>
  <c r="H177" i="4"/>
  <c r="F262" i="4"/>
  <c r="J515" i="4"/>
  <c r="E285" i="3"/>
  <c r="E537" i="3" s="1"/>
  <c r="H294" i="3"/>
  <c r="H499" i="3" s="1"/>
  <c r="J499" i="3" s="1"/>
  <c r="G171" i="3" l="1"/>
  <c r="G174" i="3"/>
  <c r="J278" i="4"/>
  <c r="F171" i="3"/>
  <c r="F174" i="3"/>
  <c r="H394" i="3"/>
  <c r="H434" i="3"/>
  <c r="H522" i="3" s="1"/>
  <c r="H424" i="3"/>
  <c r="H427" i="3" s="1"/>
  <c r="H401" i="3"/>
  <c r="J487" i="3"/>
  <c r="F291" i="4"/>
  <c r="F78" i="4"/>
  <c r="F651" i="3"/>
  <c r="F653" i="3" s="1"/>
  <c r="F584" i="3"/>
  <c r="G477" i="3"/>
  <c r="G448" i="3"/>
  <c r="H451" i="3"/>
  <c r="H615" i="3"/>
  <c r="H733" i="3"/>
  <c r="H660" i="3"/>
  <c r="H666" i="3" s="1"/>
  <c r="H700" i="3"/>
  <c r="H708" i="3" s="1"/>
  <c r="H711" i="3" s="1"/>
  <c r="H764" i="3" s="1"/>
  <c r="H695" i="3"/>
  <c r="G380" i="4"/>
  <c r="H538" i="4"/>
  <c r="G529" i="4"/>
  <c r="H469" i="3"/>
  <c r="H715" i="3"/>
  <c r="H465" i="3"/>
  <c r="H468" i="3" s="1"/>
  <c r="H472" i="3"/>
  <c r="H474" i="3" s="1"/>
  <c r="H475" i="3" s="1"/>
  <c r="H456" i="3"/>
  <c r="H320" i="3"/>
  <c r="H285" i="3"/>
  <c r="H537" i="3" s="1"/>
  <c r="J537" i="3" s="1"/>
  <c r="H291" i="4"/>
  <c r="H78" i="4"/>
  <c r="F431" i="3"/>
  <c r="F429" i="3"/>
  <c r="H400" i="3"/>
  <c r="G394" i="3"/>
  <c r="G434" i="3"/>
  <c r="G522" i="3" s="1"/>
  <c r="G424" i="3"/>
  <c r="G469" i="3"/>
  <c r="G451" i="3"/>
  <c r="G660" i="3"/>
  <c r="G666" i="3" s="1"/>
  <c r="G700" i="3"/>
  <c r="G708" i="3" s="1"/>
  <c r="G711" i="3" s="1"/>
  <c r="G764" i="3" s="1"/>
  <c r="G733" i="3"/>
  <c r="G734" i="3" s="1"/>
  <c r="G615" i="3"/>
  <c r="G695" i="3"/>
  <c r="J497" i="3"/>
  <c r="J500" i="3"/>
  <c r="F546" i="3"/>
  <c r="H654" i="3"/>
  <c r="H760" i="3"/>
  <c r="H570" i="3"/>
  <c r="G715" i="3"/>
  <c r="G472" i="3"/>
  <c r="G474" i="3" s="1"/>
  <c r="G475" i="3" s="1"/>
  <c r="G465" i="3"/>
  <c r="G468" i="3" s="1"/>
  <c r="H460" i="3"/>
  <c r="H330" i="3"/>
  <c r="H349" i="3" s="1"/>
  <c r="H384" i="3"/>
  <c r="H385" i="3" s="1"/>
  <c r="H514" i="3" s="1"/>
  <c r="H347" i="3"/>
  <c r="H356" i="3"/>
  <c r="H544" i="3" s="1"/>
  <c r="J544" i="3" s="1"/>
  <c r="G617" i="3"/>
  <c r="G686" i="3" s="1"/>
  <c r="H696" i="3"/>
  <c r="H444" i="3"/>
  <c r="H426" i="3"/>
  <c r="H337" i="3"/>
  <c r="H198" i="3"/>
  <c r="H208" i="3" s="1"/>
  <c r="H43" i="3"/>
  <c r="H37" i="3"/>
  <c r="H488" i="3" s="1"/>
  <c r="H531" i="3"/>
  <c r="H107" i="3"/>
  <c r="H147" i="3"/>
  <c r="H354" i="3"/>
  <c r="H387" i="3"/>
  <c r="H515" i="3" s="1"/>
  <c r="H464" i="3"/>
  <c r="H346" i="3"/>
  <c r="H192" i="3"/>
  <c r="G291" i="4"/>
  <c r="G78" i="4"/>
  <c r="H419" i="3"/>
  <c r="H538" i="3"/>
  <c r="H175" i="3"/>
  <c r="H173" i="3"/>
  <c r="H214" i="3" s="1"/>
  <c r="H177" i="3"/>
  <c r="H172" i="3"/>
  <c r="G546" i="3"/>
  <c r="G536" i="3"/>
  <c r="G264" i="3"/>
  <c r="F568" i="3"/>
  <c r="F204" i="3"/>
  <c r="F199" i="3"/>
  <c r="F206" i="3" s="1"/>
  <c r="F144" i="3"/>
  <c r="F203" i="3"/>
  <c r="F31" i="3"/>
  <c r="F487" i="3" s="1"/>
  <c r="F189" i="3"/>
  <c r="F211" i="3"/>
  <c r="F200" i="3"/>
  <c r="F207" i="3" s="1"/>
  <c r="F36" i="3"/>
  <c r="F205" i="3"/>
  <c r="F295" i="3"/>
  <c r="F498" i="3" s="1"/>
  <c r="J106" i="3"/>
  <c r="F380" i="4"/>
  <c r="G538" i="4"/>
  <c r="J538" i="4" s="1"/>
  <c r="F529" i="4"/>
  <c r="J529" i="4" s="1"/>
  <c r="H530" i="4"/>
  <c r="H537" i="4"/>
  <c r="H302" i="4"/>
  <c r="J302" i="4" s="1"/>
  <c r="H262" i="4"/>
  <c r="J262" i="4" s="1"/>
  <c r="G760" i="3"/>
  <c r="G654" i="3"/>
  <c r="G570" i="3"/>
  <c r="H278" i="4"/>
  <c r="H262" i="3"/>
  <c r="F347" i="3"/>
  <c r="F534" i="3"/>
  <c r="F313" i="3"/>
  <c r="J498" i="3"/>
  <c r="F477" i="3"/>
  <c r="F448" i="3"/>
  <c r="G464" i="3"/>
  <c r="G444" i="3"/>
  <c r="G696" i="3"/>
  <c r="G426" i="3"/>
  <c r="G147" i="3"/>
  <c r="G43" i="3"/>
  <c r="G37" i="3"/>
  <c r="G488" i="3" s="1"/>
  <c r="G531" i="3"/>
  <c r="G198" i="3"/>
  <c r="G208" i="3" s="1"/>
  <c r="G354" i="3"/>
  <c r="G337" i="3"/>
  <c r="G385" i="3"/>
  <c r="G514" i="3" s="1"/>
  <c r="G362" i="3"/>
  <c r="G387" i="3"/>
  <c r="G515" i="3" s="1"/>
  <c r="G346" i="3"/>
  <c r="G192" i="3"/>
  <c r="G419" i="3"/>
  <c r="G401" i="3"/>
  <c r="G417" i="3"/>
  <c r="H409" i="3"/>
  <c r="F715" i="3"/>
  <c r="F472" i="3"/>
  <c r="F474" i="3" s="1"/>
  <c r="F475" i="3" s="1"/>
  <c r="F465" i="3"/>
  <c r="F468" i="3" s="1"/>
  <c r="G24" i="7" l="1"/>
  <c r="G717" i="3"/>
  <c r="F464" i="3"/>
  <c r="F444" i="3"/>
  <c r="F385" i="3"/>
  <c r="F514" i="3" s="1"/>
  <c r="J514" i="3" s="1"/>
  <c r="F43" i="3"/>
  <c r="F426" i="3"/>
  <c r="F696" i="3"/>
  <c r="F37" i="3"/>
  <c r="F488" i="3" s="1"/>
  <c r="J488" i="3" s="1"/>
  <c r="F531" i="3"/>
  <c r="J531" i="3" s="1"/>
  <c r="F147" i="3"/>
  <c r="F337" i="3"/>
  <c r="F198" i="3"/>
  <c r="F208" i="3" s="1"/>
  <c r="F354" i="3"/>
  <c r="F387" i="3"/>
  <c r="F515" i="3" s="1"/>
  <c r="F346" i="3"/>
  <c r="F192" i="3"/>
  <c r="G670" i="3"/>
  <c r="G687" i="3" s="1"/>
  <c r="G762" i="3" s="1"/>
  <c r="G763" i="3"/>
  <c r="H466" i="3"/>
  <c r="H467" i="3"/>
  <c r="H476" i="3"/>
  <c r="G467" i="3"/>
  <c r="G466" i="3"/>
  <c r="G476" i="3"/>
  <c r="H24" i="7"/>
  <c r="H717" i="3"/>
  <c r="H477" i="3"/>
  <c r="H448" i="3"/>
  <c r="H359" i="3"/>
  <c r="H360" i="3"/>
  <c r="G431" i="3"/>
  <c r="G429" i="3"/>
  <c r="G427" i="3"/>
  <c r="J522" i="3"/>
  <c r="F530" i="4"/>
  <c r="F537" i="4"/>
  <c r="G292" i="4"/>
  <c r="G81" i="4"/>
  <c r="G334" i="3"/>
  <c r="G503" i="3" s="1"/>
  <c r="G80" i="4"/>
  <c r="G393" i="3"/>
  <c r="G519" i="3" s="1"/>
  <c r="G85" i="3"/>
  <c r="G405" i="3"/>
  <c r="G411" i="3" s="1"/>
  <c r="G547" i="3" s="1"/>
  <c r="G120" i="4"/>
  <c r="G398" i="3"/>
  <c r="G402" i="3" s="1"/>
  <c r="H414" i="3"/>
  <c r="H341" i="3"/>
  <c r="H350" i="3"/>
  <c r="H342" i="3"/>
  <c r="H209" i="3"/>
  <c r="H44" i="3"/>
  <c r="H489" i="3" s="1"/>
  <c r="H50" i="3"/>
  <c r="H546" i="3"/>
  <c r="J546" i="3" s="1"/>
  <c r="F538" i="3"/>
  <c r="J538" i="3" s="1"/>
  <c r="F173" i="3"/>
  <c r="F214" i="3" s="1"/>
  <c r="F172" i="3"/>
  <c r="G107" i="3"/>
  <c r="H536" i="3"/>
  <c r="H264" i="3"/>
  <c r="F760" i="3"/>
  <c r="J760" i="3" s="1"/>
  <c r="F570" i="3"/>
  <c r="F654" i="3"/>
  <c r="G757" i="3"/>
  <c r="G619" i="3"/>
  <c r="H450" i="3"/>
  <c r="H763" i="3"/>
  <c r="H670" i="3"/>
  <c r="H687" i="3" s="1"/>
  <c r="H762" i="3" s="1"/>
  <c r="J107" i="3"/>
  <c r="G534" i="3"/>
  <c r="G313" i="3"/>
  <c r="G530" i="4"/>
  <c r="G537" i="4"/>
  <c r="F292" i="4"/>
  <c r="J292" i="4" s="1"/>
  <c r="F405" i="3"/>
  <c r="F411" i="3" s="1"/>
  <c r="F547" i="3" s="1"/>
  <c r="F398" i="3"/>
  <c r="F402" i="3" s="1"/>
  <c r="F545" i="3" s="1"/>
  <c r="F80" i="4"/>
  <c r="F81" i="4"/>
  <c r="F334" i="3"/>
  <c r="F503" i="3" s="1"/>
  <c r="F393" i="3"/>
  <c r="F519" i="3" s="1"/>
  <c r="F85" i="3"/>
  <c r="F120" i="4"/>
  <c r="G450" i="3"/>
  <c r="H492" i="3"/>
  <c r="H213" i="3"/>
  <c r="J515" i="3"/>
  <c r="H576" i="3"/>
  <c r="H13" i="7" s="1"/>
  <c r="H757" i="3"/>
  <c r="H619" i="3"/>
  <c r="H431" i="3"/>
  <c r="H429" i="3"/>
  <c r="G360" i="3"/>
  <c r="G359" i="3"/>
  <c r="H446" i="3"/>
  <c r="G342" i="3"/>
  <c r="G414" i="3"/>
  <c r="G350" i="3"/>
  <c r="G341" i="3"/>
  <c r="G365" i="3"/>
  <c r="G50" i="3"/>
  <c r="G364" i="3"/>
  <c r="G209" i="3"/>
  <c r="G44" i="3"/>
  <c r="G489" i="3" s="1"/>
  <c r="G697" i="3"/>
  <c r="G714" i="3" s="1"/>
  <c r="G722" i="3" s="1"/>
  <c r="G765" i="3" s="1"/>
  <c r="F660" i="3"/>
  <c r="F666" i="3" s="1"/>
  <c r="F700" i="3"/>
  <c r="F708" i="3" s="1"/>
  <c r="F711" i="3" s="1"/>
  <c r="F764" i="3" s="1"/>
  <c r="J764" i="3" s="1"/>
  <c r="F733" i="3"/>
  <c r="F734" i="3" s="1"/>
  <c r="F615" i="3"/>
  <c r="F695" i="3"/>
  <c r="F697" i="3" s="1"/>
  <c r="F714" i="3" s="1"/>
  <c r="G761" i="3"/>
  <c r="G576" i="3"/>
  <c r="G13" i="7" s="1"/>
  <c r="J536" i="3"/>
  <c r="H81" i="4"/>
  <c r="H292" i="4"/>
  <c r="H334" i="3"/>
  <c r="H503" i="3" s="1"/>
  <c r="H393" i="3"/>
  <c r="H519" i="3" s="1"/>
  <c r="H85" i="3"/>
  <c r="H120" i="4"/>
  <c r="H80" i="4"/>
  <c r="H405" i="3"/>
  <c r="H411" i="3" s="1"/>
  <c r="H547" i="3" s="1"/>
  <c r="H398" i="3"/>
  <c r="H402" i="3" s="1"/>
  <c r="H545" i="3" s="1"/>
  <c r="H697" i="3"/>
  <c r="H714" i="3" s="1"/>
  <c r="H722" i="3" s="1"/>
  <c r="H765" i="3" s="1"/>
  <c r="J291" i="4"/>
  <c r="G538" i="3"/>
  <c r="G175" i="3"/>
  <c r="G173" i="3"/>
  <c r="G214" i="3" s="1"/>
  <c r="G177" i="3"/>
  <c r="G172" i="3"/>
  <c r="G504" i="3" l="1"/>
  <c r="G541" i="3"/>
  <c r="G176" i="3"/>
  <c r="F492" i="3"/>
  <c r="F213" i="3"/>
  <c r="G505" i="3"/>
  <c r="G542" i="3"/>
  <c r="H761" i="3"/>
  <c r="F757" i="3"/>
  <c r="J757" i="3" s="1"/>
  <c r="F619" i="3"/>
  <c r="G425" i="3"/>
  <c r="G416" i="3"/>
  <c r="G758" i="3"/>
  <c r="G621" i="3"/>
  <c r="G759" i="3" s="1"/>
  <c r="H543" i="3"/>
  <c r="H506" i="3"/>
  <c r="H445" i="3"/>
  <c r="H553" i="3" s="1"/>
  <c r="J489" i="3"/>
  <c r="J503" i="3"/>
  <c r="F576" i="3"/>
  <c r="F13" i="7" s="1"/>
  <c r="F467" i="3"/>
  <c r="F466" i="3"/>
  <c r="F476" i="3"/>
  <c r="F122" i="4"/>
  <c r="F294" i="4"/>
  <c r="H505" i="3"/>
  <c r="H542" i="3"/>
  <c r="J537" i="4"/>
  <c r="F360" i="3"/>
  <c r="F359" i="3"/>
  <c r="F24" i="7"/>
  <c r="F717" i="3"/>
  <c r="F450" i="3"/>
  <c r="H534" i="3"/>
  <c r="J534" i="3" s="1"/>
  <c r="H313" i="3"/>
  <c r="H541" i="3"/>
  <c r="H504" i="3"/>
  <c r="J530" i="4"/>
  <c r="G526" i="3"/>
  <c r="G478" i="3"/>
  <c r="G556" i="3" s="1"/>
  <c r="G122" i="4"/>
  <c r="G294" i="4"/>
  <c r="H478" i="3"/>
  <c r="H556" i="3" s="1"/>
  <c r="H526" i="3"/>
  <c r="F722" i="3"/>
  <c r="F765" i="3" s="1"/>
  <c r="J765" i="3" s="1"/>
  <c r="H525" i="3"/>
  <c r="H73" i="3"/>
  <c r="H440" i="3"/>
  <c r="H524" i="3" s="1"/>
  <c r="H533" i="3"/>
  <c r="F342" i="3"/>
  <c r="F50" i="3"/>
  <c r="F44" i="3"/>
  <c r="F489" i="3" s="1"/>
  <c r="F350" i="3"/>
  <c r="F341" i="3"/>
  <c r="F209" i="3"/>
  <c r="F414" i="3"/>
  <c r="J519" i="3"/>
  <c r="G543" i="3"/>
  <c r="G445" i="3"/>
  <c r="G553" i="3" s="1"/>
  <c r="G506" i="3"/>
  <c r="B367" i="3"/>
  <c r="G533" i="3"/>
  <c r="G440" i="3"/>
  <c r="G524" i="3" s="1"/>
  <c r="G73" i="3"/>
  <c r="H758" i="3"/>
  <c r="H621" i="3"/>
  <c r="H759" i="3" s="1"/>
  <c r="H425" i="3"/>
  <c r="H416" i="3"/>
  <c r="J547" i="3"/>
  <c r="H122" i="4"/>
  <c r="H294" i="4"/>
  <c r="J492" i="3"/>
  <c r="F670" i="3"/>
  <c r="F687" i="3" s="1"/>
  <c r="F762" i="3" s="1"/>
  <c r="J762" i="3" s="1"/>
  <c r="F763" i="3"/>
  <c r="J763" i="3" s="1"/>
  <c r="G492" i="3"/>
  <c r="H176" i="3"/>
  <c r="G213" i="3"/>
  <c r="G545" i="3"/>
  <c r="J545" i="3" s="1"/>
  <c r="G525" i="3"/>
  <c r="H550" i="3" l="1"/>
  <c r="H433" i="3"/>
  <c r="H521" i="3" s="1"/>
  <c r="G418" i="3"/>
  <c r="J524" i="3"/>
  <c r="J504" i="3"/>
  <c r="H437" i="3"/>
  <c r="H81" i="3"/>
  <c r="H216" i="3"/>
  <c r="H79" i="3"/>
  <c r="H491" i="3" s="1"/>
  <c r="J550" i="4"/>
  <c r="H418" i="3"/>
  <c r="F425" i="3"/>
  <c r="F416" i="3"/>
  <c r="F506" i="3"/>
  <c r="J506" i="3" s="1"/>
  <c r="F543" i="3"/>
  <c r="J543" i="3" s="1"/>
  <c r="F445" i="3"/>
  <c r="F553" i="3" s="1"/>
  <c r="J553" i="3" s="1"/>
  <c r="F761" i="3"/>
  <c r="J761" i="3" s="1"/>
  <c r="J294" i="4"/>
  <c r="J313" i="4" s="1"/>
  <c r="J551" i="4" s="1"/>
  <c r="J53" i="2" s="1"/>
  <c r="F541" i="3"/>
  <c r="J541" i="3" s="1"/>
  <c r="F504" i="3"/>
  <c r="F505" i="3"/>
  <c r="J505" i="3" s="1"/>
  <c r="F542" i="3"/>
  <c r="J542" i="3" s="1"/>
  <c r="F526" i="3"/>
  <c r="J526" i="3" s="1"/>
  <c r="F478" i="3"/>
  <c r="F556" i="3" s="1"/>
  <c r="J556" i="3" s="1"/>
  <c r="G437" i="3"/>
  <c r="G81" i="3"/>
  <c r="G216" i="3"/>
  <c r="G79" i="3"/>
  <c r="G491" i="3" s="1"/>
  <c r="G433" i="3"/>
  <c r="G521" i="3" s="1"/>
  <c r="G550" i="3"/>
  <c r="F533" i="3"/>
  <c r="J533" i="3" s="1"/>
  <c r="F440" i="3"/>
  <c r="F524" i="3" s="1"/>
  <c r="F73" i="3"/>
  <c r="F525" i="3"/>
  <c r="J525" i="3" s="1"/>
  <c r="F758" i="3"/>
  <c r="J758" i="3" s="1"/>
  <c r="F621" i="3"/>
  <c r="F759" i="3" s="1"/>
  <c r="J759" i="3" s="1"/>
  <c r="F433" i="3" l="1"/>
  <c r="F521" i="3" s="1"/>
  <c r="F550" i="3"/>
  <c r="J550" i="3" s="1"/>
  <c r="F437" i="3"/>
  <c r="F81" i="3"/>
  <c r="F216" i="3"/>
  <c r="F79" i="3"/>
  <c r="F491" i="3" s="1"/>
  <c r="F418" i="3"/>
  <c r="J521" i="3"/>
  <c r="H768" i="3"/>
  <c r="G768" i="3"/>
  <c r="F768" i="3"/>
  <c r="H532" i="3"/>
  <c r="H435" i="3"/>
  <c r="H420" i="3"/>
  <c r="H421" i="3" s="1"/>
  <c r="H83" i="3"/>
  <c r="H470" i="3"/>
  <c r="H471" i="3" s="1"/>
  <c r="H215" i="3"/>
  <c r="H392" i="3"/>
  <c r="H518" i="3" s="1"/>
  <c r="H452" i="3"/>
  <c r="H436" i="3"/>
  <c r="G452" i="3"/>
  <c r="G453" i="3" s="1"/>
  <c r="G552" i="3" s="1"/>
  <c r="G532" i="3"/>
  <c r="G436" i="3"/>
  <c r="G420" i="3"/>
  <c r="G421" i="3" s="1"/>
  <c r="G215" i="3"/>
  <c r="G392" i="3"/>
  <c r="G518" i="3" s="1"/>
  <c r="G83" i="3"/>
  <c r="G470" i="3"/>
  <c r="G471" i="3" s="1"/>
  <c r="G555" i="3" s="1"/>
  <c r="G435" i="3"/>
  <c r="J491" i="3"/>
  <c r="G551" i="3" l="1"/>
  <c r="G523" i="3"/>
  <c r="G438" i="3"/>
  <c r="G549" i="3" s="1"/>
  <c r="F452" i="3"/>
  <c r="F453" i="3" s="1"/>
  <c r="F436" i="3"/>
  <c r="F420" i="3"/>
  <c r="F421" i="3" s="1"/>
  <c r="F532" i="3"/>
  <c r="J532" i="3" s="1"/>
  <c r="F215" i="3"/>
  <c r="F435" i="3"/>
  <c r="F470" i="3"/>
  <c r="F471" i="3" s="1"/>
  <c r="F392" i="3"/>
  <c r="F518" i="3" s="1"/>
  <c r="J518" i="3" s="1"/>
  <c r="F83" i="3"/>
  <c r="H548" i="3"/>
  <c r="J768" i="3"/>
  <c r="J770" i="3" s="1"/>
  <c r="H458" i="3"/>
  <c r="H554" i="3" s="1"/>
  <c r="J554" i="3" s="1"/>
  <c r="H453" i="3"/>
  <c r="H552" i="3" s="1"/>
  <c r="H555" i="3"/>
  <c r="H551" i="3"/>
  <c r="H523" i="3"/>
  <c r="H438" i="3"/>
  <c r="H549" i="3" s="1"/>
  <c r="G548" i="3"/>
  <c r="F555" i="3" l="1"/>
  <c r="J555" i="3" s="1"/>
  <c r="F551" i="3"/>
  <c r="J551" i="3" s="1"/>
  <c r="F523" i="3"/>
  <c r="F438" i="3"/>
  <c r="F549" i="3" s="1"/>
  <c r="J549" i="3" s="1"/>
  <c r="J523" i="3"/>
  <c r="F548" i="3"/>
  <c r="J548" i="3" s="1"/>
  <c r="F552" i="3"/>
  <c r="J552" i="3" s="1"/>
  <c r="J557" i="3"/>
  <c r="J771" i="3" s="1"/>
  <c r="J55" i="2" s="1"/>
  <c r="J57" i="2" s="1"/>
</calcChain>
</file>

<file path=xl/sharedStrings.xml><?xml version="1.0" encoding="utf-8"?>
<sst xmlns="http://schemas.openxmlformats.org/spreadsheetml/2006/main" count="6139" uniqueCount="2297">
  <si>
    <t>Rheinmetall</t>
  </si>
  <si>
    <t>Calculation workbook</t>
  </si>
  <si>
    <t>Bocconi</t>
  </si>
  <si>
    <t>Milano, italy</t>
  </si>
  <si>
    <t>Updated 01/10/2026</t>
  </si>
  <si>
    <t>x</t>
  </si>
  <si>
    <t>Start here</t>
  </si>
  <si>
    <t>Frontpage</t>
  </si>
  <si>
    <t>Cover</t>
  </si>
  <si>
    <t>Decisions to revisit (temporary tab)</t>
  </si>
  <si>
    <t>Choices made in Block 2 that we may reconsider; remove before hand-in</t>
  </si>
  <si>
    <t>Log — issue log (I-01 to I-52 Block 1; I-53 onwards Block 2)</t>
  </si>
  <si>
    <t>One record per conflict or analytical issue</t>
  </si>
  <si>
    <t>Block 1 — reformulation (Module A, Sessions 2–6) — tab 'Reformation &amp; Profitability'</t>
  </si>
  <si>
    <t>Reformulated income statement</t>
  </si>
  <si>
    <t>R1–R11</t>
  </si>
  <si>
    <t>Core [A], non-core [B], financial [C], unusual items; value: core operating income [A]</t>
  </si>
  <si>
    <t>EBITDA</t>
  </si>
  <si>
    <t>R3–R4</t>
  </si>
  <si>
    <t>Before pension interest, D&amp;A and unusual items</t>
  </si>
  <si>
    <t>Unusual items</t>
  </si>
  <si>
    <t>R9</t>
  </si>
  <si>
    <t>Every unusual item with its criterion; value: total unusual items</t>
  </si>
  <si>
    <t>Operating cost structure — three lenses</t>
  </si>
  <si>
    <t>C1–C5</t>
  </si>
  <si>
    <t>By function (n.d.), external vs internal, variable vs fixed</t>
  </si>
  <si>
    <t>Managerial balance sheet</t>
  </si>
  <si>
    <t>B1–B9</t>
  </si>
  <si>
    <t>NOWC, NOIC, non-operating assets, NFP, NFO; value: net operating invested capital</t>
  </si>
  <si>
    <t>Net operating working capital (NOWC)</t>
  </si>
  <si>
    <t>B4</t>
  </si>
  <si>
    <t>Net financial position (NFP)</t>
  </si>
  <si>
    <t>B6</t>
  </si>
  <si>
    <t>Negative = net liquidity</t>
  </si>
  <si>
    <t>ROI and ROE decompositions</t>
  </si>
  <si>
    <t>P0–P8, E1–E7</t>
  </si>
  <si>
    <t>Value: ROE = comprehensive income / net equity</t>
  </si>
  <si>
    <t>Ratio summary and material-change screen</t>
  </si>
  <si>
    <t>S0–S2</t>
  </si>
  <si>
    <t>Three-year comparison with slide thresholds</t>
  </si>
  <si>
    <t>Checks — Block 1</t>
  </si>
  <si>
    <t>Status of the Block 1 controls</t>
  </si>
  <si>
    <t>Block 2 — cash flow (Module B, Sessions 7–9) — tab 'Reformation &amp; Profitability'</t>
  </si>
  <si>
    <t>Reformulated cash flow statement — change in cash</t>
  </si>
  <si>
    <t>K10–K16</t>
  </si>
  <si>
    <t>OCF, CAPEX, OFCF and other cash flows; value: OFCF before taxes</t>
  </si>
  <si>
    <t>Operating cash flow (OCF), before taxes</t>
  </si>
  <si>
    <t>K12</t>
  </si>
  <si>
    <t>EBITDA ± ΔNOWC; derived from the reported CFOA</t>
  </si>
  <si>
    <t>From CFOA to OCF (CFOA ≠ OCF)</t>
  </si>
  <si>
    <t>K17</t>
  </si>
  <si>
    <t>Interest, taxes, dividends and unusual items moved out of CFOA</t>
  </si>
  <si>
    <t>ΔNOWC: cash basis vs managerial balance sheet</t>
  </si>
  <si>
    <t>K11</t>
  </si>
  <si>
    <t>Value: non-cash changes in NOWC</t>
  </si>
  <si>
    <t>Unusual items and sustainable OCF</t>
  </si>
  <si>
    <t>K18–K21</t>
  </si>
  <si>
    <t>Value: sustainable OCF, continuing operations (indicative)</t>
  </si>
  <si>
    <t>Reformulated cash flow statement — change in NFP</t>
  </si>
  <si>
    <t>K22–K24</t>
  </si>
  <si>
    <t>Three-case NFP bridge; value: cash generated</t>
  </si>
  <si>
    <t>Free cash flow to equity (FCFE)</t>
  </si>
  <si>
    <t>K25–K27</t>
  </si>
  <si>
    <t>Unlevered FCF and the two finance views; value: FCFE</t>
  </si>
  <si>
    <t>CAPEX hidden in business combinations</t>
  </si>
  <si>
    <t>K28</t>
  </si>
  <si>
    <t>Value: adjusted OFCF</t>
  </si>
  <si>
    <t>Placeholders: Sessions 10–12 (ratios, creative reporting, KPIs and peers)</t>
  </si>
  <si>
    <t>To be built when the slides are uploaded</t>
  </si>
  <si>
    <t>Checks — Block 2</t>
  </si>
  <si>
    <t>Status of the Module B controls</t>
  </si>
  <si>
    <t>Inputs — figures exactly as reported, with sources</t>
  </si>
  <si>
    <t>Reported Financials — income statement</t>
  </si>
  <si>
    <t>Block 1</t>
  </si>
  <si>
    <t>Reported Financials — balance sheet</t>
  </si>
  <si>
    <t>Reported Financials — notes to the balance sheet</t>
  </si>
  <si>
    <t>Other assets, financial debts, other liabilities, accumulated depreciation</t>
  </si>
  <si>
    <t>Reported Financials — how the cash flow statement is presented (K1–K4)</t>
  </si>
  <si>
    <t>K1–K4</t>
  </si>
  <si>
    <t>IAS 7 version, method, perimeter, where interest, dividends and taxes sit</t>
  </si>
  <si>
    <t>Reported Financials — cash flow statement (IAS 7, complete)</t>
  </si>
  <si>
    <t>Value: cash flow from operating activities</t>
  </si>
  <si>
    <t>Reported Financials — discontinued operations (note 8)</t>
  </si>
  <si>
    <t>Reported Financials — business combinations (note 7)</t>
  </si>
  <si>
    <t>Reported Financials — §44A reconciliation of financing liabilities (note 29)</t>
  </si>
  <si>
    <t>Reported Financials — provisions for structural measures (note 28)</t>
  </si>
  <si>
    <t>Input financials — source of every number</t>
  </si>
  <si>
    <t>Same rows as Reported Financials; report and printed page</t>
  </si>
  <si>
    <t>Checks</t>
  </si>
  <si>
    <t>Reported Financials — overall status (Block 1 + Block 2)</t>
  </si>
  <si>
    <t>Input financials — every number has a source</t>
  </si>
  <si>
    <t>Reformation &amp; Profitability — overall status (Block 1 + Block 2)</t>
  </si>
  <si>
    <t>Overall status</t>
  </si>
  <si>
    <t>END</t>
  </si>
  <si>
    <t>Historicals</t>
  </si>
  <si>
    <t>(€ million)</t>
  </si>
  <si>
    <t>Rule</t>
  </si>
  <si>
    <t>2022A</t>
  </si>
  <si>
    <t>Where the number comes from / why (course slide)</t>
  </si>
  <si>
    <t>Fiscal year end date</t>
  </si>
  <si>
    <t>Reformulated Income Statement</t>
  </si>
  <si>
    <t>Net revenues</t>
  </si>
  <si>
    <t>R1</t>
  </si>
  <si>
    <t>Sales (IS). Slide 3: starting point of the roadmap</t>
  </si>
  <si>
    <t xml:space="preserve">  Growth %</t>
  </si>
  <si>
    <t>Change in inventories of finished and unfinished products</t>
  </si>
  <si>
    <t>R2</t>
  </si>
  <si>
    <t>Note 10. Session 3 slide 6: production for inventory is part of the value of production</t>
  </si>
  <si>
    <t>Own work capitalised</t>
  </si>
  <si>
    <t>Note 10. Session 3 slide 6: internal construction of assets</t>
  </si>
  <si>
    <t>Value of production</t>
  </si>
  <si>
    <t>Session 3 slide 6</t>
  </si>
  <si>
    <t>Raw materials, supplies and merchandise</t>
  </si>
  <si>
    <t>R3</t>
  </si>
  <si>
    <t>Note 12. External cost (Session 3 slide 6)</t>
  </si>
  <si>
    <t>Purchased services</t>
  </si>
  <si>
    <t>Note 12. External cost</t>
  </si>
  <si>
    <t>Other services purchased from third parties (note 15: maintenance, IT, distribution &amp; advertising, administration, travel, insurance, audit/legal/consulting, rents, licences)</t>
  </si>
  <si>
    <t>External cost = resources bought from third parties (Session 3 slide 6), classified component by component. Excl. acquisition transaction costs (unusual, R9)</t>
  </si>
  <si>
    <t>Rounding in note breakdowns (materials; inventory change and own work)</t>
  </si>
  <si>
    <t>Reported Financials rounding lines of notes 10 and 12 (the components, not the face lines, are used above)</t>
  </si>
  <si>
    <t>Added value</t>
  </si>
  <si>
    <t>Session 3 slides 6–7: value of production − materials and services purchased from third parties</t>
  </si>
  <si>
    <t xml:space="preserve">  Added value / value of production</t>
  </si>
  <si>
    <t>Other operating income, recurring (not netted against external costs)</t>
  </si>
  <si>
    <t>Note 11 excl. reversal of impairment and the estimated 2025 insurance refund (unusual, R9): refunds, grants, provision reversals, scrap, rentals, disposal gains. Not a reduction of purchases (slide 6), so shown after added value</t>
  </si>
  <si>
    <t>Other operating costs that are not purchases (provisions, warranties, receivable write-downs, disposal losses, other taxes, miscellaneous)</t>
  </si>
  <si>
    <t>Note 15. Not purchases from suppliers (slide 6); provisions kept in operating costs before EBITDA (slide 8, option 1). Miscellaneous: content not disclosed</t>
  </si>
  <si>
    <t>Rounding difference to the printed EBIT</t>
  </si>
  <si>
    <t>Reported Financials rounding line above EBIT (printed EBIT − sum of printed lines)</t>
  </si>
  <si>
    <t>Personnel costs, excl. restructuring costs</t>
  </si>
  <si>
    <t>R4</t>
  </si>
  <si>
    <t>Note 13. Internal cost (Session 3 slide 6). Restructuring special items removed (u7d): note 28 says structural measures are termination indemnities and partial retirement → personnel (assumption: the IS line is not disclosed)</t>
  </si>
  <si>
    <t>Incidental personnel costs (note 15)</t>
  </si>
  <si>
    <t>Personnel-related, not a purchase of external resources: grouped with personnel (analyst classification)</t>
  </si>
  <si>
    <t>Session 3 slide 7: added value − personnel (and the other operating items above), before interest, D&amp;A</t>
  </si>
  <si>
    <t xml:space="preserve">  EBITDA margin</t>
  </si>
  <si>
    <t>Net interest on pensions (reclassified from financial expenses; group total incl. discontinued operations)</t>
  </si>
  <si>
    <t>Note 27. Operating because pensions are operating liabilities (slide 3; Session 4 slide 8), but an interest component: shown below EBITDA (slide 7: EBITDA is before interest)</t>
  </si>
  <si>
    <t>Depreciation and amortisation, recurring</t>
  </si>
  <si>
    <t>R5</t>
  </si>
  <si>
    <t>Note 14 total excl. impairment losses (convention: unusual under the recurrence test, R9; Session 3 slide 8 option 2)</t>
  </si>
  <si>
    <t xml:space="preserve">  of which amortisation from purchase price allocations</t>
  </si>
  <si>
    <t>Note 14 (memo, included above)</t>
  </si>
  <si>
    <t>Core operating income [A]</t>
  </si>
  <si>
    <t>Slide 3: core operating income from sales</t>
  </si>
  <si>
    <t xml:space="preserve">  Core operating margin (ROS)</t>
  </si>
  <si>
    <t>Result from equity-accounted investments, excl. disposal gains</t>
  </si>
  <si>
    <t>R6</t>
  </si>
  <si>
    <t>IS line excl. gains on sale of shares (unusual, R9). Slide 3: income from associates is non-core operating</t>
  </si>
  <si>
    <t>Other financial result, excl. remeasurement gains</t>
  </si>
  <si>
    <t>IS line inside EBIT, less the blackned step-acquisition remeasurement gain (unusual, R9). Income on non-operating financial assets → non-core (slide 3); composition otherwise not disclosed</t>
  </si>
  <si>
    <t>Non-core operating income [B]</t>
  </si>
  <si>
    <t>Slide 3 [B]</t>
  </si>
  <si>
    <t>Operating income [A+B]</t>
  </si>
  <si>
    <t>Slide 3</t>
  </si>
  <si>
    <t xml:space="preserve">  Operating margin</t>
  </si>
  <si>
    <t>Financial income (interest income)</t>
  </si>
  <si>
    <t>R7</t>
  </si>
  <si>
    <t>IS. Interest on cash and short-term financial assets (slide 3 [C])</t>
  </si>
  <si>
    <t>Financial expenses (interest expenses excl. pension interest)</t>
  </si>
  <si>
    <t>IS less note 27 pension interest. Includes lease interest and IFRS 15 financing interest (not disclosed)</t>
  </si>
  <si>
    <t>Net financial expenses [C]</t>
  </si>
  <si>
    <t>Slide 3 and slide 4 (matched with the net financial position)</t>
  </si>
  <si>
    <t>Income before unusual items and taxes [A+B+C]</t>
  </si>
  <si>
    <t>Unusual items (before tax)</t>
  </si>
  <si>
    <t>Slides 15–26: criteria 1–5; examples on slide 21; ASICS layout on slide 27</t>
  </si>
  <si>
    <t xml:space="preserve">  From the income statement:</t>
  </si>
  <si>
    <t xml:space="preserve">    Reversal of impairment of assets</t>
  </si>
  <si>
    <t>Note 11. Criterion: complex valuation / occasional (slides 21, 25)</t>
  </si>
  <si>
    <t xml:space="preserve">    Impairment losses</t>
  </si>
  <si>
    <t>Note 14. Occasional impairment (slide 21 '?'): not present in every year → unusual</t>
  </si>
  <si>
    <t xml:space="preserve">    Gains on sale and fair-value measurement of shares in investments (Shriram 2023: 31 + 22; AIM 2025)</t>
  </si>
  <si>
    <t>Management report. Criterion: infrequent (ASICS: gains on sales of investments)</t>
  </si>
  <si>
    <t xml:space="preserve">    Fair-value remeasurement gains in other financial result (Shriram 2023; blackned step acquisition 2025)</t>
  </si>
  <si>
    <t>AR2023 p.226 (Shriram 5); acquisition note, AR2025 p.214 (blackned 15). Criterion 5: fair-value remeasurement (slide 25, IFRS 3) and criterion 4: infrequent. Management also treats it as a special item</t>
  </si>
  <si>
    <t xml:space="preserve">    Acquisition transaction costs (Loc Performance)</t>
  </si>
  <si>
    <t>Management report special items, AR2025 p.55. Criterion 3/4: costs of a business combination, unusual in nature and infrequent (as AB InBev and Danone, slides 16–19)</t>
  </si>
  <si>
    <t xml:space="preserve">    Restructuring costs (management special items)</t>
  </si>
  <si>
    <t>Management report special items (AR2024 p.52, AR2025 p.55). Session 2 slide 31: restructuring charges are the named example of an account unusual for its full amount → overrides the recurrence test (I-46)</t>
  </si>
  <si>
    <t xml:space="preserve">    Insurance refund for production losses at Murcia (estimated)</t>
  </si>
  <si>
    <t>Note 11 (AR2025 p.219) and segment report (p.64: 'higher double-digit million euro amount'). Unusual: linked to a one-off natural disaster (slide 21). Amount estimated as refunds above the 2024 level (I-18)</t>
  </si>
  <si>
    <t xml:space="preserve">    Discontinued operations, before tax</t>
  </si>
  <si>
    <t>Note 8. Criterion 1: discontinued operations (slide 15, 26)</t>
  </si>
  <si>
    <t xml:space="preserve">    Income taxes relating to prior years (earlier-period income taxes)</t>
  </si>
  <si>
    <t>Tax note 16, AR2025 p.220 / AR2024 p.208. Slide 21, first example: taxes related to a past fiscal year do not respect the matching principle (ASICS shows refunded taxes as unusual, slide 27)</t>
  </si>
  <si>
    <t xml:space="preserve">  From the statement of comprehensive income (before tax):</t>
  </si>
  <si>
    <t xml:space="preserve">    Remeasurement of pensions</t>
  </si>
  <si>
    <t>Note 26. Criterion 5: OCI / complex valuation (slides 22–25)</t>
  </si>
  <si>
    <t xml:space="preserve">    Cash flow hedges</t>
  </si>
  <si>
    <t>Note 26. Criterion 5 (ASICS: deferred gain on hedges)</t>
  </si>
  <si>
    <t xml:space="preserve">    Currency translation differences</t>
  </si>
  <si>
    <t>Note 26. Criterion 5 (ASICS: translation adjustments)</t>
  </si>
  <si>
    <t xml:space="preserve">    OCI from equity-accounted investments</t>
  </si>
  <si>
    <t>Note 26. Criterion 5</t>
  </si>
  <si>
    <t xml:space="preserve">    Rounding: discontinued-operations note vs statement</t>
  </si>
  <si>
    <t>Note 8 before-tax + tax vs printed earnings from discontinued operations. Not a criterion: keeps comprehensive income equal to the printed figure</t>
  </si>
  <si>
    <t xml:space="preserve">    Rounding: OCI note vs statement</t>
  </si>
  <si>
    <t>Note 26 before-tax + tax vs printed OCI after taxes</t>
  </si>
  <si>
    <t>Total unusual items</t>
  </si>
  <si>
    <t xml:space="preserve">  Unusual items / net revenues</t>
  </si>
  <si>
    <t>Earnings before taxes (comprehensive)</t>
  </si>
  <si>
    <t>Slide 3 / ASICS slide 27</t>
  </si>
  <si>
    <t xml:space="preserve">  Income taxes (continuing operations), excl. earlier-period taxes</t>
  </si>
  <si>
    <t>R10</t>
  </si>
  <si>
    <t>IS less earlier-period taxes (moved to unusual items, R9)</t>
  </si>
  <si>
    <t xml:space="preserve">  Income taxes on discontinued operations</t>
  </si>
  <si>
    <t>Note 8</t>
  </si>
  <si>
    <t xml:space="preserve">  Taxes on OCI items</t>
  </si>
  <si>
    <t>Note 26 (ASICS: taxes on OCI items)</t>
  </si>
  <si>
    <t>Income taxes</t>
  </si>
  <si>
    <t xml:space="preserve">  Tax rate on earnings before taxes</t>
  </si>
  <si>
    <t>Comprehensive income</t>
  </si>
  <si>
    <t>Slide 3: bottom line = net income (comprehensive income)</t>
  </si>
  <si>
    <t xml:space="preserve">  of which non-controlling interests</t>
  </si>
  <si>
    <t>Statement of comprehensive income</t>
  </si>
  <si>
    <t xml:space="preserve">  of which Rheinmetall AG shareholders</t>
  </si>
  <si>
    <t>Memo: net income (earnings after taxes, as reported)</t>
  </si>
  <si>
    <t>IS</t>
  </si>
  <si>
    <t>Recurrence test for matching-principle, infrequent and '?' items (R9; Session 2 slides 21, 26)</t>
  </si>
  <si>
    <t>Rule: an item that recurs with the same sign in all three years is part of normal operations → stays in [A]/[B]; otherwise unusual (slide 26: unusual items are volatile in amount and sign)</t>
  </si>
  <si>
    <t xml:space="preserve">  Reversal of provisions (n.11)</t>
  </si>
  <si>
    <t xml:space="preserve">  Net result from disposals of non-current assets (gains n.11 + losses n.15)</t>
  </si>
  <si>
    <t xml:space="preserve">  Write-downs of receivables (n.15)</t>
  </si>
  <si>
    <t xml:space="preserve">  Impairment net of reversals (n.14, n.11)</t>
  </si>
  <si>
    <t xml:space="preserve">  Earlier-period income taxes (n.16)</t>
  </si>
  <si>
    <t xml:space="preserve">  Management special items: restructuring</t>
  </si>
  <si>
    <t>Override: recurring by the test, but Session 2 slide 31 names restructuring charges as unusual for the full amount → moved to u7d (I-46)</t>
  </si>
  <si>
    <t xml:space="preserve">  Management special items: others</t>
  </si>
  <si>
    <t>Unusual changes of usual items — trend analysis (Session 2, slides 30–32)</t>
  </si>
  <si>
    <t>R12</t>
  </si>
  <si>
    <t>Slide 31: category 2 = unusual portion of a usual line → trend analysis, not reclassification. Slide 32: growth rates and CAGR. 2024 vs 2023 not like-for-like (I-01)</t>
  </si>
  <si>
    <t xml:space="preserve">  Growth % — Net revenues</t>
  </si>
  <si>
    <t xml:space="preserve">  Growth % — Value of production</t>
  </si>
  <si>
    <t xml:space="preserve">  Growth % — Raw materials, supplies and merchandise</t>
  </si>
  <si>
    <t xml:space="preserve">  Growth % — Purchased services</t>
  </si>
  <si>
    <t xml:space="preserve">  Growth % — Other services purchased</t>
  </si>
  <si>
    <t xml:space="preserve">  Growth % — Other operating costs, not purchases</t>
  </si>
  <si>
    <t xml:space="preserve">  Growth % — Other operating income, recurring</t>
  </si>
  <si>
    <t xml:space="preserve">  Growth % — Personnel costs</t>
  </si>
  <si>
    <t xml:space="preserve">  Growth % — Depreciation and amortisation, recurring</t>
  </si>
  <si>
    <t xml:space="preserve">  Growth % — EBITDA</t>
  </si>
  <si>
    <t xml:space="preserve">  Growth % — Core operating income [A]</t>
  </si>
  <si>
    <t xml:space="preserve">  Growth % — net revenues on a comparable perimeter (2023 excl. civilian business)</t>
  </si>
  <si>
    <t>2023 as reported (AR2024, not restated) still contains the civilian business: external sales 2,081 (AR2024 p.193). 2024 is restated without it</t>
  </si>
  <si>
    <t xml:space="preserve">  R&amp;D expenses / net revenues (Abbott example, slide 30)</t>
  </si>
  <si>
    <t>2023 includes the civilian business (R&amp;D-intensive): the 2023→2024 fall is mainly a perimeter effect, not a red flag. Compare 2024→2025 only</t>
  </si>
  <si>
    <t>2025 refunds of 118 (21, 5) are mainly insurance payments for production losses at Murcia: the estimated unusual portion (97) is moved to u7e (I-18). 2025 write-downs of receivables of 33 (2, 7): flagged, kept in [A] (slide 31, category 2, no unusual portion disclosed).</t>
  </si>
  <si>
    <t>Operating Cost Structure — three reformulations (Session 3)</t>
  </si>
  <si>
    <t>1. Income statement by function (Session 3, slides 3–5)</t>
  </si>
  <si>
    <t>C1</t>
  </si>
  <si>
    <t>Needs cost of sales, selling, G&amp;A and R&amp;D costs</t>
  </si>
  <si>
    <t xml:space="preserve">  Net revenues</t>
  </si>
  <si>
    <t xml:space="preserve">  Cost of sales</t>
  </si>
  <si>
    <t>n.d.</t>
  </si>
  <si>
    <t>Not reliably determinable: presented by nature; direct labour and factory overhead are not disclosed (test below). No allocation is made (slide 4)</t>
  </si>
  <si>
    <t xml:space="preserve">  Gross profit</t>
  </si>
  <si>
    <t xml:space="preserve">  Selling costs</t>
  </si>
  <si>
    <t xml:space="preserve">  General &amp; administrative costs</t>
  </si>
  <si>
    <t xml:space="preserve">  R&amp;D costs</t>
  </si>
  <si>
    <t xml:space="preserve">  Availability test for cost of sales (C1, slide 4 — manufacturing company)</t>
  </si>
  <si>
    <t xml:space="preserve">    Presentation of the income statement</t>
  </si>
  <si>
    <t>By nature: materials, personnel, D&amp;A, other operating expenses (IS, AR2025 p.199)</t>
  </si>
  <si>
    <t xml:space="preserve">    Direct materials used, separable from other materials?</t>
  </si>
  <si>
    <t>No: note 12 gives raw materials, supplies and merchandise in one amount, and purchased services (AR2025 p.219)</t>
  </si>
  <si>
    <t xml:space="preserve">    Direct (production) labour, separable from other personnel costs?</t>
  </si>
  <si>
    <t>No: note 13 splits personnel by type (wages, social security, pensions), not by function (AR2025 p.219)</t>
  </si>
  <si>
    <t xml:space="preserve">    Factory overhead (production D&amp;A, energy, maintenance) separable?</t>
  </si>
  <si>
    <t>No: note 14 gives D&amp;A by asset class; note 15 'operating costs and maintenance' is not split by function</t>
  </si>
  <si>
    <t xml:space="preserve">    Inventory movements (finished goods, WIP) disclosed?</t>
  </si>
  <si>
    <t>Yes: note 10 (change in inventories) and note 23 (inventories)</t>
  </si>
  <si>
    <t xml:space="preserve">    Retail formula (merchandise purchases ± merchandise inventory)</t>
  </si>
  <si>
    <t>Not applicable: manufacturing company</t>
  </si>
  <si>
    <t xml:space="preserve">    Decision</t>
  </si>
  <si>
    <t>Cost of sales and gross profit not reliably determinable without material assumptions → n.d. (no allocation key used)</t>
  </si>
  <si>
    <t xml:space="preserve">  Memo: R&amp;D costs recognised as expenses (inside the costs by nature)</t>
  </si>
  <si>
    <t>Management report / n.18. 2023 on the old perimeter</t>
  </si>
  <si>
    <t xml:space="preserve">    R&amp;D expenses / net revenues</t>
  </si>
  <si>
    <t>2. External vs internal costs (Session 3, slides 6–8) — % of value of production</t>
  </si>
  <si>
    <t>C2</t>
  </si>
  <si>
    <t>Base = value of production (slide 19, base b)</t>
  </si>
  <si>
    <t xml:space="preserve">  Value of production</t>
  </si>
  <si>
    <t xml:space="preserve">  Raw materials, supplies and merchandise</t>
  </si>
  <si>
    <t xml:space="preserve">  Purchased services</t>
  </si>
  <si>
    <t xml:space="preserve">  Other services purchased from third parties</t>
  </si>
  <si>
    <t xml:space="preserve">  Rounding in note breakdowns</t>
  </si>
  <si>
    <t xml:space="preserve">  Added value</t>
  </si>
  <si>
    <t xml:space="preserve">  Other operating income, recurring</t>
  </si>
  <si>
    <t xml:space="preserve">  Other operating costs, not purchases</t>
  </si>
  <si>
    <t xml:space="preserve">  Rounding difference to the printed EBIT</t>
  </si>
  <si>
    <t xml:space="preserve">  Personnel costs</t>
  </si>
  <si>
    <t xml:space="preserve">  Incidental personnel costs</t>
  </si>
  <si>
    <t xml:space="preserve">  EBITDA</t>
  </si>
  <si>
    <t xml:space="preserve">  Net interest on pensions</t>
  </si>
  <si>
    <t xml:space="preserve">  Depreciation and amortisation, recurring</t>
  </si>
  <si>
    <t xml:space="preserve">  Core operating income [A]</t>
  </si>
  <si>
    <t xml:space="preserve">  External costs (purchases from third parties) / value of production — degree of externalisation</t>
  </si>
  <si>
    <t>Slide 6: degree of externalisation of the cost structure (purchases only)</t>
  </si>
  <si>
    <t>3. Variable vs fixed costs (Session 3, slides 12–15) — analyst classification by nature: ILLUSTRATIVE ESTIMATE (slide 14)</t>
  </si>
  <si>
    <t>C3</t>
  </si>
  <si>
    <t>Variable = varies with volume; fixed = independent of volume in the short term (slide 12). No volume data: DOL, MOS and break-even are indicative only</t>
  </si>
  <si>
    <t xml:space="preserve">    Raw materials, supplies and merchandise — VARIABLE (high confidence)</t>
  </si>
  <si>
    <t>Driver: production volume. Slide 12: raw materials consumption</t>
  </si>
  <si>
    <t xml:space="preserve">    Purchased services — MIXED, assumed predominantly variable (medium)</t>
  </si>
  <si>
    <t>Driver: production volume (subcontracting). Note 12 does not prove proportionality: assumption</t>
  </si>
  <si>
    <t xml:space="preserve">    Warranties — MIXED, assumed variable (medium)</t>
  </si>
  <si>
    <t>Driver: units delivered; may include provision movements (note 15)</t>
  </si>
  <si>
    <t xml:space="preserve">    Patent and licensing fees — MIXED, assumed variable (low)</t>
  </si>
  <si>
    <t>Slide 12 names royalties; not all licence fees are unit-based (note 15)</t>
  </si>
  <si>
    <t xml:space="preserve">  Variable costs (assumed)</t>
  </si>
  <si>
    <t>Contribution margin (indicative)</t>
  </si>
  <si>
    <t>Slide 12</t>
  </si>
  <si>
    <t xml:space="preserve">  Contribution margin %</t>
  </si>
  <si>
    <t xml:space="preserve">    Personnel costs incl. incidental personnel costs — FIXED (assumption, medium)</t>
  </si>
  <si>
    <t>Slide 12: fixed example, but labour can vary with volume in a manufacturing business</t>
  </si>
  <si>
    <t xml:space="preserve">    Depreciation and amortisation, recurring — FIXED (high)</t>
  </si>
  <si>
    <t xml:space="preserve">    Other purchased services excl. licence fees — FIXED/MIXED (medium)</t>
  </si>
  <si>
    <t>Maintenance, IT, distribution &amp; advertising, administration, travel, insurance, consulting, rents: mostly fixed in the short term; some volume-linked parts not disclosed</t>
  </si>
  <si>
    <t xml:space="preserve">    Other operating costs, not purchases, excl. warranties — FIXED (medium)</t>
  </si>
  <si>
    <t>Provisions, receivable write-downs, disposal losses, other taxes, miscellaneous</t>
  </si>
  <si>
    <t xml:space="preserve">    Net interest on pensions — FIXED</t>
  </si>
  <si>
    <t xml:space="preserve">  Fixed costs (assumed)</t>
  </si>
  <si>
    <t xml:space="preserve">  Bridge items — not classified as variable or fixed (insufficient evidence)</t>
  </si>
  <si>
    <t xml:space="preserve">    Change in inventories of finished and unfinished products</t>
  </si>
  <si>
    <t>Valued at full production cost (materials, labour, production overhead incl. depreciation): cannot be treated as 100% variable</t>
  </si>
  <si>
    <t xml:space="preserve">    Own work capitalised</t>
  </si>
  <si>
    <t>Composition (labour, materials, overhead) not disclosed</t>
  </si>
  <si>
    <t xml:space="preserve">    Other operating income, recurring</t>
  </si>
  <si>
    <t>Income, not a negative cost</t>
  </si>
  <si>
    <t xml:space="preserve">    Rounding differences</t>
  </si>
  <si>
    <t>Reconciliation only</t>
  </si>
  <si>
    <t xml:space="preserve">  Bridge items</t>
  </si>
  <si>
    <t>Core operating income [A] = CM + fixed costs + bridge items</t>
  </si>
  <si>
    <t>Must equal [A] in the reformulated income statement</t>
  </si>
  <si>
    <t xml:space="preserve">  Degree of operating leverage (DOL) = CM / [A]</t>
  </si>
  <si>
    <t>Slide 13</t>
  </si>
  <si>
    <t xml:space="preserve">  Margin of safety (MOS) = [A] / CM</t>
  </si>
  <si>
    <t>Slide 13: % fall in revenues to break-even</t>
  </si>
  <si>
    <t xml:space="preserve">  Break-even revenues = (fixed costs net of bridge items) / CM %</t>
  </si>
  <si>
    <t>Slide 13; bridge items treated as volume-independent for this indicative figure</t>
  </si>
  <si>
    <t xml:space="preserve">  Observed elasticity = %Δ[A] / %Δ net revenues</t>
  </si>
  <si>
    <t>Slide 13: compare with DOL of the prior year. 2024 vs 2023 is mostly a perimeter effect (civilian business in 2023)</t>
  </si>
  <si>
    <t xml:space="preserve">  Test: predicted %Δ[A] = DOL(T−1) × %Δ net revenues</t>
  </si>
  <si>
    <t>Slide 13: %ΔOI = %ΔNR × DOL. A large gap to the actual change shows the fixed/variable split does not hold (volume, price and mix effects; slide 14)</t>
  </si>
  <si>
    <t xml:space="preserve">  Actual %Δ[A]</t>
  </si>
  <si>
    <t>2024 vs 2023 not like-for-like (civilian business in 2023)</t>
  </si>
  <si>
    <t>Common-size analysis — % of net revenues (Session 3, slides 19–20)</t>
  </si>
  <si>
    <t>C4</t>
  </si>
  <si>
    <t>Base a) = net revenues. Base b) = value of production is in lens 2 above</t>
  </si>
  <si>
    <t xml:space="preserve">  Core operating income [A] (ROS)</t>
  </si>
  <si>
    <t xml:space="preserve">  Base c) total cost of sales</t>
  </si>
  <si>
    <t>n.d.: not reliably determinable, income statement by nature (lens 1, C1)</t>
  </si>
  <si>
    <t xml:space="preserve">  Base d) total manufacturing cost</t>
  </si>
  <si>
    <t>n.d.: production costs are not separated from selling and administrative costs (C1 availability test)</t>
  </si>
  <si>
    <t>Choice of base (slide 20): the value-of-production base neutralises the inventory build-up (2023: +607, 8.5% of revenues), so it is used for cost-efficiency comparisons; net revenues are used for margins. E.g. materials 2023: 40.2% of revenues vs 36.6% of value of production.</t>
  </si>
  <si>
    <t>Income-statement ratios (Session 3, slide 16) and EBITA (slides 17–18)</t>
  </si>
  <si>
    <t>C5</t>
  </si>
  <si>
    <t xml:space="preserve">  EBITA = [A] before PPA amortisation</t>
  </si>
  <si>
    <t>Slide 17: excludes amortisation of acquired intangibles (Leonardo, slide 18)</t>
  </si>
  <si>
    <t xml:space="preserve">  EBITDAR — analytical proxy = EBITDA + rents, leases and ancillary costs</t>
  </si>
  <si>
    <t>Slide 9. Proxy: the note-15 line also contains ancillary costs, so pure rent cannot be isolated</t>
  </si>
  <si>
    <t xml:space="preserve">  EBITDAaL-style analytical measure = EBITDA − right-of-use depreciation − lease interest</t>
  </si>
  <si>
    <t>Slide 11 (Vodafone)</t>
  </si>
  <si>
    <t xml:space="preserve">  Gross profit / net revenues</t>
  </si>
  <si>
    <t>n.d. (by nature)</t>
  </si>
  <si>
    <t xml:space="preserve">  EBITDA / value of production</t>
  </si>
  <si>
    <t xml:space="preserve">  EBITDA / added value</t>
  </si>
  <si>
    <t>Efficiency in staff utilisation (slide 7)</t>
  </si>
  <si>
    <t xml:space="preserve">  EBITDAR margin</t>
  </si>
  <si>
    <t xml:space="preserve">  EBITDAaL margin</t>
  </si>
  <si>
    <t xml:space="preserve">  EBITA margin</t>
  </si>
  <si>
    <t xml:space="preserve">  Return on sales = operating income [A+B] / net revenues</t>
  </si>
  <si>
    <t xml:space="preserve">  Times interest earned = reported EBIT / interest expenses</t>
  </si>
  <si>
    <t>Reported figures</t>
  </si>
  <si>
    <t xml:space="preserve">  EBITDA / interest expenses</t>
  </si>
  <si>
    <t xml:space="preserve">  (EBIT + rents) / (rents + interest expenses)</t>
  </si>
  <si>
    <t>Fixed-charge coverage (slide 16)</t>
  </si>
  <si>
    <t xml:space="preserve">  Degree of operating leverage = CM / operating income</t>
  </si>
  <si>
    <t xml:space="preserve">  Margin of safety = operating income / CM</t>
  </si>
  <si>
    <t xml:space="preserve">  Tax effect ratio = comprehensive income / EBT</t>
  </si>
  <si>
    <t>Reformulated figures</t>
  </si>
  <si>
    <t xml:space="preserve">  Tax rate ratio = income taxes / EBT</t>
  </si>
  <si>
    <t>Managerial Balance Sheet (Session 4)</t>
  </si>
  <si>
    <t>Current operating assets</t>
  </si>
  <si>
    <t>B2</t>
  </si>
  <si>
    <t>Slide 8: inventory, receivables, accrued revenues, prepaid expenses</t>
  </si>
  <si>
    <t xml:space="preserve">  Inventories</t>
  </si>
  <si>
    <t>BS</t>
  </si>
  <si>
    <t xml:space="preserve">  Contract assets</t>
  </si>
  <si>
    <t>BS / note 9: accrued revenues on customer contracts</t>
  </si>
  <si>
    <t xml:space="preserve">  Trade receivables</t>
  </si>
  <si>
    <t xml:space="preserve">  Other current assets (operating)</t>
  </si>
  <si>
    <t>BS less current securities (note 24): other taxes, prepaid expenses, other receivables, derivatives (hedge operating FX and commodity risks → operating by destination), finance lease receivables (immaterial, I-39)</t>
  </si>
  <si>
    <t xml:space="preserve">  Income tax receivables</t>
  </si>
  <si>
    <t>B7</t>
  </si>
  <si>
    <t>BS. Slide 18 option 2: tax assets in current operating assets</t>
  </si>
  <si>
    <t xml:space="preserve">  Deferred tax assets</t>
  </si>
  <si>
    <t>BS. Slide 18 option 2</t>
  </si>
  <si>
    <t>NOTE: decided not to classify 0.5% cash as operating as it only affects 3% of total cash and does not influence the ROI/RONA and ROE decomposition substantially</t>
  </si>
  <si>
    <t>Operating liabilities (always 'current': related to the recurring operating cycle, slide 15)</t>
  </si>
  <si>
    <t>B3</t>
  </si>
  <si>
    <t>Slide 8: A/P, employee benefits, accrued expenses, deferred revenues, provisions</t>
  </si>
  <si>
    <t xml:space="preserve">  Trade liabilities</t>
  </si>
  <si>
    <t xml:space="preserve">  Contract liabilities (customer advances)</t>
  </si>
  <si>
    <t>BS / note 9: deferred revenues</t>
  </si>
  <si>
    <t xml:space="preserve">  Other provisions (current and non-current), excl. structural measures</t>
  </si>
  <si>
    <t>BS / note 28: personnel, warranties, identifiable losses, contract-related costs, other (slide 8). Structural-measure provisions moved to B5 (b): coherent with restructuring costs as unusual items (I-40)</t>
  </si>
  <si>
    <t xml:space="preserve">  Provisions for pensions</t>
  </si>
  <si>
    <t>BS / note 27: employee benefits (slide 8). Coherent with pension interest in operating costs (R4)</t>
  </si>
  <si>
    <t xml:space="preserve">  Other liabilities (current and non-current)</t>
  </si>
  <si>
    <t>BS / note 30: other taxes, social security, employees, derivatives (operating hedges), other financial liabilities — not interest-bearing. Acquisition-related items (e.g. Expal price adjustment 2023) immaterial (slide 19, I-38)</t>
  </si>
  <si>
    <t xml:space="preserve">  Income tax liabilities</t>
  </si>
  <si>
    <t xml:space="preserve">  Deferred tax liabilities</t>
  </si>
  <si>
    <t>Operating liabilities</t>
  </si>
  <si>
    <t>NOTE: classified both tax assets and liabilities as operating, a discretionary choice although precise nature of these tax items is not inferrable.</t>
  </si>
  <si>
    <t>Slide 9 (1): current operating assets − operating liabilities. Can be negative (slide 15)</t>
  </si>
  <si>
    <t>Non-current operating assets</t>
  </si>
  <si>
    <t>Slide 8: tangible and intangible assets</t>
  </si>
  <si>
    <t xml:space="preserve">  Goodwill</t>
  </si>
  <si>
    <t>BS / note 18</t>
  </si>
  <si>
    <t xml:space="preserve">  Other intangible assets</t>
  </si>
  <si>
    <t xml:space="preserve">  Right-of-use assets</t>
  </si>
  <si>
    <t>BS / note 19: leased operating assets (lease liability is financial debt)</t>
  </si>
  <si>
    <t xml:space="preserve">  Property, plant and equipment</t>
  </si>
  <si>
    <t>BS / note 20</t>
  </si>
  <si>
    <t xml:space="preserve">  Investment property</t>
  </si>
  <si>
    <t>BS / note 21. Slide 8 option: operating asset. Rental income is not disclosed separately and is immaterial (IP ≤ €20m); if material, test its income for [B] (Session 2 slide 3)</t>
  </si>
  <si>
    <t xml:space="preserve">  Other non-current assets (operating)</t>
  </si>
  <si>
    <t>BS less bonds (note 24): pension plan surplus (operating, coherent with pensions), contract costs, derivatives (operating hedges), other receivables, finance lease receivables (immaterial, I-39)</t>
  </si>
  <si>
    <t>Net operating invested capital</t>
  </si>
  <si>
    <t>Slide 9 (3): NOWC + non-current operating assets</t>
  </si>
  <si>
    <t>Non-operating assets ('surplus' assets) — three classes</t>
  </si>
  <si>
    <t>B5</t>
  </si>
  <si>
    <t>Slide 8 and Session 2 slide 3. Only class (c) is financial and enters NFO (slide 13)</t>
  </si>
  <si>
    <t xml:space="preserve">  (a) Non-core: investments accounted for using the equity method</t>
  </si>
  <si>
    <t>BS / note 22. Investee-by-investee test (I-41): KOLBENHÖFE (real estate), 4iG (telecom/IT), HASCO (automotive, civilian) — none part of the core defence business → non-core; result in [B] (R6)</t>
  </si>
  <si>
    <t xml:space="preserve">  (a) Non-core: shares in Shriram Pistons &amp; Rings (reported in current securities)</t>
  </si>
  <si>
    <t>Note 24. Industrial stake at fair value from the civilian business, not a liquidity investment → non-core, not financial</t>
  </si>
  <si>
    <t xml:space="preserve">  (b) Other non-operating: less provisions for structural measures (restructuring)</t>
  </si>
  <si>
    <t>Note 28. The related expense is unusual (u7d), so the obligation does not belong to the recurring operating cycle (Session 2 slide 3 coherence; Session 4 slide 19 option: separate non-normal items). Includes partial-retirement obligations (not split in the note)</t>
  </si>
  <si>
    <t xml:space="preserve">  (b) Other non-operating: net assets held for sale</t>
  </si>
  <si>
    <t>BS / note 8. Slide 19 option 1: assets held for sale net of related liabilities. A disposal group, not a financial asset</t>
  </si>
  <si>
    <t xml:space="preserve">  Non-core and other non-operating assets (a + b)</t>
  </si>
  <si>
    <t>Non-financial: stay outside NOIC and outside NFO</t>
  </si>
  <si>
    <t xml:space="preserve">  (c) Financial: long-term financial assets (bonds)</t>
  </si>
  <si>
    <t>Note 24. Long-term financial assets (slide 13, point 2); deducted in NFO</t>
  </si>
  <si>
    <t>Non-operating assets</t>
  </si>
  <si>
    <t xml:space="preserve">  Reconciliation: rounding differences in the printed balance sheet (assets)</t>
  </si>
  <si>
    <t>B6b</t>
  </si>
  <si>
    <t>Printing differences are not operating items: kept outside every economic class so NOWC and NOIC are unaffected; kept so the BS ties to printed totals</t>
  </si>
  <si>
    <t xml:space="preserve">  Reconciliation: less rounding differences in the printed balance sheet (liabilities)</t>
  </si>
  <si>
    <t>As above, equity and liabilities side</t>
  </si>
  <si>
    <t>Net invested capital</t>
  </si>
  <si>
    <t>Operating + non-operating invested capital (+ rounding reconciliation)</t>
  </si>
  <si>
    <t>Financed by: net financial position</t>
  </si>
  <si>
    <t>Slide 12: financial debts − cash − short-term financial assets</t>
  </si>
  <si>
    <t xml:space="preserve">  Non-current financial debts</t>
  </si>
  <si>
    <t>BS / note 29</t>
  </si>
  <si>
    <t xml:space="preserve">  Current financial debts</t>
  </si>
  <si>
    <t xml:space="preserve">    of which lease liabilities</t>
  </si>
  <si>
    <t>Note 29: leasing is part of financial debts</t>
  </si>
  <si>
    <t xml:space="preserve">  Less: cash and cash equivalents</t>
  </si>
  <si>
    <t>BS / note 25. Working cash cannot be estimated reliably from public disclosures (slide 11: 'difficult' for non-retail) → option 1: all cash financial</t>
  </si>
  <si>
    <t xml:space="preserve">  Less: short-term financial assets (securities held for trade)</t>
  </si>
  <si>
    <t>BS / note 25 (AR2023)</t>
  </si>
  <si>
    <t>Slide 12. Negative = net liquidity. Coherent with net financial expenses [C] (R7)</t>
  </si>
  <si>
    <t xml:space="preserve">  Equity attributable to Rheinmetall AG shareholders</t>
  </si>
  <si>
    <t>B8</t>
  </si>
  <si>
    <t>BS / note 26</t>
  </si>
  <si>
    <t xml:space="preserve">  Non-controlling interests</t>
  </si>
  <si>
    <t>BS. Base convention (slide 26): NCI in equity. The debt-like view is not applied: no evidence that minorities act as a financial partner (small, no regular dividend pressure disclosed)</t>
  </si>
  <si>
    <t>Net equity</t>
  </si>
  <si>
    <t>Net financial position + net equity</t>
  </si>
  <si>
    <t>Must equal net invested capital</t>
  </si>
  <si>
    <t>Metrics (Session 4, slides 9, 12, 25–28)</t>
  </si>
  <si>
    <t>B9</t>
  </si>
  <si>
    <t xml:space="preserve">  Gross operating invested capital = current + non-current operating assets</t>
  </si>
  <si>
    <t>Slide 9 (2)</t>
  </si>
  <si>
    <t xml:space="preserve">  Operating liability leverage = operating liabilities / gross operating invested capital</t>
  </si>
  <si>
    <t>Session 5 slide 6</t>
  </si>
  <si>
    <t xml:space="preserve">  Net financial obligations (NFO) = NFP − long-term financial assets (c)</t>
  </si>
  <si>
    <t>Slides 12–13: financial liabilities − ALL financial assets (short + long-term). Only financial assets are deducted: equity-method stakes and held-for-sale net assets are not financial (I-37)</t>
  </si>
  <si>
    <t xml:space="preserve">  Net operating assets (NOA) = NOIC + non-core and other non-operating assets (a + b)</t>
  </si>
  <si>
    <t>Session 6 slide 10: the non-financial non-operating assets join the operating side when NFO replaces NFP</t>
  </si>
  <si>
    <t xml:space="preserve">    Check: NOA + rounding − NFO − net equity (must be 0)</t>
  </si>
  <si>
    <t xml:space="preserve">  Net short-term financial debt = current financial debts − cash − ST financial assets</t>
  </si>
  <si>
    <t xml:space="preserve">  NOWC / net revenues</t>
  </si>
  <si>
    <t>Slides 15–16: focus on the change of NOWC</t>
  </si>
  <si>
    <t xml:space="preserve">  ΔNOWC / Δnet revenues</t>
  </si>
  <si>
    <t>Perimeter-affected: 2024 BS still holds the civilian business (IS restated); 2025 BS moves it to held for sale (I-42)</t>
  </si>
  <si>
    <t xml:space="preserve">  Debt-to-equity = (operating + financial liabilities) / net equity</t>
  </si>
  <si>
    <t>Slide 25 (1), managerial definition: excludes liabilities held for sale (netted in B5) (I-43)</t>
  </si>
  <si>
    <t xml:space="preserve">    Memo: reported total liabilities / net equity</t>
  </si>
  <si>
    <t>Reported basis, incl. liabilities held for sale: a different ratio, shown for reference only</t>
  </si>
  <si>
    <t xml:space="preserve">  Financial debt-to-equity = financial debts / net equity</t>
  </si>
  <si>
    <t>Slide 25 (2)</t>
  </si>
  <si>
    <t xml:space="preserve">  Debt-to-assets = reported total liabilities / reported total assets</t>
  </si>
  <si>
    <t>Slide 25 (3) leaves numerator and denominator open ('Debt ? / Total Assets ?'): reported basis on both sides, so they are consistent</t>
  </si>
  <si>
    <t xml:space="preserve">  NFP / net equity</t>
  </si>
  <si>
    <t>Slide 25 (4); benchmark NFP/NE ≤ 3 (slide 12)</t>
  </si>
  <si>
    <t xml:space="preserve">  NFO / net equity</t>
  </si>
  <si>
    <t>Slide 25 (5)</t>
  </si>
  <si>
    <t xml:space="preserve">  NFP / EBITDA</t>
  </si>
  <si>
    <t>Slide 12: covenant benchmark NFP/EBITDA ≤ 4</t>
  </si>
  <si>
    <t xml:space="preserve">  Financial leverage = financial debts / parent equity</t>
  </si>
  <si>
    <t>Slide 27</t>
  </si>
  <si>
    <t xml:space="preserve">  Shareholding leverage = NCI / parent equity</t>
  </si>
  <si>
    <t xml:space="preserve">  Adjusted total assets = total assets − goodwill</t>
  </si>
  <si>
    <t>Slide 28</t>
  </si>
  <si>
    <t xml:space="preserve">  Tangible net equity = net equity − goodwill</t>
  </si>
  <si>
    <t>ROI and ROE Decompositions (Sessions 5–6)</t>
  </si>
  <si>
    <t>Balance-sheet basis (END = year-end, AVG = average)</t>
  </si>
  <si>
    <t>P0</t>
  </si>
  <si>
    <t>Input. The slide examples use year-end amounts (Session 5 slides 7–8; Session 6 slides 13–18); type AVG to switch every denominator</t>
  </si>
  <si>
    <t>Balance-sheet amounts used as denominators</t>
  </si>
  <si>
    <t>From the managerial balance sheet above (Part 4); same basis for every ratio</t>
  </si>
  <si>
    <t xml:space="preserve">  Total assets</t>
  </si>
  <si>
    <t>Reported Financials: total assets</t>
  </si>
  <si>
    <t xml:space="preserve">  Total liabilities (total assets − net equity)</t>
  </si>
  <si>
    <t>Operating + financial liabilities + liabilities held for sale</t>
  </si>
  <si>
    <t xml:space="preserve">  Net equity (incl. non-controlling interests)</t>
  </si>
  <si>
    <t xml:space="preserve">  Gross operating invested capital</t>
  </si>
  <si>
    <t>Current + non-current operating assets (Session 4 slide 9 (2))</t>
  </si>
  <si>
    <t xml:space="preserve">  Operating liabilities</t>
  </si>
  <si>
    <t xml:space="preserve">  Net operating invested capital (NOIC)</t>
  </si>
  <si>
    <t xml:space="preserve">  Non-operating assets</t>
  </si>
  <si>
    <t xml:space="preserve">  Net invested capital</t>
  </si>
  <si>
    <t>NOIC + non-operating assets</t>
  </si>
  <si>
    <t xml:space="preserve">  Non-operating assets that earn [B] (equity-method and other stakes + long-term financial assets)</t>
  </si>
  <si>
    <t>B5 classes (a) + (c). Class (b) excluded: held-for-sale net assets and restructuring provisions earn no [B] (their results are unusual items)</t>
  </si>
  <si>
    <t xml:space="preserve">  Financial liabilities (financial debts)</t>
  </si>
  <si>
    <t>B6: non-current + current financial debts</t>
  </si>
  <si>
    <t xml:space="preserve">  Cash and short-term financial assets</t>
  </si>
  <si>
    <t xml:space="preserve">  Net financial position (NFP)</t>
  </si>
  <si>
    <t xml:space="preserve">  Net financial obligations (NFO) = NFP − long-term financial assets</t>
  </si>
  <si>
    <t>Session 4 slide 13: financial liabilities − all financial assets (only financial ones)</t>
  </si>
  <si>
    <t xml:space="preserve">  Non-core and other non-operating assets (non-financial)</t>
  </si>
  <si>
    <t>B5 (a) + (b): equity-method stakes, Shriram stake, net assets held for sale</t>
  </si>
  <si>
    <t xml:space="preserve">  Net operating assets (NOA) = NOIC + non-financial non-operating assets</t>
  </si>
  <si>
    <t>Session 6 slide 10: the area financed by NFO + net equity</t>
  </si>
  <si>
    <t xml:space="preserve">  Net operating working capital (NOWC)</t>
  </si>
  <si>
    <t xml:space="preserve">  Tangible assets (PP&amp;E + right-of-use assets)</t>
  </si>
  <si>
    <t>Session 5 slide 10: fixed (tangible) assets; right-of-use assets are leased buildings and equipment</t>
  </si>
  <si>
    <t xml:space="preserve">  Tangible and intangible assets (incl. goodwill)</t>
  </si>
  <si>
    <t>Session 5 slide 10: long-term productive assets</t>
  </si>
  <si>
    <t>B2 (trademarks are not disclosed separately in note 18)</t>
  </si>
  <si>
    <t xml:space="preserve">  Accumulated amortisation, depreciation and impairment</t>
  </si>
  <si>
    <t>Notes 18–21 (Reported Financials, notes to the balance sheet)</t>
  </si>
  <si>
    <t xml:space="preserve">  Gross invested capital (gross operating IC + non-operating assets that earn [B])</t>
  </si>
  <si>
    <t>Session 5 slide 5: total (gross) invested capital. Excludes cash and ST financial assets (netted in NFP; financial income is not in the numerator either), so it differs from total assets (slide 4: 'invested capital or total assets'), and excludes B5 class (b) (I-47)</t>
  </si>
  <si>
    <t xml:space="preserve">  Net invested capital for ROI (NOIC + non-operating assets that earn [B])</t>
  </si>
  <si>
    <t>Numerator–denominator coherence (Session 2 slide 3): class (b) is left out because its result is outside [A+B] (I-47)</t>
  </si>
  <si>
    <t>Return on investment (Session 5)</t>
  </si>
  <si>
    <t>ROA = net income / total assets</t>
  </si>
  <si>
    <t>P1</t>
  </si>
  <si>
    <t>Slide 3: ROA uses net income (reported earnings after taxes) and total assets</t>
  </si>
  <si>
    <t>Gross ROI (slides 5 and 7)</t>
  </si>
  <si>
    <t>P2</t>
  </si>
  <si>
    <t>Operating income [A+B] / (gross operating invested capital + non-operating assets)</t>
  </si>
  <si>
    <t xml:space="preserve">  Core operating profitability = [A] / gross operating invested capital</t>
  </si>
  <si>
    <t>Slide 5 ratio 1 (from sales)</t>
  </si>
  <si>
    <t xml:space="preserve">  × weight: gross operating invested capital / gross invested capital</t>
  </si>
  <si>
    <t xml:space="preserve">  Non-core operating profitability = [B] / non-operating assets that earn [B]</t>
  </si>
  <si>
    <t>Slide 5 ratio 2</t>
  </si>
  <si>
    <t xml:space="preserve">  × weight: non-operating assets that earn [B] / gross invested capital</t>
  </si>
  <si>
    <t>Gross ROI = operating income [A+B] / gross invested capital</t>
  </si>
  <si>
    <t>Must equal (core × weight) + (non-core × weight). Gross IC ≠ total assets: cash, ST financial assets and class (b) are outside (see P0)</t>
  </si>
  <si>
    <t xml:space="preserve">  Memo: gross ROI on total assets (incl. cash) = ([A+B] + interest income) / total assets</t>
  </si>
  <si>
    <t>Slide 4 alternative ('invested capital or total assets'). Shown for reference; the main figure is the line above</t>
  </si>
  <si>
    <t>Why we leave cash out of invested capital: slide 4 defines gross ROI as operating income over 'invested capital (or total assets)'. In the slide example the two are the same because the company holds no cash, but Rheinmetall ended 2025 with €1,650m of cash and cash equivalents (AR2025, financial position, p.60). We treat cash as part of the net financial position, and the interest it earns sits in net financial expenses [C], not in operating income [A+B]. Putting cash in the denominator without its income in the numerator would mix two things and understate the operating return, so we keep the line above as our main figure and show the total-assets version only as a check.</t>
  </si>
  <si>
    <t>Net ROI (slides 6–8)</t>
  </si>
  <si>
    <t>P3</t>
  </si>
  <si>
    <t>Operating liabilities are always subtracted from the core operating assets (slide 6)</t>
  </si>
  <si>
    <t xml:space="preserve">  Core (net) operating profitability, RONA = [A] / NOIC</t>
  </si>
  <si>
    <t>Slide 6 ratio 1: the typical RONA</t>
  </si>
  <si>
    <t xml:space="preserve">  × weight: NOIC / net invested capital for ROI</t>
  </si>
  <si>
    <t>Slide 6 ratio 2</t>
  </si>
  <si>
    <t xml:space="preserve">  × weight: non-operating assets that earn [B] / net invested capital for ROI</t>
  </si>
  <si>
    <t>Net ROI = operating income [A+B] / net invested capital for ROI</t>
  </si>
  <si>
    <t>Must equal (core × weight) + (non-core × weight)</t>
  </si>
  <si>
    <t>Reading (ROI): Rheinmetall's returns come almost entirely from its core defence business. Core operating assets carry 95–98% of the weight in both gross and net ROI, while non-core income is slightly negative in every year ([B] = −7 / −42 / −21, mainly losses from equity-accounted investees and a negative other financial result, notes 22 and 16). Non-core investments are therefore a small drag, not a driver. Net ROI rises from 17.7% (2023) to 22.0% (2024) and 32.8% (2025) and moves almost one-for-one with RONA, so the RONA drivers below explain the whole story.</t>
  </si>
  <si>
    <t>Decomposition of core net ROI (slide 8; Session 6 slides 11 and 14)</t>
  </si>
  <si>
    <t>P4</t>
  </si>
  <si>
    <t>RONA = ROS × assets turnover × gross / net operating invested capital</t>
  </si>
  <si>
    <t xml:space="preserve">  Return on sales (ROS) = [A] / net revenues</t>
  </si>
  <si>
    <t>Slide 5: core operating income is generated by sales (coherent numerator and denominator)</t>
  </si>
  <si>
    <t xml:space="preserve">  × assets turnover = net revenues / gross operating invested capital</t>
  </si>
  <si>
    <t>Slide 15</t>
  </si>
  <si>
    <t xml:space="preserve">  × gross / net operating invested capital</t>
  </si>
  <si>
    <t>Slide 6: higher than 1 when there are operating liabilities</t>
  </si>
  <si>
    <t xml:space="preserve">    Operating liability leverage = operating liabilities / gross operating invested capital</t>
  </si>
  <si>
    <t>Slide 6; Session 6 slide 10</t>
  </si>
  <si>
    <t xml:space="preserve">    1 / (1 − operating liability leverage)</t>
  </si>
  <si>
    <t>Slide 6: must equal gross / net above</t>
  </si>
  <si>
    <t>RONA = ROS × assets turnover × gross / net</t>
  </si>
  <si>
    <t>Must equal [A] / NOIC above</t>
  </si>
  <si>
    <t xml:space="preserve">  Memo: return on gross operating invested capital = ROS × assets turnover</t>
  </si>
  <si>
    <t>Session 6 slide 31: the 'operating' part before the operating-liability benefit</t>
  </si>
  <si>
    <t xml:space="preserve">  Memo 2024: [A] + civilian-business EBIT (as originally reported) / NOIC — indicative</t>
  </si>
  <si>
    <t>IFRS 5 restates the 2024 income statement (civilian business → discontinued) but not the 2024 balance sheet: 2024 NOIC still contains the civilian assets, so 2024 returns mix two perimeters (I-22). Segment EBIT (AR2024 p.192) is not reformulated: indicative only</t>
  </si>
  <si>
    <t xml:space="preserve">  Memo 2024: assets turnover incl. civilian-business sales = (net revenues + civilian external sales) / gross operating IC — indicative</t>
  </si>
  <si>
    <t>Same perimeter as the 2024 balance sheet (I-22, I-48). Civilian sales as originally reported (AR2024 p.192)</t>
  </si>
  <si>
    <t xml:space="preserve">  Memo 2024: gross ROI incl. civilian-business EBIT — indicative</t>
  </si>
  <si>
    <t>Same perimeter as the 2024 balance sheet (I-48)</t>
  </si>
  <si>
    <t xml:space="preserve">  Memo 2024: net ROI incl. civilian-business EBIT — indicative</t>
  </si>
  <si>
    <t>Reading (RONA drivers): RONA rises from 19.5% to 24.2% to 35.0%, but for different reasons in each year. 2023→2024: the margin did the work — ROS went from 11.7% to 16.9% as defence volumes grew and the lower-margin civilian business left the restated income statement — while asset turnover fell from 0.70x to 0.60x, because the 2024 balance sheet still holds the civilian assets and Loc Performance was acquired at the end of November 2024 (€563m, AR2024) with only one month of sales. 2024→2025: the margin slipped slightly (ROS 16.9% → 15.8%), so the jump comes from the balance sheet: roughly 45% from higher asset turnover (0.60x → 0.73x, with sales +29% to €9,935m on a similar asset base) and 55% from operating liabilities (gross/net 2.37x → 3.05x). The 2025 NOIC is also lower because the civilian business moved to held for sale (IFRS 5).</t>
  </si>
  <si>
    <t>Reading (RONA): the 2025 insurance refund for production losses at Murcia is disclosed only as a 'higher double-digit million euro amount' (AR2025 p.64). We estimated the one-off part at €97m and moved it to unusual items (u7e, I-18). If the true amount differs, 2025 ROS and RONA move by the difference: each €10m is about 0.1 pp of ROS.</t>
  </si>
  <si>
    <t>Assets turnover — summary of ratios (slides 9–16)</t>
  </si>
  <si>
    <t>P5</t>
  </si>
  <si>
    <t>Slide 16: preferred to the cash conversion cycle; predictive value. Negative = customer-financed</t>
  </si>
  <si>
    <t xml:space="preserve">  Days sales outstanding = trade receivables / (net revenues / 360)</t>
  </si>
  <si>
    <t>Slide 15. Trade receivables are gross of VAT (not disclosed net); contract assets not included (not yet invoiced)</t>
  </si>
  <si>
    <t xml:space="preserve">  + Days inventory outstanding = inventories / (COGS / 360)</t>
  </si>
  <si>
    <t>INDICATIVE PROXY. Slide 15 needs COGS; the IS is by nature, so COGS (incl. direct labour and overhead) cannot be rebuilt. Proxy = materials + purchased services − change in inventories of finished goods and WIP (I-49)</t>
  </si>
  <si>
    <t xml:space="preserve">  − Days payable outstanding = trade liabilities / (purchases of materials and services / 360)</t>
  </si>
  <si>
    <t>INDICATIVE PROXY. Slide 15 needs purchases; proxied by cost of materials and services (note 12): change in raw-material inventory not disclosed (I-49)</t>
  </si>
  <si>
    <t>(Net) cash conversion cycle = DSO + DIO − DPO</t>
  </si>
  <si>
    <t>INDICATIVE (DIO and DPO are proxies). Slides 15–16: misleading on its own (1 day of A/R ≠ 1 day of A/P in €); read together with NOWC / revenues</t>
  </si>
  <si>
    <t>Reading (working capital): NOWC went from +3.3% of sales in 2023 to −2.4% in 2024 and −10.0% in 2025, so customers now pre-finance Rheinmetall's operating cycle. Customer advances (contract liabilities) more than doubled from €2,594m to €5,642m, in line with the Rheinmetall Backlog growing from €38.3bn to €63.8bn (AR2025, key figures), and DSO fell from 101 to 69 days. The cash conversion cycle stays long (about 340 days) because vehicles and ammunition take a long time to produce (DIO about 350 days, indicative proxy). The negative NOWC is therefore a strength, but it depends on customers continuing to pay in advance; if order intake slowed, advances would unwind and NOIC would rise quickly.</t>
  </si>
  <si>
    <t xml:space="preserve">  Fixed assets turnover = net revenues / tangible assets</t>
  </si>
  <si>
    <t>Slide 10: proxy of capacity utilisation</t>
  </si>
  <si>
    <t xml:space="preserve">  Long-term productive assets turnover = net revenues / tangible and intangible assets</t>
  </si>
  <si>
    <t>Slide 10</t>
  </si>
  <si>
    <t xml:space="preserve">  Net capex = cash outflows for PP&amp;E, intangibles and investment property − disposal proceeds (€ million)</t>
  </si>
  <si>
    <t>Cash flow statement. Slide 11: acquisitions of tangible and intangible assets net of disposals (group incl. discontinued operations)</t>
  </si>
  <si>
    <t xml:space="preserve">  Capex-to-sales (capital intensity) = net capex / net revenues — indicative</t>
  </si>
  <si>
    <t>Slides 11–12. PERIMETER-AFFECTED: capex is group (incl. discontinued civilian business, cash flow statement), revenues are continuing; continuing-only capex is not disclosed (I-50)</t>
  </si>
  <si>
    <t xml:space="preserve">  Productive capacity replacement = net capex / D&amp;A</t>
  </si>
  <si>
    <t>Slides 11–12: ≈1 = maintenance; &gt;1 = development (growth) investments. D&amp;A from the cash flow statement: same (group) perimeter as capex, but includes impairment (2025: civilian impairment) → understates the ratio (I-50)</t>
  </si>
  <si>
    <t xml:space="preserve">  Memo: net capex / recurring D&amp;A of continuing operations (reformulated IS, excl. impairment) — indicative</t>
  </si>
  <si>
    <t>Recurring D&amp;A (no impairment) but continuing perimeter vs group capex: overstates the ratio. The true value lies between the two lines (I-50). &gt;1 also reflects capacity build-up and acquisitions-driven growth, not only maintenance</t>
  </si>
  <si>
    <t>Two adjustments to the operating profitability ratio (slides 17–18)</t>
  </si>
  <si>
    <t xml:space="preserve">  Net adjusted operating assets = NOIC − goodwill</t>
  </si>
  <si>
    <t>P6</t>
  </si>
  <si>
    <t>Slide 17: NOWC + tangible assets + specific intangibles. Trademarks not disclosed separately (note 18), so only goodwill is removed</t>
  </si>
  <si>
    <t>Adjusted core ROI = [A] / net adjusted operating assets</t>
  </si>
  <si>
    <t>Slide 17</t>
  </si>
  <si>
    <t xml:space="preserve">  Gross operating assets = gross operating invested capital + accumulated D&amp;A and impairment</t>
  </si>
  <si>
    <t>P7</t>
  </si>
  <si>
    <t>Slide 18: historical cost of operating assets, ignoring accumulated depreciation (notes 18–21)</t>
  </si>
  <si>
    <t>Return on gross operating assets = [A] / gross operating assets</t>
  </si>
  <si>
    <t>Slide 18: removes the age bias of old, heavily depreciated assets. 2025 base falls with the IFRS 5 transfer</t>
  </si>
  <si>
    <t>GMROI = gross margin / inventory</t>
  </si>
  <si>
    <t>P8</t>
  </si>
  <si>
    <t>n.a.</t>
  </si>
  <si>
    <t>Slides 19–22: retail metric that needs gross margin (IS by function). Rheinmetall reports by nature → not applicable</t>
  </si>
  <si>
    <t>Return on equity (Session 6)</t>
  </si>
  <si>
    <t>ROE = comprehensive income / net equity</t>
  </si>
  <si>
    <t>E1</t>
  </si>
  <si>
    <t>Slide 3: the reformulated IS removes the distinction between net income and OCI</t>
  </si>
  <si>
    <t xml:space="preserve">  Net income / net equity</t>
  </si>
  <si>
    <t>Reported earnings after taxes (incl. NCI, coherent with net equity incl. NCI)</t>
  </si>
  <si>
    <t xml:space="preserve">  + OCI / net equity</t>
  </si>
  <si>
    <t>Reported OCI after taxes</t>
  </si>
  <si>
    <t>Reading (ROE): ROE went from 16.4% to 22.4% and then down to 14.0%, but the operating business did not weaken in 2025: ROE before unusual items and taxes was 20.9%, 26.3% and 25.6%. The 2025 drop comes from items below the operating result. First, the loss on the discontinued civilian business (−€315m before tax, including the write-down of the disposal group; AR2025 note 8). Second, a negative currency translation in OCI (−€138m). Third, a much larger equity base after the convertible bond was converted into shares (+€694m in capital reserves; AR2025 p.60). 2024, on the other hand, was lifted by a €207m pension remeasurement gain in OCI, which alone added about 4 pp to ROE.</t>
  </si>
  <si>
    <t>DuPont — basic formula (slide 4)</t>
  </si>
  <si>
    <t>E2</t>
  </si>
  <si>
    <t>Uses reported net income; common equity = net equity incl. NCI (B8)</t>
  </si>
  <si>
    <t xml:space="preserve">  Profit margin = net income / sales</t>
  </si>
  <si>
    <t xml:space="preserve">  × total asset turnover = sales / total assets</t>
  </si>
  <si>
    <t xml:space="preserve">  × equity multiplier = total assets / net equity</t>
  </si>
  <si>
    <t xml:space="preserve">    Equity multiplier = 1 + total liabilities / net equity</t>
  </si>
  <si>
    <t>Slide 4: must equal the line above</t>
  </si>
  <si>
    <t>ROE (net income) = profit margin × turnover × equity multiplier</t>
  </si>
  <si>
    <t>Must equal net income / net equity</t>
  </si>
  <si>
    <t>DuPont — broader decomposition (slide 5)</t>
  </si>
  <si>
    <t>E3</t>
  </si>
  <si>
    <t>Reported NI, EBT and EBIT (continuing operations for EBT and EBIT)</t>
  </si>
  <si>
    <t xml:space="preserve">  Net income / EBT — net-income conversion factor (taxes + discontinued operations)</t>
  </si>
  <si>
    <t>Slide 5 ratio 4. Not a pure tax burden: EBT is continuing, net income includes discontinued operations (2025: −342) (I-51)</t>
  </si>
  <si>
    <t xml:space="preserve">  × EBT / EBIT (interest burden)</t>
  </si>
  <si>
    <t>Slide 5 ratio 4: cost of debt implicit; financial income inside</t>
  </si>
  <si>
    <t xml:space="preserve">  × EBIT / sales</t>
  </si>
  <si>
    <t>Slide 5 ratio 1: EBIT includes non-core results and unusual items</t>
  </si>
  <si>
    <t xml:space="preserve">  × sales / total assets</t>
  </si>
  <si>
    <t>Slide 5 ratio 2: total assets include non-operating assets</t>
  </si>
  <si>
    <t xml:space="preserve">  × total assets / net equity</t>
  </si>
  <si>
    <t>Slide 5 ratio 3: mixes operating and financial liabilities</t>
  </si>
  <si>
    <t>Reading (DuPont): the five factors show where profit is lost on the way to net income. EBIT/sales keeps improving (12.5% → 16.5% → 17.0%) and interest costs take little (EBT/EBIT above 0.9), but the net-income conversion factor falls to 0.53x in 2025 because of the discontinued civilian business. That is why the net margin falls from 10.5% to 8.4% although the operating margin rises.</t>
  </si>
  <si>
    <t>ROE (net income), five factors</t>
  </si>
  <si>
    <t>Modigliani–Miller — original formula (slides 6–8)</t>
  </si>
  <si>
    <t>E4</t>
  </si>
  <si>
    <t>ROE = [OI/IC + (OI/IC − FE/TL) × TL/NE] × CI/IBUIT, with IC = total assets</t>
  </si>
  <si>
    <t xml:space="preserve">  Operating income + financial income = [A] + [B] + financial income (€ million)</t>
  </si>
  <si>
    <t>Everything earned on total assets (financial income is earned on assets included in IC)</t>
  </si>
  <si>
    <t xml:space="preserve">  Financial expenses (€ million, positive)</t>
  </si>
  <si>
    <t>R7: interest expenses excl. pension interest</t>
  </si>
  <si>
    <t xml:space="preserve">  Operating income / invested capital (total assets)</t>
  </si>
  <si>
    <t>Slide 7 (1)</t>
  </si>
  <si>
    <t xml:space="preserve">  Financial expenses / total liabilities</t>
  </si>
  <si>
    <t>Slide 7 (2): cost of debt on ALL liabilities</t>
  </si>
  <si>
    <t xml:space="preserve">  Spread = ROI − cost of debt</t>
  </si>
  <si>
    <t>Slide 7 (2)</t>
  </si>
  <si>
    <t xml:space="preserve">  × total liabilities / net equity</t>
  </si>
  <si>
    <t>Slide 7 (3)</t>
  </si>
  <si>
    <t xml:space="preserve">  × comprehensive income / income before unusual items and taxes</t>
  </si>
  <si>
    <t>Slide 7 (4): unusual items and taxes</t>
  </si>
  <si>
    <t>ROE = [ROI + spread × leverage] × CI / IBUIT</t>
  </si>
  <si>
    <t>Must equal CI / net equity</t>
  </si>
  <si>
    <t>Modigliani–Miller — first technical adjustment (slide 9; Example 5, slides 28–31)</t>
  </si>
  <si>
    <t>E5</t>
  </si>
  <si>
    <t>Operating liabilities removed from both IC and liabilities: 3 areas = net invested capital (incl. financial assets), financial liabilities, net equity</t>
  </si>
  <si>
    <t xml:space="preserve">  Net invested capital incl. financial assets = financial liabilities + net equity</t>
  </si>
  <si>
    <t>Slide 9: total assets − operating liabilities (and liabilities held for sale)</t>
  </si>
  <si>
    <t xml:space="preserve">  (Operating income + financial income) / net invested capital incl. financial assets</t>
  </si>
  <si>
    <t>Slide 28: RONA incl. financial assets</t>
  </si>
  <si>
    <t xml:space="preserve">    Core: [A] / NOIC</t>
  </si>
  <si>
    <t>Slide 29 split</t>
  </si>
  <si>
    <t xml:space="preserve">    × NOIC / net invested capital incl. financial assets</t>
  </si>
  <si>
    <t xml:space="preserve">    Non-core: [B] / non-operating assets</t>
  </si>
  <si>
    <t xml:space="preserve">    × non-operating assets / net invested capital incl. financial assets</t>
  </si>
  <si>
    <t xml:space="preserve">    Financial: financial income / cash and short-term financial assets</t>
  </si>
  <si>
    <t>Slide 29: return on financial assets</t>
  </si>
  <si>
    <t xml:space="preserve">    × cash and short-term financial assets / net invested capital incl. financial assets</t>
  </si>
  <si>
    <t xml:space="preserve">  Cost of financial debt (Kd) = financial expenses / financial liabilities</t>
  </si>
  <si>
    <t>Slide 28: now a 'good number'</t>
  </si>
  <si>
    <t xml:space="preserve">  Spread = ROI − Kd</t>
  </si>
  <si>
    <t xml:space="preserve">  × financial liabilities / net equity</t>
  </si>
  <si>
    <t>Financial leverage</t>
  </si>
  <si>
    <t xml:space="preserve">    Comprehensive income / EBT (comprehensive)</t>
  </si>
  <si>
    <t>Slide 30: = 1 − average tax rate</t>
  </si>
  <si>
    <t xml:space="preserve">    × EBT / income before unusual items and taxes</t>
  </si>
  <si>
    <t>Slide 30: effect of unusual items</t>
  </si>
  <si>
    <t>Reading (financial leverage): leverage contributes less and less. Financial debt / equity fell from 0.54x in 2024 to 0.23x in 2025, because most of the convertible bond issued in 2023 to finance Expal was converted into shares (financial liabilities −47% to €1,281m; AR2025 p.60–61). The spread between return and cost of debt stays wide (14.3 pp in 2024, 13.8 pp in 2025), so the leverage effect before unusual items and taxes falls from about 7.8 pp to 3.1 pp of ROE. The 2025 cost of debt of 8.7% is not a real rise in interest rates: the year's interest was paid on the debt outstanding before the conversions, but we divide by the much lower year-end debt.</t>
  </si>
  <si>
    <t xml:space="preserve">  ROE before unusual items and taxes = IBUIT / net equity</t>
  </si>
  <si>
    <t>Slide 32: compared with the cost of equity (before taxes)</t>
  </si>
  <si>
    <t>Modigliani–Miller — second technical adjustment: NOA and NFO (slides 10–11, 14; slides 16–18 when NFO &lt; 0)</t>
  </si>
  <si>
    <t>E6</t>
  </si>
  <si>
    <t>3 areas = NOA, NFO, net equity. Only FINANCIAL assets move into NFO (slide 10 (1)–(2)); equity-method stakes and held-for-sale net assets are not financial, so they stay on the operating side with their income (equity-method result) (I-37)</t>
  </si>
  <si>
    <t xml:space="preserve">  Net financial expenses = −(other financial result + [C]) (€ million; negative = net financial income)</t>
  </si>
  <si>
    <t>Slide 10 (3): income of financial assets (other financial result, R6) subtracted from financial expense</t>
  </si>
  <si>
    <t xml:space="preserve">  Return on NOA = ([A] + equity-method result) / NOA</t>
  </si>
  <si>
    <t>Slide 11. Equals core RONA × weight + non-core × weight below</t>
  </si>
  <si>
    <t xml:space="preserve">    Core RONA = [A] / NOIC (= ROS × assets turnover × gross / net, P4)</t>
  </si>
  <si>
    <t>Slide 10 (1): stricto sensu operating assets</t>
  </si>
  <si>
    <t xml:space="preserve">    × NOIC / NOA</t>
  </si>
  <si>
    <t xml:space="preserve">    Non-core: equity-method result / non-financial non-operating assets</t>
  </si>
  <si>
    <t>Held-for-sale net assets earn nothing here (their result is in discontinued operations, unusual)</t>
  </si>
  <si>
    <t xml:space="preserve">    × non-financial non-operating assets / NOA</t>
  </si>
  <si>
    <t xml:space="preserve">  Net financial expenses / NFO</t>
  </si>
  <si>
    <t>Slide 10: cost of net financial obligations</t>
  </si>
  <si>
    <t xml:space="preserve">  Spread = RONA − cost of NFO</t>
  </si>
  <si>
    <t xml:space="preserve">  × NFO / net equity</t>
  </si>
  <si>
    <t>Financial leverage based on NFO (slide 11)</t>
  </si>
  <si>
    <t>ROE = [RONA + spread × NFO/NE] × CI / IBUIT</t>
  </si>
  <si>
    <t>When NFO &lt; 0: net financial assets form (slides 16–18)</t>
  </si>
  <si>
    <t>Shown only in years with net financial assets; the cost of NFO is replaced by the return on NFA</t>
  </si>
  <si>
    <t xml:space="preserve">  Net financial assets (NFA) = −NFO</t>
  </si>
  <si>
    <t xml:space="preserve">  Return on NFA = (other financial result + [C]) / NFA</t>
  </si>
  <si>
    <t>Slide 16 (A)</t>
  </si>
  <si>
    <t xml:space="preserve">  NFA / net equity</t>
  </si>
  <si>
    <t>ROE = [RONA − (RONA − return on NFA) × NFA/NE] × CI / IBUIT</t>
  </si>
  <si>
    <t>Slide 16 (A) / slide 18: a positive spread REDUCES ROE</t>
  </si>
  <si>
    <t>Reading (net financial assets): at the end of 2025 Rheinmetall holds net financial assets of €395m in our definition (net liquidity of €369m in Rheinmetall's own definition, AR2025 p.60), for the first time in the three years. With RONA at 35%, cash earns far less than the business, so holding it dilutes ROE slightly (NFA / equity = 7%). The negative return on NFA (−32.7%) is the same year-end effect as the cost of debt above: the 2025 financing costs relate to debt that was converted during the year.</t>
  </si>
  <si>
    <t xml:space="preserve">  Sign of NOIC (slide 21: extreme operating liability leverage)</t>
  </si>
  <si>
    <t>Penman — after-tax formula and operating liability leverage (slides 12, 15; slide 16 (B))</t>
  </si>
  <si>
    <t>E7</t>
  </si>
  <si>
    <t>All IS amounts after taxes at the average tax rate of the reformulated IS (Example 1 and 5)</t>
  </si>
  <si>
    <t xml:space="preserve">  Tax rate on continuing operations = current-year income taxes / EBT (continuing)</t>
  </si>
  <si>
    <t>Taxes of continuing operations excl. earlier-period taxes (R10) over reported EBT. The comprehensive rate (R10) is distorted by discontinued-operation and OCI taxes (2025: non-deductible impairment of 350 in discontinued operations)</t>
  </si>
  <si>
    <t xml:space="preserve">  NOPAT = ([A] + equity-method result) × (1 − t) (€ million)</t>
  </si>
  <si>
    <t>Slide 13. Operating income of NOA (same classes as E6); one average rate for all income, as in the reformulated IS</t>
  </si>
  <si>
    <t xml:space="preserve">  Net financial expenses after taxes = NFE × (1 − t) (€ million)</t>
  </si>
  <si>
    <t xml:space="preserve">  Income before unusual items, after taxes = NOPAT − NFE after taxes (€ million)</t>
  </si>
  <si>
    <t xml:space="preserve">  RNOA = NOPAT / NOA</t>
  </si>
  <si>
    <t>Slide 12: RONA after taxes</t>
  </si>
  <si>
    <t xml:space="preserve">  Net financial expenses after taxes / NFO</t>
  </si>
  <si>
    <t xml:space="preserve">  × comprehensive income / income before unusual items after taxes</t>
  </si>
  <si>
    <t>ROE = [RNOA + (RNOA − NFE_at/NFO) × NFO/NE] × CI / IBUIT_at</t>
  </si>
  <si>
    <t>Must equal CI / net equity. Algebraically identical to the NFA form (slide 16 (B)) when NFO &lt; 0</t>
  </si>
  <si>
    <t xml:space="preserve">  Short-term borrowing rate after tax — proxy = financial expenses / financial liabilities × (1 − t)</t>
  </si>
  <si>
    <t>GROUP-DEVISED PROXY, not one of the slide-12 options (short-term interest / short-term debt is not disclosed): average cost of all financial debt. ROOA and implicit interest are INDICATIVE; use the override for a market rate (I-52)</t>
  </si>
  <si>
    <t xml:space="preserve">  Override: market short-term borrowing rate after tax (optional input)</t>
  </si>
  <si>
    <t>Slide 12 alternative: type a market rate here to replace the proxy</t>
  </si>
  <si>
    <t xml:space="preserve">  Short-term borrowing rate after tax used</t>
  </si>
  <si>
    <t xml:space="preserve">  Implicit interest on operating liabilities = operating liabilities × short-term rate (€ million)</t>
  </si>
  <si>
    <t xml:space="preserve">  ROOA = (NOPAT + implicit interest) / operating assets (NOA + operating liabilities)</t>
  </si>
  <si>
    <t>Slide 12: return on operating assets</t>
  </si>
  <si>
    <t xml:space="preserve">  × operating liabilities / NOA (operating liability leverage)</t>
  </si>
  <si>
    <t>Slide 12 (1)</t>
  </si>
  <si>
    <t>RNOA = ROOA + (ROOA − short-term rate) × operating liabilities / NOA</t>
  </si>
  <si>
    <t>Slide 12 (2): operating liability leverage spread. Must equal NOPAT / NOA</t>
  </si>
  <si>
    <t>Reading (Penman): after tax, RNOA rises from 13.8% to 16.1% and 22.7%. The return on operating assets before the benefit of operating liabilities (ROOA) is much lower, at 8.4% to 12.4%. Most of the gap is the free financing from customers' advance payments, which is the single biggest structural driver of Rheinmetall's returns. The ROOA split relies on our own short-term rate proxy, so read the split as indicative; RNOA itself does not depend on it.</t>
  </si>
  <si>
    <t>Ratio Summary — three-year comparison, slide thresholds and material changes</t>
  </si>
  <si>
    <t>Material-change screen: flag T when |Δ in T| &gt; k × |Δ in T−1|; k =</t>
  </si>
  <si>
    <t>S0</t>
  </si>
  <si>
    <t>Input. Screening rule set by the group (no slide threshold): compares the latest change with the company's own previous change. A flag is an observation, not a cause or a judgement</t>
  </si>
  <si>
    <t>Income statement and cost structure (Sessions 2–3)</t>
  </si>
  <si>
    <t>S1</t>
  </si>
  <si>
    <t xml:space="preserve">  Growth of net revenues</t>
  </si>
  <si>
    <t xml:space="preserve">  Core operating margin (ROS) = [A] / net revenues</t>
  </si>
  <si>
    <t xml:space="preserve">  Operating margin = [A+B] / net revenues</t>
  </si>
  <si>
    <t xml:space="preserve">  Tax rate on EBT (comprehensive)</t>
  </si>
  <si>
    <t xml:space="preserve">  Degree of operating leverage (DOL)</t>
  </si>
  <si>
    <t>Managerial balance sheet (Session 4)</t>
  </si>
  <si>
    <t xml:space="preserve">  Operating liability leverage</t>
  </si>
  <si>
    <t xml:space="preserve">  Debt-to-equity ((operating + financial liabilities) / net equity)</t>
  </si>
  <si>
    <t>ROI (Session 5)</t>
  </si>
  <si>
    <t xml:space="preserve">  ROA</t>
  </si>
  <si>
    <t xml:space="preserve">  Gross ROI</t>
  </si>
  <si>
    <t xml:space="preserve">  Net ROI</t>
  </si>
  <si>
    <t xml:space="preserve">  RONA = [A] / NOIC</t>
  </si>
  <si>
    <t xml:space="preserve">  Assets turnover</t>
  </si>
  <si>
    <t xml:space="preserve">  Days sales outstanding</t>
  </si>
  <si>
    <t xml:space="preserve">  Days inventory outstanding</t>
  </si>
  <si>
    <t xml:space="preserve">  Days payable outstanding</t>
  </si>
  <si>
    <t xml:space="preserve">  Cash conversion cycle</t>
  </si>
  <si>
    <t xml:space="preserve">  Capex-to-sales</t>
  </si>
  <si>
    <t xml:space="preserve">  Productive capacity replacement (capex / D&amp;A)</t>
  </si>
  <si>
    <t xml:space="preserve">  Adjusted core ROI (excl. goodwill)</t>
  </si>
  <si>
    <t xml:space="preserve">  Return on gross operating assets</t>
  </si>
  <si>
    <t>ROE (Session 6)</t>
  </si>
  <si>
    <t xml:space="preserve">  ROE = comprehensive income / net equity</t>
  </si>
  <si>
    <t xml:space="preserve">  Cost of financial debt (Kd)</t>
  </si>
  <si>
    <t xml:space="preserve">  Spread = ROI − Kd (first adjustment)</t>
  </si>
  <si>
    <t xml:space="preserve">  Financial liabilities / net equity</t>
  </si>
  <si>
    <t xml:space="preserve">  CI / income before unusual items and taxes</t>
  </si>
  <si>
    <t xml:space="preserve">  ROE before unusual items and taxes</t>
  </si>
  <si>
    <t xml:space="preserve">  RNOA (after tax)</t>
  </si>
  <si>
    <t xml:space="preserve">  ROOA (after tax)</t>
  </si>
  <si>
    <t>Reading rule: a flag reports the size of the movement against the previous one. It does not state a cause, a forecast or a good/bad judgement. All trends involving the 2024 balance sheet are perimeter-affected: the 2024 IS is restated for the civilian business (discontinued) but the 2024 BS is not; the 2025 BS moves it to held for sale. Applies to NOWC/revenue, DSO/DIO/DPO, turnover and 2024 ROI (I-42).</t>
  </si>
  <si>
    <t>Checks — reformulated income statement, cost structure, managerial balance sheet, ROI and ROE</t>
  </si>
  <si>
    <t>[A] + [B] + unusual items inside EBIT (u3–u7e) − pension interest − reported EBIT</t>
  </si>
  <si>
    <t>Comprehensive income − reported total comprehensive income</t>
  </si>
  <si>
    <t>Income before unusual items and taxes + u3–u7e − reported EBT</t>
  </si>
  <si>
    <t>Managerial BS: net invested capital − (NFP + net equity)</t>
  </si>
  <si>
    <t>Managerial BS: all asset lines − reported total assets</t>
  </si>
  <si>
    <t>Managerial BS: all liability and equity lines − reported total equity and liabilities</t>
  </si>
  <si>
    <t>Managerial BS: NOA − NFO − net equity (+ rounding)</t>
  </si>
  <si>
    <t>Cost structure: contribution margin + fixed costs − [A] (reformulated IS)</t>
  </si>
  <si>
    <t>Cost structure: % of value of production adds up (added value − VoP − external costs)</t>
  </si>
  <si>
    <t>Tolerance for ratio identities (0.01 pp: the decompositions are exact identities; the allowance only absorbs floating-point error)</t>
  </si>
  <si>
    <t>ROI: gross ROI − (core × weight + non-core × weight)</t>
  </si>
  <si>
    <t>ROI: net ROI − (core × weight + non-core × weight)</t>
  </si>
  <si>
    <t>ROI: ROS × turnover × gross/net − [A] / NOIC</t>
  </si>
  <si>
    <t>ROI: gross/net − 1 / (1 − operating liability leverage)</t>
  </si>
  <si>
    <t>ROE: DuPont basic − NI / NE</t>
  </si>
  <si>
    <t>ROE: DuPont equity multiplier − (1 + TL / NE)</t>
  </si>
  <si>
    <t>ROE: DuPont five factors − NI / NE</t>
  </si>
  <si>
    <t>ROE: Modigliani–Miller original − CI / NE</t>
  </si>
  <si>
    <t>ROE: MM first adjustment − CI / NE</t>
  </si>
  <si>
    <t>ROE: MM first adjustment, core + non-core + financial split − ROI</t>
  </si>
  <si>
    <t>ROE: CI / IBUIT − (CI / EBT × EBT / IBUIT)</t>
  </si>
  <si>
    <t>ROE: MM second adjustment (NOA / NFO) − CI / NE</t>
  </si>
  <si>
    <t>ROE: MM second adjustment, return on NOA − (core × weight + non-core × weight)</t>
  </si>
  <si>
    <t>ROE: net financial assets form − CI / NE (years with NFO &lt; 0)</t>
  </si>
  <si>
    <t>ROE: Penman after tax − CI / NE</t>
  </si>
  <si>
    <t>ROE: Penman RNOA from ROOA − NOPAT / NOA</t>
  </si>
  <si>
    <t>Cash Flow Analysis — Module B (Sessions 7–9): does the cash confirm the profit?</t>
  </si>
  <si>
    <t>Perimeter: the whole group including discontinued operations, as in the IAS 7 statement (the statement is printed only for the group; continuing operations appear only as section totals). EBITDA and NOWC come from Block 1; the reported figures from 'Reported Financials', rows 317 onwards. Signs: inflows +, outflows −. Choices to revisit are listed on the tab 'Decisions to revisit'.</t>
  </si>
  <si>
    <t>Reformulated Cash Flow Statement — bottom line: change in cash (Session 9 slides 3–5 and 11; Session 8 slides 25–31)</t>
  </si>
  <si>
    <t>Operating cash flow (OCF) = EBITDA ± change in NOWC (Session 9 slide 4; Session 8 slide 30)</t>
  </si>
  <si>
    <t>EBITDA, continuing operations (Block 1)</t>
  </si>
  <si>
    <t>K10</t>
  </si>
  <si>
    <t>Row 30. Starting point = operating income before D&amp;A (Session 9 slide 3; Session 8 slide 6), not net income</t>
  </si>
  <si>
    <t>EBITDA of discontinued operations (note 8, derived)</t>
  </si>
  <si>
    <t>Civilian business: sales + other income − expenses. Pistons: EBT less write-down and deconsolidation result (no D&amp;A after IFRS 5). The statement includes these businesses (perimeter, D-01)</t>
  </si>
  <si>
    <t>EBITDA — perimeter of the cash flow statement (group)</t>
  </si>
  <si>
    <t xml:space="preserve">  Changes in working capital (reported)</t>
  </si>
  <si>
    <t xml:space="preserve">  Changes in receivables, liabilities, prepaid &amp; deferred items (reported)</t>
  </si>
  <si>
    <t xml:space="preserve">  Changes in other provisions (reported)</t>
  </si>
  <si>
    <t>Provisions are operating liabilities (Block 1, B3). Includes structural measures: their cash use is moved to unusual items below</t>
  </si>
  <si>
    <t xml:space="preserve">  Pension provisions: other changes and CTA funding (reported)</t>
  </si>
  <si>
    <t>Pensions are operating (M17); CTA funding is an operating outflow</t>
  </si>
  <si>
    <t>Change in NOWC — cash basis (reported working-capital lines)</t>
  </si>
  <si>
    <t>Cash-flow lines exclude NOWC acquired or reclassified (Session 8 slides 13, 25). Bridge to the Block 1 balance sheet below</t>
  </si>
  <si>
    <t>Undisclosed difference: non-cash items and accruals not separable</t>
  </si>
  <si>
    <t>OCF (from the reported CFOA) − EBITDA − ΔNOWC. Tax accruals, other non-cash items, structural-provision additions inside EBITDA, perimeter. Logged I-54 (D-02)</t>
  </si>
  <si>
    <t>Reported CFOA − items moved to other cash flows (derivation below). The face of the statement prevails (D-02)</t>
  </si>
  <si>
    <t>CAPEX — net investment in tangible and intangible operating assets (Session 9 slide 4; Session 7 slide 11)</t>
  </si>
  <si>
    <t xml:space="preserve">  Purchases of property, plant and equipment, intangible assets and investment property</t>
  </si>
  <si>
    <t>K13</t>
  </si>
  <si>
    <t xml:space="preserve">  Government grants for investments</t>
  </si>
  <si>
    <t>Grant reduces the net investment in the asset (2024: 35)</t>
  </si>
  <si>
    <t xml:space="preserve">  Disposals of property, plant and equipment, intangible assets and investment property</t>
  </si>
  <si>
    <t>CAPEX</t>
  </si>
  <si>
    <t>New leases are not CAPEX here (non-cash; they enter the NFP bridge). Memo in Part 13</t>
  </si>
  <si>
    <t>Operating free cash flow (OFCF), before taxes</t>
  </si>
  <si>
    <t>K14</t>
  </si>
  <si>
    <t>Other cash flows (Session 9 slides 5 and 11)</t>
  </si>
  <si>
    <t>1) Financial income and expenses, unusual items and income taxes</t>
  </si>
  <si>
    <t xml:space="preserve">  Interest received</t>
  </si>
  <si>
    <t>K15</t>
  </si>
  <si>
    <t xml:space="preserve">  Interest paid</t>
  </si>
  <si>
    <t xml:space="preserve">  Rounding: net interest (footnote) vs note 31</t>
  </si>
  <si>
    <t xml:space="preserve">  Dividends received from equity-accounted investments</t>
  </si>
  <si>
    <t>Non-core operating income [B] in Block 1, so not in OCF (coherence, Session 9 slide 6)</t>
  </si>
  <si>
    <t xml:space="preserve">  Cash flows from unusual items (Part 10 below)</t>
  </si>
  <si>
    <t>K18</t>
  </si>
  <si>
    <t xml:space="preserve">  Income taxes paid</t>
  </si>
  <si>
    <t>Total taxes paid, incl. discontinued operations (footnote 1)</t>
  </si>
  <si>
    <t>Subtotal 1)</t>
  </si>
  <si>
    <t>2) Financial investing activities</t>
  </si>
  <si>
    <t xml:space="preserve">  Investments in consolidated companies and financial assets</t>
  </si>
  <si>
    <t xml:space="preserve">  Disinvestments of consolidated companies and financial assets</t>
  </si>
  <si>
    <t xml:space="preserve">  Securities held for trade (short-term investments)</t>
  </si>
  <si>
    <t>Subtotal 2)</t>
  </si>
  <si>
    <t>3) Financing with lenders (third parties)</t>
  </si>
  <si>
    <t xml:space="preserve">  Borrowing of other financial debts</t>
  </si>
  <si>
    <t xml:space="preserve">  Repayment of other financial debts</t>
  </si>
  <si>
    <t xml:space="preserve">  Convertible bonds — liability component</t>
  </si>
  <si>
    <t xml:space="preserve">  Transaction costs for convertible bonds</t>
  </si>
  <si>
    <t>Subtotal 3)</t>
  </si>
  <si>
    <t>4) Financing with shareholders</t>
  </si>
  <si>
    <t xml:space="preserve">  Dividends paid by Rheinmetall AG</t>
  </si>
  <si>
    <t xml:space="preserve">  Dividends paid to NCI (other profit distributions)</t>
  </si>
  <si>
    <t xml:space="preserve">  Increase in shares in subsidiaries (transactions with NCI)</t>
  </si>
  <si>
    <t xml:space="preserve">  Convertible bonds — equity component</t>
  </si>
  <si>
    <t>Subtotal 4)</t>
  </si>
  <si>
    <t>Rounding in the printed statement (investing, financing, change)</t>
  </si>
  <si>
    <t>K16</t>
  </si>
  <si>
    <t>Other cash flows</t>
  </si>
  <si>
    <t>Net change in cash and cash equivalents</t>
  </si>
  <si>
    <t>Must equal the reported change (check below)</t>
  </si>
  <si>
    <t>Effect of exchange rates on cash</t>
  </si>
  <si>
    <t>Not a cash flow (Session 8 slides 19–20)</t>
  </si>
  <si>
    <t>Rounding in the printed cash totals</t>
  </si>
  <si>
    <t>Cash and cash equivalents at 1 January (cash flow statement)</t>
  </si>
  <si>
    <t>Cash and cash equivalents at 31 December (cash flow statement)</t>
  </si>
  <si>
    <t>Less: cash held in disposal groups (assets held for sale)</t>
  </si>
  <si>
    <t>K2</t>
  </si>
  <si>
    <t>Cash and cash equivalents per balance sheet (Block 1 NFP)</t>
  </si>
  <si>
    <t>Ties to row 270 of the managerial balance sheet</t>
  </si>
  <si>
    <t>Reading (change in cash): operating free cash flow before taxes increased significantly in 2024 and 2025. Operating cash flow grew faster than EBITDA because customer advances rose sharply ('increase in customer payments received', AR2025 p.60). The other cash flows were driven by the Expal and Loc Performance acquisitions in 2023–2024 and by debt repayment and dividends in 2025 (AR2025 p.59).</t>
  </si>
  <si>
    <t>Derivation of OCF from the reported cash flow from operating activities (Session 9 slide 14: CFOA ≠ OCF)</t>
  </si>
  <si>
    <t>Cash flow from operating activities (reported)</t>
  </si>
  <si>
    <t xml:space="preserve">  Add back: net interest paid (to other cash flows, group 1)</t>
  </si>
  <si>
    <t xml:space="preserve">  Add back: income taxes paid (to other cash flows, group 1)</t>
  </si>
  <si>
    <t xml:space="preserve">  Less: dividends from equity-accounted investments (non-core [B])</t>
  </si>
  <si>
    <t xml:space="preserve">  Less: cash flows from unusual items (Part 10)</t>
  </si>
  <si>
    <t>Memo: OCF after taxes paid (Session 8 slide 30)</t>
  </si>
  <si>
    <t>Change in NOWC: cash basis vs managerial balance sheet (Block 1)</t>
  </si>
  <si>
    <t>−ΔNOWC, managerial balance sheet (Block 1, row 239)</t>
  </si>
  <si>
    <t>Change in NOWC — cash basis (reported lines, above)</t>
  </si>
  <si>
    <t>Difference: non-cash changes in NOWC</t>
  </si>
  <si>
    <t>Acquired or reclassified balances, FX, income-tax balances and class (b) provisions. Known items: 2024 Loc Performance (inventories 109, receivables 45; AR2024 p.203); 2025 IFRS 5 (inventories 359, trade receivables 289 to held for sale; AR2025 p.216)</t>
  </si>
  <si>
    <t>Reading (OCF and working capital): working capital used cash in 2023 and released cash in 2024 and 2025, mainly through customer advances. The balance sheet shows a larger release than the cash flow statement, because acquired and held-for-sale balances change NOWC without any cash. A small part of OCF cannot be split in the reported lines and is shown on its own line (I-54).</t>
  </si>
  <si>
    <t>Unusual items and sustainable operating cash flow (Session 9 slides 6–10)</t>
  </si>
  <si>
    <t>Cash flows from unusual items (classified among the other cash flows, slide 6)</t>
  </si>
  <si>
    <t xml:space="preserve">  Utilisation of provisions for structural measures (class (b), note 28)</t>
  </si>
  <si>
    <t>K19</t>
  </si>
  <si>
    <t>Provision outside NOWC (Block 1 B3/B5 (b)); its cash use is unusual (slides 8–9). Class mixes partial retirement (D-07)</t>
  </si>
  <si>
    <t xml:space="preserve">  Acquisition transaction costs — Loc Performance (Block 1 unusual item)</t>
  </si>
  <si>
    <t>Expense assumed paid in the same year (D-09)</t>
  </si>
  <si>
    <t xml:space="preserve">  Insurance refund for production losses at Murcia (Block 1 unusual item)</t>
  </si>
  <si>
    <t>'insurance payments for production losses' (AR2025 p.219): assumed received in 2025 (D-08)</t>
  </si>
  <si>
    <t>Cash flows from unusual items</t>
  </si>
  <si>
    <t>Unusual items without a cash flow (slide 7): impairments and reversals, fair-value remeasurements, OCI items (pension remeasurement, cash flow hedges, translation differences). Disposal gains: the cash is in investing (disinvestments line). Earlier-period income taxes are inside taxes paid. The discontinued businesses are inside every line of the group statement (D-01).</t>
  </si>
  <si>
    <t>Sustainable (recurring) operating cash flow (slide 6)</t>
  </si>
  <si>
    <t>OCF before taxes (unusual cash flows already excluded)</t>
  </si>
  <si>
    <t>K21</t>
  </si>
  <si>
    <t>Less: CFOA of discontinued operations (INDICATIVE PROXY)</t>
  </si>
  <si>
    <t>Reported split (IFRS 5); the statement does not give it before interest and taxes</t>
  </si>
  <si>
    <t>Sustainable OCF, continuing operations (INDICATIVE)</t>
  </si>
  <si>
    <t>Memo: EBITDA, continuing operations (Block 1)</t>
  </si>
  <si>
    <t>Reading (sustainable OCF): one-off cash flows are small, except the 2025 insurance refund. Sustainable OCF of continuing operations is above continuing EBITDA in 2024 and 2025, so the cash confirms the profit in those years; in 2023 it is below (old perimeter, I-21).</t>
  </si>
  <si>
    <t>Reformulated Cash Flow Statement — bottom line: change in NFP (Session 9 slides 11–13; Session 8 slide 31)</t>
  </si>
  <si>
    <t>K22</t>
  </si>
  <si>
    <t xml:space="preserve">  1) Financial income and expenses, unusual items and income taxes</t>
  </si>
  <si>
    <t xml:space="preserve">  2) Long-term financial investing (ST securities are inside the NFP)</t>
  </si>
  <si>
    <t xml:space="preserve">  3) Financing with lenders: inside the NFP — not shown (slide 12)</t>
  </si>
  <si>
    <t xml:space="preserve">  4) Financing with shareholders</t>
  </si>
  <si>
    <t xml:space="preserve">  Rounding differences in the printed statement</t>
  </si>
  <si>
    <t>Cash generated (+) / absorbed (−): decrease (increase) in NFP</t>
  </si>
  <si>
    <t>'If something is inside the bottom line it can't stay above the bottom line' (slide 12)</t>
  </si>
  <si>
    <t>Reconciliation of the change in NFP — three cases (slide 13)</t>
  </si>
  <si>
    <t>NFP at 1 January (Block 1, row 272)</t>
  </si>
  <si>
    <t>K23</t>
  </si>
  <si>
    <t xml:space="preserve">  Case 1 — cash transactions (− cash generated)</t>
  </si>
  <si>
    <t xml:space="preserve">  Case 2 — internal transactions (change content, not amount)</t>
  </si>
  <si>
    <t>Memo below: these move amounts inside the NFP and leave its size unchanged</t>
  </si>
  <si>
    <t xml:space="preserve">    Memo: net borrowing (debt ↑ and cash ↑)</t>
  </si>
  <si>
    <t xml:space="preserve">    Memo: short-term securities sold (securities ↓ and cash ↑)</t>
  </si>
  <si>
    <t xml:space="preserve">    Case 3 — valuation and non-cash changes</t>
  </si>
  <si>
    <t xml:space="preserve">    New leases (additions of right-of-use assets)</t>
  </si>
  <si>
    <t xml:space="preserve">    Conversion of convertible bonds into shares</t>
  </si>
  <si>
    <t xml:space="preserve">    Interest accretion on financial debts (amortised cost)</t>
  </si>
  <si>
    <t xml:space="preserve">    Financial debts from changes in the scope of consolidation</t>
  </si>
  <si>
    <t xml:space="preserve">    Currency differences on financial debts</t>
  </si>
  <si>
    <t xml:space="preserve">    Financial debts transferred to liabilities held for sale (IFRS 5)</t>
  </si>
  <si>
    <t xml:space="preserve">    Rounding in the §44A reconciliation</t>
  </si>
  <si>
    <t xml:space="preserve">    §44A cash changes − financing lines of the statement (undisclosed)</t>
  </si>
  <si>
    <t>2023: 6; 2024: 14 (D-12)</t>
  </si>
  <si>
    <t xml:space="preserve">    Exchange-rate effect on cash</t>
  </si>
  <si>
    <t xml:space="preserve">    Change in cash held in disposal groups (held for sale)</t>
  </si>
  <si>
    <t>Cash per statement − cash per balance sheet. End-2022: 568 − 545 = 23</t>
  </si>
  <si>
    <t xml:space="preserve">    Short-term financial assets: valuation and other non-cash</t>
  </si>
  <si>
    <t xml:space="preserve">    Rounding in the printed cash totals</t>
  </si>
  <si>
    <t>NFP at 31 December (reconstructed)</t>
  </si>
  <si>
    <t>K24</t>
  </si>
  <si>
    <t>Memo: NFP at 31 December (Block 1, row 272)</t>
  </si>
  <si>
    <t>Reading (change in NFP): net debt rose in 2023 because the Expal acquisition cost more than the business generated, and in 2024 because Loc Performance brought its debt into the group. In 2025 the group moved to net liquidity: strong cash generation plus the conversion of the convertible bond into shares, which reduced debt without any cash (AR2025 p.60).</t>
  </si>
  <si>
    <t>Free cash flow to equity and the two finance views (Session 9 slides 14–15)</t>
  </si>
  <si>
    <t>Unlevered free cash flow (slide 14)</t>
  </si>
  <si>
    <t>OFCF before taxes</t>
  </si>
  <si>
    <t>K25</t>
  </si>
  <si>
    <t xml:space="preserve">  Notional taxes on operating income: − t × ([A] + equity result)</t>
  </si>
  <si>
    <t>Same base and t as NOPAT (rows 463–464; M11: continuing operations)</t>
  </si>
  <si>
    <t>Unlevered FCF (OFCF after taxes, FCFF)</t>
  </si>
  <si>
    <t>Free cash flow to equity — cash view (slide 15, right)</t>
  </si>
  <si>
    <t>K26</t>
  </si>
  <si>
    <t xml:space="preserve">  + interest and dividends received − interest paid</t>
  </si>
  <si>
    <t xml:space="preserve">  − income taxes paid</t>
  </si>
  <si>
    <t xml:space="preserve">  ± cash flows from unusual items</t>
  </si>
  <si>
    <t xml:space="preserve">  − net investments in LT financial assets (acquisitions, disposals)</t>
  </si>
  <si>
    <t xml:space="preserve">  + proceeds from borrowings − reimbursement of financial debts</t>
  </si>
  <si>
    <t xml:space="preserve">  ± change in short-term financial assets</t>
  </si>
  <si>
    <t xml:space="preserve">  − dividends paid (Rheinmetall AG and NCI)</t>
  </si>
  <si>
    <t xml:space="preserve">  ± change in equity (NCI transactions, convertible equity part)</t>
  </si>
  <si>
    <t>K27</t>
  </si>
  <si>
    <t>From unlevered FCF to FCFE (slide 14)</t>
  </si>
  <si>
    <t>Unlevered free cash flow</t>
  </si>
  <si>
    <t xml:space="preserve">  − net financial expenses after tax = net interest × (1 − t)</t>
  </si>
  <si>
    <t xml:space="preserve">  ± net change in NFO (borrowings, repayments, ST securities)</t>
  </si>
  <si>
    <t xml:space="preserve">  Taxes paid vs notional taxes net of the tax shield (derived)</t>
  </si>
  <si>
    <t>Taxes paid − t × (operating income + net interest): timing, taxes on unusual items and on discontinued operations</t>
  </si>
  <si>
    <t xml:space="preserve">  Cash flows from unusual items</t>
  </si>
  <si>
    <t xml:space="preserve">  Net investments in long-term financial assets</t>
  </si>
  <si>
    <t>Reading (FCFE): free cash flow to equity grew every year and covered the dividends. In 2023 it relied on new borrowing to pay for Expal; in 2025 it is after repaying debt.</t>
  </si>
  <si>
    <t>CAPEX hidden in business combinations (Session 8 slides 13–16)</t>
  </si>
  <si>
    <t>CAPEX (net, from the statement)</t>
  </si>
  <si>
    <t xml:space="preserve">  Intangible assets acquired in business combinations (note 7)</t>
  </si>
  <si>
    <t>2025: n.d. — four immaterial acquisitions, no asset breakdown (AR2025 p.214–215)</t>
  </si>
  <si>
    <t xml:space="preserve">  Property, plant and equipment acquired (note 7)</t>
  </si>
  <si>
    <t xml:space="preserve">  Right-of-use assets acquired (note 7)</t>
  </si>
  <si>
    <t>2023: the Expal note has no separate right-of-use line</t>
  </si>
  <si>
    <t>Adjusted CAPEX (incl. assets bought through acquisitions)</t>
  </si>
  <si>
    <t>Adjusted OFCF</t>
  </si>
  <si>
    <t>'expending resources to obtain a capital asset is always a capital expenditure' (Ketz, slide 15)</t>
  </si>
  <si>
    <t>Memo: goodwill acquired (not added)</t>
  </si>
  <si>
    <t>Goodwill excluded from the adjusted CAPEX (D-05)</t>
  </si>
  <si>
    <t>Memo: new leases (right-of-use additions, non-cash)</t>
  </si>
  <si>
    <t>Memo: CAPEX incl. new leases</t>
  </si>
  <si>
    <t>Session 7 slide 11: CAPEX/D&amp;A depends on whether leased assets are counted</t>
  </si>
  <si>
    <t>Reading (hidden CAPEX): counting the assets bought through acquisitions, capex is much higher and operating free cash flow much lower in 2023 and 2024 (negative in 2023). 2025 cannot be adjusted, because the acquisitions are disclosed only in total.</t>
  </si>
  <si>
    <t>Cash-flow ratios and the earnings–OCF wedge (Session 10) — placeholder</t>
  </si>
  <si>
    <t>Placeholder: to be built when the Session 10 slides are uploaded. Nothing is computed here yet.</t>
  </si>
  <si>
    <t>Creative cash-flow reporting screen and sustainable OCF estimate (Session 11) — placeholder</t>
  </si>
  <si>
    <t>Placeholder: to be built when the Session 11 slides are uploaded (classification shifting, acquisition-driven flows, receivables sales/factoring, supplier finance, capitalised costs).</t>
  </si>
  <si>
    <t>Business model and industry KPIs against two or three peers (Session 12) — placeholder</t>
  </si>
  <si>
    <t>Placeholder: to be built when the Session 12 slides are uploaded. Peer data only from documents we retrieve, with URL.</t>
  </si>
  <si>
    <t>Checks — cash flow analysis (Module B)</t>
  </si>
  <si>
    <t>Tolerance: 'Reported Financials'!E233 (2, rounding of printed lines)</t>
  </si>
  <si>
    <t>Reformulated net change in cash − reported changes in cash</t>
  </si>
  <si>
    <t>Reformulated cash at 31 December − reported closing cash</t>
  </si>
  <si>
    <t>Cash per balance sheet (reformulated) − Block 1 cash (row 270)</t>
  </si>
  <si>
    <t>OCF starts from the Block 1 EBITDA (row 30)</t>
  </si>
  <si>
    <t>OCF composition: EBITDA (group) + ΔNOWC + undisclosed difference − OCF</t>
  </si>
  <si>
    <t>NFP bridge: reconstructed NFP − Block 1 NFP (row 272)</t>
  </si>
  <si>
    <t>NFP statement: cash generated − (change in cash − net borrowing − short-term securities)</t>
  </si>
  <si>
    <t>FCFE identity: FCFE − dividends ± equity − reported change in cash</t>
  </si>
  <si>
    <t>FCFE: unlevered bridge − cash view</t>
  </si>
  <si>
    <t>Structural-measure provisions 31 December (note 28) − Block 1 class (b) (row 255)</t>
  </si>
  <si>
    <t>Discontinued EBT (note 8) − Block 1 discontinued operations before tax (row 61)</t>
  </si>
  <si>
    <t>Reported cash flow statement checks ('Reported Financials')</t>
  </si>
  <si>
    <t>Overall status — cash flow analysis</t>
  </si>
  <si>
    <t>Overall status — whole tab (Block 1 + Block 2)</t>
  </si>
  <si>
    <t>Note</t>
  </si>
  <si>
    <t>Comment</t>
  </si>
  <si>
    <t>Income Statement</t>
  </si>
  <si>
    <t>Sales</t>
  </si>
  <si>
    <t>9</t>
  </si>
  <si>
    <t>2024 restated in AR2025 (civilian business → discontinued); 2023 from AR2024, not restated</t>
  </si>
  <si>
    <t>2024 vs 2023 not like-for-like</t>
  </si>
  <si>
    <t>Changes in inventories and work performed by the enterprise and capitalized</t>
  </si>
  <si>
    <t>10</t>
  </si>
  <si>
    <t xml:space="preserve">  Increase in inventory of finished and unfinished products</t>
  </si>
  <si>
    <t xml:space="preserve">  Other work performed by the enterprise and capitalized</t>
  </si>
  <si>
    <t xml:space="preserve">  Rounding / undisclosed difference</t>
  </si>
  <si>
    <t>Printed figure − sum of the printed lines above; ≤ tolerance = rounding, larger = undisclosed item (log it)</t>
  </si>
  <si>
    <t>Total operating performance</t>
  </si>
  <si>
    <t>Other operating income</t>
  </si>
  <si>
    <t>11</t>
  </si>
  <si>
    <t xml:space="preserve">  Refunds</t>
  </si>
  <si>
    <t>2025: mainly insurance payments for production losses (n.11)</t>
  </si>
  <si>
    <t xml:space="preserve">  Government grants</t>
  </si>
  <si>
    <t xml:space="preserve">  Reversal of provisions</t>
  </si>
  <si>
    <t xml:space="preserve">  Residual/scrap disposal</t>
  </si>
  <si>
    <t xml:space="preserve">  Sundry rental agreements and leases</t>
  </si>
  <si>
    <t xml:space="preserve">  Disposal of fixed assets/divestments</t>
  </si>
  <si>
    <t xml:space="preserve">  Reversal of assets (excl. financial assets)</t>
  </si>
  <si>
    <t xml:space="preserve">  Miscellaneous operating income</t>
  </si>
  <si>
    <t>Cost of materials</t>
  </si>
  <si>
    <t>12</t>
  </si>
  <si>
    <t>Printed without brackets as an expense</t>
  </si>
  <si>
    <t xml:space="preserve">  Cost of raw materials, supplies and merchandise purchased</t>
  </si>
  <si>
    <t xml:space="preserve">  Cost of services purchased</t>
  </si>
  <si>
    <t>Personnel costs</t>
  </si>
  <si>
    <t>13</t>
  </si>
  <si>
    <t xml:space="preserve">  Wages and salaries</t>
  </si>
  <si>
    <t xml:space="preserve">  Social security and related employee benefits</t>
  </si>
  <si>
    <t xml:space="preserve">  Pension expenses</t>
  </si>
  <si>
    <t xml:space="preserve">  Expenses for redundancy plans, termination indemnities, partial retirement</t>
  </si>
  <si>
    <t>Amortization, depreciation and impairment</t>
  </si>
  <si>
    <t>14</t>
  </si>
  <si>
    <t xml:space="preserve">  Property, plant and equipment and investment property</t>
  </si>
  <si>
    <t xml:space="preserve">  % of sales</t>
  </si>
  <si>
    <t>Other operating expenses</t>
  </si>
  <si>
    <t>15</t>
  </si>
  <si>
    <t xml:space="preserve">  Operating costs and maintenance</t>
  </si>
  <si>
    <t xml:space="preserve">  IT costs</t>
  </si>
  <si>
    <t xml:space="preserve">  Distribution and advertising costs</t>
  </si>
  <si>
    <t xml:space="preserve">  General administrative expenses</t>
  </si>
  <si>
    <t xml:space="preserve">  Travel expenses</t>
  </si>
  <si>
    <t xml:space="preserve">  Insurances</t>
  </si>
  <si>
    <t xml:space="preserve">  Changes in / additions to other provisions</t>
  </si>
  <si>
    <t xml:space="preserve">  Audit, legal and consultancy fees</t>
  </si>
  <si>
    <t xml:space="preserve">  Write-downs of receivables</t>
  </si>
  <si>
    <t xml:space="preserve">  Rents, leases and ancillary costs</t>
  </si>
  <si>
    <t xml:space="preserve">  Warranties</t>
  </si>
  <si>
    <t xml:space="preserve">  Patent and licensing fees</t>
  </si>
  <si>
    <t xml:space="preserve">  Disposal of non-current assets (excl. financial assets)</t>
  </si>
  <si>
    <t xml:space="preserve">  Other taxes</t>
  </si>
  <si>
    <t xml:space="preserve">  Miscellaneous operating expenses</t>
  </si>
  <si>
    <t>Result from investments accounted for using the equity method</t>
  </si>
  <si>
    <t>22</t>
  </si>
  <si>
    <t>AR2023 text shows '157' = footnote 1 + 57</t>
  </si>
  <si>
    <t>Other financial result</t>
  </si>
  <si>
    <t>Reported inside EBIT; no note breakdown found</t>
  </si>
  <si>
    <t>Rounding difference to the printed subtotal</t>
  </si>
  <si>
    <t>Earnings before interest and taxes (EBIT)</t>
  </si>
  <si>
    <t xml:space="preserve">  EBIT margin</t>
  </si>
  <si>
    <t>Interest income</t>
  </si>
  <si>
    <t>Interest expenses</t>
  </si>
  <si>
    <t>Includes IFRS 15 financing-component interest on customer advances; amount not disclosed (AR2025 p.56)</t>
  </si>
  <si>
    <t>Earnings before taxes (EBT)</t>
  </si>
  <si>
    <t>16</t>
  </si>
  <si>
    <t xml:space="preserve">  Effective tax rate</t>
  </si>
  <si>
    <t>Earnings from continuing operations</t>
  </si>
  <si>
    <t>Earnings from discontinued operations</t>
  </si>
  <si>
    <t>8</t>
  </si>
  <si>
    <t>2025: civilian business (incl. impairment 350); 2023–24: Pistons</t>
  </si>
  <si>
    <t>Earnings after taxes</t>
  </si>
  <si>
    <t xml:space="preserve">  Rheinmetall AG shareholders</t>
  </si>
  <si>
    <t xml:space="preserve">  Profit margin</t>
  </si>
  <si>
    <t>Additional information from the notes (included in the lines above)</t>
  </si>
  <si>
    <t>Amortisation from purchase price allocations (PPA)</t>
  </si>
  <si>
    <t>Included in amortization, depreciation and impairment</t>
  </si>
  <si>
    <t>Impairment losses</t>
  </si>
  <si>
    <t>Net interest on pensions (interest cost − interest income on plan assets)</t>
  </si>
  <si>
    <t>27</t>
  </si>
  <si>
    <t>Included in interest expenses; group total incl. discontinued ops</t>
  </si>
  <si>
    <t>Interest expenses from lease liabilities</t>
  </si>
  <si>
    <t>19</t>
  </si>
  <si>
    <t>Included in interest expenses</t>
  </si>
  <si>
    <t>Shriram Pistons &amp; Rings: gain on sale of share packages (31) + initial fair-value measurement of the remaining shares (22)</t>
  </si>
  <si>
    <t>Included in the equity-method result. Total Shriram effect 2023 = 69 (AR2023 p.226): 31 + 22 here, 5 FV in other financial result, 10 at-equity share of profit, 1 dividend</t>
  </si>
  <si>
    <t>Gain on sale of AIM shares (not adjusted by the company)</t>
  </si>
  <si>
    <t>Included in the equity-method result (management report)</t>
  </si>
  <si>
    <t>Fair-value remeasurement gains in other financial result (2023: Shriram shares; 2025: previously held 40% interest in blackned, IFRS 3)</t>
  </si>
  <si>
    <t>Included in the other financial result. 2023: subsequent fair-value measurement of the Shriram shares (AR2023 p.226); 2024: none disclosed</t>
  </si>
  <si>
    <t>Transaction costs for the acquisition of Loc Performance (management special item)</t>
  </si>
  <si>
    <t>Included in operating costs (other operating expenses). Amount from AR2024 p.51 and AR2025 p.55 (Vehicle Systems, corporate transactions); none in 2023 and 2025</t>
  </si>
  <si>
    <t>Earlier-period income taxes (included in income taxes)</t>
  </si>
  <si>
    <t>Composition of income taxes. 2023 = income of 3 (AR2024, printed '(3)'); 2024 restated in AR2025</t>
  </si>
  <si>
    <t>Civilian business (Power Systems segment): external sales, as originally reported</t>
  </si>
  <si>
    <t>Memo, not added into any total. Inside 2023 sales (AR2024 not restated); in 2024 the business is in discontinued operations (AR2025)</t>
  </si>
  <si>
    <t>Civilian business (Power Systems segment): EBIT, as originally reported</t>
  </si>
  <si>
    <t>Memo, not added into any total. Segment EBIT, not reformulated</t>
  </si>
  <si>
    <t>Management special items: restructuring</t>
  </si>
  <si>
    <t>Line of the income statement that contains it is not disclosed</t>
  </si>
  <si>
    <t>Management special items: others</t>
  </si>
  <si>
    <t>Content and line not disclosed</t>
  </si>
  <si>
    <t>Insurance refund for production losses (Murcia), estimated unusual portion of refunds</t>
  </si>
  <si>
    <t>Estimate = 2025 refunds above the 2024 level (118 − 21 = 97), consistent with management's 'higher double-digit million euro amount'. Included in refunds (n.11); memo, not added into any total</t>
  </si>
  <si>
    <t>Provisions for structural measures (restructuring), in other provisions</t>
  </si>
  <si>
    <t>28</t>
  </si>
  <si>
    <t>Termination indemnities and partial-retirement obligations (note 28). Included in other current and non-current provisions; memo, not added into any total</t>
  </si>
  <si>
    <t>Discontinued operations: earnings before taxes</t>
  </si>
  <si>
    <t>2024–25: civilian business + small-bore pistons (two tables, AR2025 p.215–216); 2023: pistons</t>
  </si>
  <si>
    <t>Discontinued operations: income taxes</t>
  </si>
  <si>
    <t>Pre-tax + taxes = earnings from discontinued operations</t>
  </si>
  <si>
    <t>OCI before tax: remeasurement of net defined benefit liability from pensions</t>
  </si>
  <si>
    <t>26</t>
  </si>
  <si>
    <t>OCI before tax: equity-method investments (not reclassified)</t>
  </si>
  <si>
    <t>OCI before tax: change in value of derivatives (cash flow hedges)</t>
  </si>
  <si>
    <t>OCI before tax: currency translation difference</t>
  </si>
  <si>
    <t>OCI before tax: equity-method investments (reclassified)</t>
  </si>
  <si>
    <t>Tax effect on other comprehensive income</t>
  </si>
  <si>
    <t>Printed total of the tax-effect column</t>
  </si>
  <si>
    <t>Research and development costs recognised as expenses</t>
  </si>
  <si>
    <t>18</t>
  </si>
  <si>
    <t>Included in the cost lines above (by nature). 2023 = AR2024 n.18 (old perimeter); 2024–25 = AR2025 management report p.31</t>
  </si>
  <si>
    <t>Statutory tax rate</t>
  </si>
  <si>
    <t>Corporation tax 15% + solidarity surcharge 5.5% + trade tax 15%</t>
  </si>
  <si>
    <t>Statement of Comprehensive Income</t>
  </si>
  <si>
    <t>Remeasurement of net defined benefit liability from pensions</t>
  </si>
  <si>
    <t>Other comprehensive income from investments accounted for using the equity method (not reclassified)</t>
  </si>
  <si>
    <t>Change in value of derivative financial instruments (cash flow hedge)</t>
  </si>
  <si>
    <t>Currency translation difference</t>
  </si>
  <si>
    <t>Other comprehensive income from investments accounted for using the equity method (reclassified)</t>
  </si>
  <si>
    <t>AR2024 text shows '14' for 2024 = footnote 1 + 4</t>
  </si>
  <si>
    <t>Other comprehensive income after taxes</t>
  </si>
  <si>
    <t>Total comprehensive income</t>
  </si>
  <si>
    <t>Balance Sheet — Assets</t>
  </si>
  <si>
    <t>Goodwill</t>
  </si>
  <si>
    <t>Other intangible assets</t>
  </si>
  <si>
    <t>Right-of-use assets</t>
  </si>
  <si>
    <t>Property, plant and equipment</t>
  </si>
  <si>
    <t>20</t>
  </si>
  <si>
    <t>Investment property</t>
  </si>
  <si>
    <t>21</t>
  </si>
  <si>
    <t>Investments accounted for using the equity method</t>
  </si>
  <si>
    <t>Other non-current assets</t>
  </si>
  <si>
    <t>24</t>
  </si>
  <si>
    <t>Breakdown in 'Notes to the balance sheet' below</t>
  </si>
  <si>
    <t>Deferred taxes</t>
  </si>
  <si>
    <t>Non-current assets</t>
  </si>
  <si>
    <t>Inventories</t>
  </si>
  <si>
    <t>23</t>
  </si>
  <si>
    <t>Contract assets</t>
  </si>
  <si>
    <t>Trade receivables</t>
  </si>
  <si>
    <t>Other current assets</t>
  </si>
  <si>
    <t>Income tax receivables</t>
  </si>
  <si>
    <t>Securities held for trade</t>
  </si>
  <si>
    <t>25</t>
  </si>
  <si>
    <t>Only in AR2023 (strategic liquidity reserve fund, liquidated 2023)</t>
  </si>
  <si>
    <t>Cash and cash equivalents</t>
  </si>
  <si>
    <t>Assets held for sale</t>
  </si>
  <si>
    <t>Current assets</t>
  </si>
  <si>
    <t>Total assets</t>
  </si>
  <si>
    <t>Balance Sheet — Equity and Liabilities</t>
  </si>
  <si>
    <t>Share capital</t>
  </si>
  <si>
    <t>Capital reserves</t>
  </si>
  <si>
    <t>2025 increase mainly from conversion of the convertible bond</t>
  </si>
  <si>
    <t>Retained earnings</t>
  </si>
  <si>
    <t>Treasury shares</t>
  </si>
  <si>
    <t>Rheinmetall AG shareholders' equity</t>
  </si>
  <si>
    <t>Non-controlling interests</t>
  </si>
  <si>
    <t>Equity</t>
  </si>
  <si>
    <t>Provisions for pensions and similar obligations</t>
  </si>
  <si>
    <t>Other non-current provisions</t>
  </si>
  <si>
    <t>Non-current financial debts</t>
  </si>
  <si>
    <t>29</t>
  </si>
  <si>
    <t>Other non-current liabilities</t>
  </si>
  <si>
    <t>30</t>
  </si>
  <si>
    <t>Non-current liabilities</t>
  </si>
  <si>
    <t>Other current provisions</t>
  </si>
  <si>
    <t>Current financial debts</t>
  </si>
  <si>
    <t>Contract liabilities</t>
  </si>
  <si>
    <t>Customer advances</t>
  </si>
  <si>
    <t>Trade liabilities</t>
  </si>
  <si>
    <t>Other current liabilities</t>
  </si>
  <si>
    <t>Income tax liabilities</t>
  </si>
  <si>
    <t>Liabilities directly associated with assets held for sale</t>
  </si>
  <si>
    <t>Current liabilities</t>
  </si>
  <si>
    <t>Total equity and liabilities</t>
  </si>
  <si>
    <t>Notes to the balance sheet</t>
  </si>
  <si>
    <t>Other assets (non-current and current)</t>
  </si>
  <si>
    <t xml:space="preserve">  Derivatives</t>
  </si>
  <si>
    <t xml:space="preserve">  Bonds (non-current)</t>
  </si>
  <si>
    <t xml:space="preserve">  Current securities (shares in Shriram Pistons &amp; Rings, at fair value)</t>
  </si>
  <si>
    <t>Shown as 'Bonds' (current) in the note; AR2023 p.227 explains they are Shriram shares</t>
  </si>
  <si>
    <t xml:space="preserve">  Other financial assets (receivables from customers, finance leases, other)</t>
  </si>
  <si>
    <t>2022–23: sum of three lines in AR2023/AR2024 (12+13+40; 12+12+60)</t>
  </si>
  <si>
    <t xml:space="preserve">  Contract acquisition costs</t>
  </si>
  <si>
    <t xml:space="preserve">  Contract costs</t>
  </si>
  <si>
    <t xml:space="preserve">  Prepaid expenses</t>
  </si>
  <si>
    <t xml:space="preserve">  Net defined benefit asset from plan assets (pension surplus)</t>
  </si>
  <si>
    <t xml:space="preserve">  Other non-financial assets</t>
  </si>
  <si>
    <t>2022–23: subsidies + insurance claims + other</t>
  </si>
  <si>
    <t>Financial debts (non-current and current)</t>
  </si>
  <si>
    <t xml:space="preserve">  Convertible bond</t>
  </si>
  <si>
    <t xml:space="preserve">  Promissory note loans</t>
  </si>
  <si>
    <t xml:space="preserve">  Bank liabilities</t>
  </si>
  <si>
    <t xml:space="preserve">  Leasing</t>
  </si>
  <si>
    <t xml:space="preserve">  Commercial paper</t>
  </si>
  <si>
    <t xml:space="preserve">  Other</t>
  </si>
  <si>
    <t>Other liabilities (non-current and current)</t>
  </si>
  <si>
    <t xml:space="preserve">  Other financial liabilities</t>
  </si>
  <si>
    <t>2022 incl. monies in transit (2)</t>
  </si>
  <si>
    <t xml:space="preserve">  Liabilities from other taxes</t>
  </si>
  <si>
    <t xml:space="preserve">  Liabilities from social security</t>
  </si>
  <si>
    <t xml:space="preserve">  Other non-financial liabilities</t>
  </si>
  <si>
    <t>Accumulated amortisation, depreciation and impairment of non-current operating assets</t>
  </si>
  <si>
    <t>18–21</t>
  </si>
  <si>
    <t xml:space="preserve">  Goodwill and other intangible assets</t>
  </si>
  <si>
    <t>2025 after IFRS 5 transfer of the civilian business (−1,716)</t>
  </si>
  <si>
    <t>Cash Flow Statement — selected lines (group incl. discontinued operations)</t>
  </si>
  <si>
    <t>Cash flow from operating activities</t>
  </si>
  <si>
    <t>AR2024 text shows '11,720' = footnote 1 + 1,720</t>
  </si>
  <si>
    <t>Amortization/depreciation/impairment of PP&amp;E, intangible assets and investment property</t>
  </si>
  <si>
    <t>Cash outflows for PP&amp;E, intangible assets and investment property</t>
  </si>
  <si>
    <t>Key-figures table AR2025 p.3 shows 2024 = (697)</t>
  </si>
  <si>
    <t>Cash inflows from disposal of PP&amp;E, intangible assets and investment property</t>
  </si>
  <si>
    <t>Management's operating result bridge (management report)</t>
  </si>
  <si>
    <t>Operating result (EBIT before special items and PPA effects)</t>
  </si>
  <si>
    <t>2023 on the old perimeter (incl. civilian business)</t>
  </si>
  <si>
    <t>Special items</t>
  </si>
  <si>
    <t>PPA effects</t>
  </si>
  <si>
    <t>EBIT according to the bridge</t>
  </si>
  <si>
    <t>Tolerance, € million: printed lines are rounded one by one, so a printed subtotal may differ from the sum of its printed lines by up to 2</t>
  </si>
  <si>
    <t>Printed figures (typed exactly as printed in the report)</t>
  </si>
  <si>
    <t>EBIT</t>
  </si>
  <si>
    <t>EBT</t>
  </si>
  <si>
    <t>Other assets (n.24)</t>
  </si>
  <si>
    <t>Financial debts (n.29)</t>
  </si>
  <si>
    <t>Other liabilities (n.30)</t>
  </si>
  <si>
    <t>Difference: computed − printed (should be 0 within tolerance)</t>
  </si>
  <si>
    <t>Balance sheet: total assets − total equity and liabilities</t>
  </si>
  <si>
    <t>Rounding / undisclosed difference ≤ tolerance: changes in inventories (note 10)</t>
  </si>
  <si>
    <t>Rounding / undisclosed difference ≤ tolerance: other operating income (note 11)</t>
  </si>
  <si>
    <t>Rounding / undisclosed difference ≤ tolerance: cost of materials (note 12)</t>
  </si>
  <si>
    <t>Rounding / undisclosed difference ≤ tolerance: personnel costs (note 13)</t>
  </si>
  <si>
    <t>Rounding / undisclosed difference ≤ tolerance: amortisation, depreciation and impairment (note 14)</t>
  </si>
  <si>
    <t>Rounding / undisclosed difference ≤ tolerance: other operating expenses (note 15)</t>
  </si>
  <si>
    <t>Rounding / undisclosed difference ≤ tolerance: EBIT</t>
  </si>
  <si>
    <t>Rounding / undisclosed difference ≤ tolerance: OCI after taxes</t>
  </si>
  <si>
    <t>Rounding / undisclosed difference ≤ tolerance: non-current assets</t>
  </si>
  <si>
    <t>Rounding / undisclosed difference ≤ tolerance: current assets</t>
  </si>
  <si>
    <t>Rounding / undisclosed difference ≤ tolerance: total assets</t>
  </si>
  <si>
    <t>Rounding / undisclosed difference ≤ tolerance: parent equity</t>
  </si>
  <si>
    <t>Rounding / undisclosed difference ≤ tolerance: equity</t>
  </si>
  <si>
    <t>Rounding / undisclosed difference ≤ tolerance: non-current liabilities</t>
  </si>
  <si>
    <t>Rounding / undisclosed difference ≤ tolerance: current liabilities</t>
  </si>
  <si>
    <t>Rounding / undisclosed difference ≤ tolerance: total equity and liabilities</t>
  </si>
  <si>
    <t>Rounding / undisclosed difference ≤ tolerance: note 24 vs balance sheet</t>
  </si>
  <si>
    <t>Rounding / undisclosed difference ≤ tolerance: note 29 vs balance sheet</t>
  </si>
  <si>
    <t>Rounding / undisclosed difference ≤ tolerance: note 30 vs balance sheet</t>
  </si>
  <si>
    <t>Note 24 total − (other non-current + other current assets)</t>
  </si>
  <si>
    <t>Note 29 total − (non-current + current financial debts)</t>
  </si>
  <si>
    <t>Note 30 total − (other non-current + other current liabilities)</t>
  </si>
  <si>
    <t>Discontinued operations: before tax + taxes − reported</t>
  </si>
  <si>
    <t>OCI: before tax + tax effect − reported OCI after taxes</t>
  </si>
  <si>
    <t>Management bridge EBIT − EBIT</t>
  </si>
  <si>
    <t>Cash flow statement — how it is presented (IAS 7 choices, K1–K4)</t>
  </si>
  <si>
    <t>IAS 7 version and starting point of cash flow from operating activities (K1)</t>
  </si>
  <si>
    <t>Before the IAS 7 amendments: indirect method starting from earnings after taxes</t>
  </si>
  <si>
    <t>Method for operating activities (K1)</t>
  </si>
  <si>
    <t>Indirect</t>
  </si>
  <si>
    <t>Perimeter of the statement (K4)</t>
  </si>
  <si>
    <t>Whole group incl. discontinued operations; only the section totals are split into continuing / discontinued</t>
  </si>
  <si>
    <t>Interest received (K3)</t>
  </si>
  <si>
    <t>Operating activities, inside CFOA; amount in footnote 1 (net) and note 31</t>
  </si>
  <si>
    <t>Interest paid (K3)</t>
  </si>
  <si>
    <t>Dividends received (K3)</t>
  </si>
  <si>
    <t>Operating activities, separate line (equity-accounted investments)</t>
  </si>
  <si>
    <t>Dividends paid (K3)</t>
  </si>
  <si>
    <t>Financing activities</t>
  </si>
  <si>
    <t>Income taxes paid (K3)</t>
  </si>
  <si>
    <t>Operating activities, inside CFOA; amount in footnote 1</t>
  </si>
  <si>
    <t>Cash and cash equivalents (K2)</t>
  </si>
  <si>
    <t>Bank balances and cash in hand; includes the cash of disposal groups held for sale; no bank overdrafts</t>
  </si>
  <si>
    <t>Lease payments (K3)</t>
  </si>
  <si>
    <t>Financing activities, inside 'repayment of other financial debts' (leasing column of the §44A table)</t>
  </si>
  <si>
    <t>Cash Flow Statement (IAS 7) — complete, as printed (group incl. discontinued operations)</t>
  </si>
  <si>
    <t>Cash flows from operating activities</t>
  </si>
  <si>
    <t xml:space="preserve">  Earnings after taxes</t>
  </si>
  <si>
    <t>31</t>
  </si>
  <si>
    <t>2023 from AR2024 (latest version); 2024 and 2025 from AR2025. The 2024 column of AR2024 is identical line by line</t>
  </si>
  <si>
    <t xml:space="preserve">  Amortization/depreciation/impairment of property, plant and equipment, intangible assets and investment property</t>
  </si>
  <si>
    <t xml:space="preserve">  Impairment/reversal of impairment of non-current assets of discontinued operations</t>
  </si>
  <si>
    <t>2024: printed '-' (zero)</t>
  </si>
  <si>
    <t xml:space="preserve">  Allocation of CTA assets to secure pension and partial retirement obligations</t>
  </si>
  <si>
    <t xml:space="preserve">  Proceeds from reimbursements of pension payments made from CTA assets</t>
  </si>
  <si>
    <t>Printed only in AR2024 (2023: 8; 2024: '-'); line not printed in AR2025</t>
  </si>
  <si>
    <t xml:space="preserve">  Other changes in pension provisions</t>
  </si>
  <si>
    <t xml:space="preserve">  Income/expenses from disposals of non-current assets and disinvestments in consolidated companies</t>
  </si>
  <si>
    <t xml:space="preserve">  Changes in other provisions</t>
  </si>
  <si>
    <t xml:space="preserve">  Changes in working capital</t>
  </si>
  <si>
    <t xml:space="preserve">  Changes in receivables, liabilities (without financial debt) and prepaid &amp; deferred items</t>
  </si>
  <si>
    <t xml:space="preserve">  Pro rata income/loss from investments accounted for using the equity method</t>
  </si>
  <si>
    <t xml:space="preserve">  Dividends received from investments accounted for using the equity method</t>
  </si>
  <si>
    <t xml:space="preserve">  Other non-cash expenses and income</t>
  </si>
  <si>
    <t>Printed figure − sum of the printed lines above; ≤ tolerance = rounding, larger = undisclosed item (logged)</t>
  </si>
  <si>
    <t>Footnote 1: includes net interest and net income taxes (see 'Additional information' below)</t>
  </si>
  <si>
    <t>Cash flows from investing activities</t>
  </si>
  <si>
    <t xml:space="preserve">  Cash outflows for property, plant and equipment, intangible assets and investment property</t>
  </si>
  <si>
    <t xml:space="preserve">  Cash inflows from government grants for investments (not yet commenced)</t>
  </si>
  <si>
    <t>2023 and 2025: printed '-' (zero)</t>
  </si>
  <si>
    <t xml:space="preserve">  Cash inflows from the disposal of property, plant and equipment, intangible assets and investment property</t>
  </si>
  <si>
    <t xml:space="preserve">  Cash inflows/outflows from disinvestments in consolidated companies and financial assets</t>
  </si>
  <si>
    <t xml:space="preserve">  Cash outflows for investments in consolidated companies and financial assets</t>
  </si>
  <si>
    <t>Acquisitions (Expal 2023, Loc Performance 2024) and other financial assets in one line; split in note 31</t>
  </si>
  <si>
    <t xml:space="preserve">  Cash in-/outflows from/for securities held for trade</t>
  </si>
  <si>
    <t>Printed only in AR2024 (2023: 130; 2024: '-'); not printed in AR2025</t>
  </si>
  <si>
    <t>Cash flow from investing activities</t>
  </si>
  <si>
    <t>Cash flows from financing activities</t>
  </si>
  <si>
    <t xml:space="preserve">  Dividends paid out by Rheinmetall AG</t>
  </si>
  <si>
    <t xml:space="preserve">  Other profit distributions</t>
  </si>
  <si>
    <t xml:space="preserve">  Increase in shares in consolidated subsidiaries</t>
  </si>
  <si>
    <t>AR2024 footnote 2: 2023 borrowing and repayment adjusted due to reclassification</t>
  </si>
  <si>
    <t xml:space="preserve">  Cash inflows from the issuance of convertible bonds - Addition to equity</t>
  </si>
  <si>
    <t>Printed only in AR2024 (2023); 2024 '-'</t>
  </si>
  <si>
    <t xml:space="preserve">  Cash inflows from the issuance of convertible bonds - Fair value financial liability</t>
  </si>
  <si>
    <t xml:space="preserve">  Transaction costs for the issuance of convertible bonds</t>
  </si>
  <si>
    <t>Cash flow from financing activities</t>
  </si>
  <si>
    <t>Changes in cash and cash equivalents</t>
  </si>
  <si>
    <t>Changes in cash and cash equivalents due to exchange rates</t>
  </si>
  <si>
    <t>Total change in cash and cash equivalents</t>
  </si>
  <si>
    <t>Opening cash and cash equivalents January 1</t>
  </si>
  <si>
    <t>Cash per the cash flow statement includes cash of disposal groups held for sale</t>
  </si>
  <si>
    <t>Closing cash and cash equivalents December 31</t>
  </si>
  <si>
    <t>Closing cash and cash equivalents December 31 from discontinued operations</t>
  </si>
  <si>
    <t>Cash inside assets held for sale (2023: pistons; 2025: civilian business). 2024: printed '-'</t>
  </si>
  <si>
    <t>Cash and cash equivalents as per consolidated statement of financial position December 31</t>
  </si>
  <si>
    <t>Cash flow statement — split by continuing and discontinued operations (IFRS 5, as printed)</t>
  </si>
  <si>
    <t>Cash flow from operating activities — continuing operations</t>
  </si>
  <si>
    <t>2023: discontinued = pistons (AR2024). 2024–2025: civilian business + pistons (AR2025). AR2024 printed another 2024 split (1,737 / −17; −1,165 / −7; −112 / −123), superseded by AR2025</t>
  </si>
  <si>
    <t>Cash flow from operating activities — discontinued operations</t>
  </si>
  <si>
    <t>Cash flow from investing activities — continuing operations</t>
  </si>
  <si>
    <t>Cash flow from investing activities — discontinued operations</t>
  </si>
  <si>
    <t>Cash flow from financing activities — continuing operations</t>
  </si>
  <si>
    <t>Cash flow from financing activities — discontinued operations</t>
  </si>
  <si>
    <t>Additional information on the cash flow statement (included in the lines above)</t>
  </si>
  <si>
    <t>Net interest included in cash flow from operating activities (footnote 1)</t>
  </si>
  <si>
    <t>Note 31: 'interest receipts'. 2023 from AR2024 (previous-year figure)</t>
  </si>
  <si>
    <t>Footnote figure − note 31 components</t>
  </si>
  <si>
    <t>Net income taxes paid included in cash flow from operating activities (footnote 1)</t>
  </si>
  <si>
    <t>Non-investment-related government grant included in cash flow from operating activities</t>
  </si>
  <si>
    <t>Discontinued operations (IFRS 5) — income statement of the disposal groups (note 8)</t>
  </si>
  <si>
    <t>Civilian business (Power Systems), discontinued from 17/12/2025 — restated 2024</t>
  </si>
  <si>
    <t xml:space="preserve">  Sales</t>
  </si>
  <si>
    <t xml:space="preserve">  Other income</t>
  </si>
  <si>
    <t xml:space="preserve">  Expenses</t>
  </si>
  <si>
    <t xml:space="preserve">  Amortization and depreciation</t>
  </si>
  <si>
    <t xml:space="preserve">  Impairment</t>
  </si>
  <si>
    <t xml:space="preserve">  Interest result</t>
  </si>
  <si>
    <t>Earnings from discontinued operations before taxes — civilian business</t>
  </si>
  <si>
    <t>Small-bore pistons business (discontinued since 2021, sold 15/04/2024)</t>
  </si>
  <si>
    <t xml:space="preserve">  Revenues</t>
  </si>
  <si>
    <t>2025: printed '-'</t>
  </si>
  <si>
    <t>Earnings from discontinued operations before taxes — pistons</t>
  </si>
  <si>
    <t>Write-down to fair value less costs to sell (included in expenses)</t>
  </si>
  <si>
    <t>'a reduction in earnings before taxes of €63 million ... from the write-down' (AR2024 p.204)</t>
  </si>
  <si>
    <t>Deconsolidation result (included in expenses)</t>
  </si>
  <si>
    <t>No depreciation: assets held for sale since 2021 (IFRS 5). 2023 gain 13, 2024 loss 75, 2025 loss 13 (purchase-price adjustment)</t>
  </si>
  <si>
    <t>Business combinations (IFRS 3; IAS 7 §39–40) — main acquisitions of each year (note 7)</t>
  </si>
  <si>
    <t>2023: Expal Systems S.A.U. (100%, 31/07/2023). 2024: Loc Performance Products LLC (29/11/2024). 2025: four acquisitions, immaterial separately (blackned, Resonant, Stascheit, Hagedorn-NC): only consideration, net assets and goodwill are disclosed.</t>
  </si>
  <si>
    <t>Consideration transferred</t>
  </si>
  <si>
    <t>7</t>
  </si>
  <si>
    <t>2025: 7 + 22 + 2 + 21 (sum of the four acquisitions in the note text)</t>
  </si>
  <si>
    <t>Consideration paid in cash</t>
  </si>
  <si>
    <t>2023: includes the purchase-price adjustment of 20 paid in 2024</t>
  </si>
  <si>
    <t>Assumption of cash pool liabilities of the seller</t>
  </si>
  <si>
    <t>Inclusion of hedge accounting reserve</t>
  </si>
  <si>
    <t>Assets acquired and liabilities assumed at fair value</t>
  </si>
  <si>
    <t xml:space="preserve">  Intangible assets</t>
  </si>
  <si>
    <t>2025: not disclosed (immaterial acquisitions)</t>
  </si>
  <si>
    <t>2023: no separate right-of-use line in the note</t>
  </si>
  <si>
    <t xml:space="preserve">  Other non-current assets</t>
  </si>
  <si>
    <t xml:space="preserve">  Receivables and contract assets</t>
  </si>
  <si>
    <t xml:space="preserve">  Other current assets</t>
  </si>
  <si>
    <t xml:space="preserve">  Cash and cash equivalents</t>
  </si>
  <si>
    <t xml:space="preserve">  Liabilities</t>
  </si>
  <si>
    <t>2024: includes a loan of 350 repaid immediately after closing (AR2024 p.203)</t>
  </si>
  <si>
    <t xml:space="preserve">  Deferred tax liabilities (offset)</t>
  </si>
  <si>
    <t>Total identifiable net assets acquired</t>
  </si>
  <si>
    <t>Total identifiable net assets acquired (2025, four immaterial acquisitions)</t>
  </si>
  <si>
    <t>17 + 5 + 1 + 5 from the note text; no breakdown by asset</t>
  </si>
  <si>
    <t>2025: 14 + 17 + 2 + 18</t>
  </si>
  <si>
    <t>Net cash outflow for the acquisition</t>
  </si>
  <si>
    <t>563 − 20 cash acquired − 44 hedge cash inflow</t>
  </si>
  <si>
    <t>Reconciliation of liabilities arising from financing activities (IAS 7 §44A, note 29)</t>
  </si>
  <si>
    <t>Financial debts as of 1 January</t>
  </si>
  <si>
    <t xml:space="preserve">  Borrowing of financial debts</t>
  </si>
  <si>
    <t>Cash change</t>
  </si>
  <si>
    <t xml:space="preserve">  Repayment of financial debts</t>
  </si>
  <si>
    <t xml:space="preserve">  Currency differences</t>
  </si>
  <si>
    <t>Non-cash change</t>
  </si>
  <si>
    <t xml:space="preserve">  Adjustment in scope of consolidation</t>
  </si>
  <si>
    <t xml:space="preserve">  Interest</t>
  </si>
  <si>
    <t>Non-cash change (accretion of the convertible's liability component and lease interest)</t>
  </si>
  <si>
    <t xml:space="preserve">  Addition of right-of-use assets</t>
  </si>
  <si>
    <t>Non-cash change: new leases</t>
  </si>
  <si>
    <t xml:space="preserve">  Exercise of conversion option</t>
  </si>
  <si>
    <t>Non-cash change: conversion of the 2023 convertible bond into shares</t>
  </si>
  <si>
    <t xml:space="preserve">  Book transfers (IFRS 5)</t>
  </si>
  <si>
    <t>Non-cash change: leases of the civilian business moved to liabilities held for sale</t>
  </si>
  <si>
    <t>Financial debts as of 31 December</t>
  </si>
  <si>
    <t>Non-cash investing and financing transactions (IAS 7 §43)</t>
  </si>
  <si>
    <t>New leases: additions of right-of-use assets</t>
  </si>
  <si>
    <t>From the §44A reconciliation above</t>
  </si>
  <si>
    <t>Conversion of convertible bonds into shares — share capital</t>
  </si>
  <si>
    <t>Conversion of convertible bonds into shares — capital reserve</t>
  </si>
  <si>
    <t>'€694 million before deferred taxes' (AR2025 p.60)</t>
  </si>
  <si>
    <t>Financial debts taken over through changes in the scope of consolidation</t>
  </si>
  <si>
    <t>Shares issued as consideration for acquisitions: NOT FOUND — searched note 7 (AR2023–AR2025) and the statement of changes in equity; every acquisition was paid in cash.</t>
  </si>
  <si>
    <t>Provisions for structural measures — movement (note 28)</t>
  </si>
  <si>
    <t>As of 1 January</t>
  </si>
  <si>
    <t>Class: termination indemnities and partial retirement obligations (AR2025 p.240)</t>
  </si>
  <si>
    <t xml:space="preserve">  Utilization</t>
  </si>
  <si>
    <t xml:space="preserve">  Reversal</t>
  </si>
  <si>
    <t xml:space="preserve">  Added / provided for</t>
  </si>
  <si>
    <t xml:space="preserve">  Adjustments in scope of consolidation</t>
  </si>
  <si>
    <t xml:space="preserve">  Currency differences / Other</t>
  </si>
  <si>
    <t>As of 31 December</t>
  </si>
  <si>
    <t>Equity transactions with shareholders (statement of changes in equity)</t>
  </si>
  <si>
    <t>Dividend payout — Rheinmetall AG shareholders</t>
  </si>
  <si>
    <t>Dividend payout — non-controlling interests</t>
  </si>
  <si>
    <t>Convertible bond — equity</t>
  </si>
  <si>
    <t>2023: equity component of the convertible (after taxes and costs); 2025: conversion into shares</t>
  </si>
  <si>
    <t>Change in scope of consolidation — equity</t>
  </si>
  <si>
    <t>Other changes — equity</t>
  </si>
  <si>
    <t>2025: mainly non-controlling interests (+96)</t>
  </si>
  <si>
    <t>Liquidity reserves and restricted cash (IAS 7 §48–50)</t>
  </si>
  <si>
    <t>Syndicated credit line (back-up line, undrawn) — volume</t>
  </si>
  <si>
    <t>Back-up for the commercial paper programme; no drawing reported</t>
  </si>
  <si>
    <t>Bilateral cash and guarantee credit facilities — volume</t>
  </si>
  <si>
    <t>End of 2025: cash lines used €0bn, guarantee lines used about €2.3bn (AR2025 p.62)</t>
  </si>
  <si>
    <t>Cash not available for use by the group (restricted cash): NOT FOUND — searched note 25 (AR2025 p.230; AR2024), financing section (AR2025 p.62). No restriction is disclosed.</t>
  </si>
  <si>
    <t>Checks — cash flow statement and notes (Block 2)</t>
  </si>
  <si>
    <t>Tolerance, € million: the same input cell as for Block 1 (E233)</t>
  </si>
  <si>
    <t>Financial debts as of 31 December (note 29)</t>
  </si>
  <si>
    <t>Cash changes (printed subtotal, note 29)</t>
  </si>
  <si>
    <t>Non-cash changes (printed subtotal, note 29)</t>
  </si>
  <si>
    <t>Provisions for structural measures as of 31 December (note 28)</t>
  </si>
  <si>
    <t>Rounding / undisclosed difference ≤ tolerance: cash flow from operating activities</t>
  </si>
  <si>
    <t>Rounding / undisclosed difference ≤ tolerance: cash flow from investing activities</t>
  </si>
  <si>
    <t>Rounding / undisclosed difference ≤ tolerance: cash flow from financing activities</t>
  </si>
  <si>
    <t>Rounding / undisclosed difference ≤ tolerance: changes in cash and cash equivalents</t>
  </si>
  <si>
    <t>Rounding / undisclosed difference ≤ tolerance: total change in cash</t>
  </si>
  <si>
    <t>Rounding / undisclosed difference ≤ tolerance: closing cash</t>
  </si>
  <si>
    <t>Rounding / undisclosed difference ≤ tolerance: discontinued civilian business (note 8)</t>
  </si>
  <si>
    <t>Rounding / undisclosed difference ≤ tolerance: discontinued pistons (note 8)</t>
  </si>
  <si>
    <t>Rounding / undisclosed difference ≤ tolerance: net assets acquired (note 7)</t>
  </si>
  <si>
    <t>Rounding / undisclosed difference ≤ tolerance: §44A reconciliation (note 29)</t>
  </si>
  <si>
    <t>Rounding / undisclosed difference ≤ tolerance: provisions for structural measures (note 28)</t>
  </si>
  <si>
    <t>Interest: footnote net interest − note 31 components (row 396)</t>
  </si>
  <si>
    <t>§44A cash changes: borrowing + repayment − printed cash changes</t>
  </si>
  <si>
    <t>Cash per statement of financial position − balance-sheet cash (row 142)</t>
  </si>
  <si>
    <t>Opening cash − closing cash of the previous year</t>
  </si>
  <si>
    <t>Continuing + discontinued − total: operating activities</t>
  </si>
  <si>
    <t>Continuing + discontinued − total: investing activities</t>
  </si>
  <si>
    <t>Continuing + discontinued − total: financing activities</t>
  </si>
  <si>
    <t>§44A financial debts 1 January − balance-sheet financial debts at the previous year end (rows 162 + 168)</t>
  </si>
  <si>
    <t>§44A financial debts 31 December − balance-sheet financial debts (rows 162 + 168)</t>
  </si>
  <si>
    <t>Acquisitions: consideration + hedge reserve − net assets − goodwill</t>
  </si>
  <si>
    <t>Discontinued operations: civilian + pistons before tax − discontinued before tax in Block 1 (row 100)</t>
  </si>
  <si>
    <t>Inconsistency in the annual report (shown and logged; not counted in the status)</t>
  </si>
  <si>
    <t>§44A non-cash changes: sum of the printed components − printed non-cash subtotal</t>
  </si>
  <si>
    <t>Overall status — cash flow statement and notes</t>
  </si>
  <si>
    <t>Source (report, printed page)</t>
  </si>
  <si>
    <t>Caption exactly as printed</t>
  </si>
  <si>
    <t>Status</t>
  </si>
  <si>
    <t>Number ↔ source</t>
  </si>
  <si>
    <t>AR2024 p.188</t>
  </si>
  <si>
    <t>AR2025 p.199</t>
  </si>
  <si>
    <t>found; 2024 restated</t>
  </si>
  <si>
    <t>formula</t>
  </si>
  <si>
    <t>derived (subtotal)</t>
  </si>
  <si>
    <t>sum of lines below</t>
  </si>
  <si>
    <t>derived (sum of note lines); printed figure in Checks</t>
  </si>
  <si>
    <t>AR2024 p.206</t>
  </si>
  <si>
    <t>AR2025 p.218</t>
  </si>
  <si>
    <t>Increase in inventory of finished and unfinished products</t>
  </si>
  <si>
    <t>found</t>
  </si>
  <si>
    <t>Other work performed by the enterprise and capitalized</t>
  </si>
  <si>
    <t>derived (rounding / undisclosed difference)</t>
  </si>
  <si>
    <t>AR2025 p.219</t>
  </si>
  <si>
    <t>Refunds</t>
  </si>
  <si>
    <t>Government grants</t>
  </si>
  <si>
    <t>Reversal of provisions</t>
  </si>
  <si>
    <t>Residual/scrap disposal</t>
  </si>
  <si>
    <t>Sundry rental agreements and leases</t>
  </si>
  <si>
    <t>Disposal of fixed assets/divestments</t>
  </si>
  <si>
    <t>Reversal of assets (excl. financial assets)</t>
  </si>
  <si>
    <t>Miscellaneous operating income</t>
  </si>
  <si>
    <t>AR2024 p.207</t>
  </si>
  <si>
    <t>Cost of raw materials, supplies and merchandise purchased</t>
  </si>
  <si>
    <t>Cost of services purchased</t>
  </si>
  <si>
    <t>Wages and salaries</t>
  </si>
  <si>
    <t>Social security and related employee benefits</t>
  </si>
  <si>
    <t>Pension expenses</t>
  </si>
  <si>
    <t>Expenses for redundancy plans, termination indemnities, partial retirement</t>
  </si>
  <si>
    <t>AR2025 p.220</t>
  </si>
  <si>
    <t>Property, plant and equipment and investment property</t>
  </si>
  <si>
    <t>AR2024 p.208</t>
  </si>
  <si>
    <t>Operating costs and maintenance</t>
  </si>
  <si>
    <t>IT costs</t>
  </si>
  <si>
    <t>Distribution and advertising costs</t>
  </si>
  <si>
    <t>Incidental personnel costs</t>
  </si>
  <si>
    <t>General administrative expenses</t>
  </si>
  <si>
    <t>Travel expenses</t>
  </si>
  <si>
    <t>Insurances</t>
  </si>
  <si>
    <t>Changes in / additions to other provisions</t>
  </si>
  <si>
    <t>Audit, legal and consultancy fees</t>
  </si>
  <si>
    <t>Write-downs of receivables</t>
  </si>
  <si>
    <t>Rents, leases and ancillary costs</t>
  </si>
  <si>
    <t>Warranties</t>
  </si>
  <si>
    <t>Patent and licensing fees</t>
  </si>
  <si>
    <t>Disposal of non-current assets (excl. financial assets)</t>
  </si>
  <si>
    <t>Other taxes</t>
  </si>
  <si>
    <t>Miscellaneous operating expenses</t>
  </si>
  <si>
    <t>AR2024 p.224</t>
  </si>
  <si>
    <t>AR2025 p.237</t>
  </si>
  <si>
    <t>AR2024 p.213</t>
  </si>
  <si>
    <t>AR2025 p.225</t>
  </si>
  <si>
    <t>AR2024 p.216</t>
  </si>
  <si>
    <t>AR2025 p.55</t>
  </si>
  <si>
    <t>The profit of €31 million resulting from the sale of the share packages ... The same applied to the initial assessment of securities at fair value (€22 million).</t>
  </si>
  <si>
    <t>AR2024 p.52</t>
  </si>
  <si>
    <t>found (management report)</t>
  </si>
  <si>
    <t>AR2023 p.226</t>
  </si>
  <si>
    <t>AR2025 p.56</t>
  </si>
  <si>
    <t>AR2025 p.214</t>
  </si>
  <si>
    <t>This resulted in an earnings effect of €15 million, which is recognised in other financial result.</t>
  </si>
  <si>
    <t>Special items from corporate transactions essentially related to transaction costs for the acquisition of Loc Performance (€6 million)</t>
  </si>
  <si>
    <t>Earlier-period income taxes</t>
  </si>
  <si>
    <t>AR2024 p.193</t>
  </si>
  <si>
    <t>AR2024 p.192</t>
  </si>
  <si>
    <t>Segment report 2023 / 2024: External sales, Power Systems</t>
  </si>
  <si>
    <t>found (segment report)</t>
  </si>
  <si>
    <t>Segment report 2023 / 2024: EBIT, Power Systems</t>
  </si>
  <si>
    <t>Special items: restructuring / there of restructuring</t>
  </si>
  <si>
    <t>Special items: others / there of others</t>
  </si>
  <si>
    <t>AR2024</t>
  </si>
  <si>
    <t>AR2025</t>
  </si>
  <si>
    <t>AR2025 p.219; p.64</t>
  </si>
  <si>
    <t>Refunds; 'insurance payments ... higher double-digit million euro amount'</t>
  </si>
  <si>
    <t>estimate (disclosed qualitatively)</t>
  </si>
  <si>
    <t>AR2023 AR2024 p.226 (1/1/2023)</t>
  </si>
  <si>
    <t>AR2024 p.226</t>
  </si>
  <si>
    <t>AR2025 p.240</t>
  </si>
  <si>
    <t>Other provisions: Structural measures</t>
  </si>
  <si>
    <t>AR2024 p.204</t>
  </si>
  <si>
    <t>AR2025 p.215</t>
  </si>
  <si>
    <t>AR2024 p.221</t>
  </si>
  <si>
    <t>AR2025 p.234</t>
  </si>
  <si>
    <t>AR2024 p.212</t>
  </si>
  <si>
    <t>AR2025 p.31</t>
  </si>
  <si>
    <t>AR2023 p.193</t>
  </si>
  <si>
    <t>AR2024 p.189</t>
  </si>
  <si>
    <t>AR2025 p.200</t>
  </si>
  <si>
    <t>Deferred taxes (assets side)</t>
  </si>
  <si>
    <t>Deferred taxes (liabilities side)</t>
  </si>
  <si>
    <t>AR2023 p.227</t>
  </si>
  <si>
    <t>AR2024 p.217</t>
  </si>
  <si>
    <t>AR2025 p.230</t>
  </si>
  <si>
    <t>Derivatives</t>
  </si>
  <si>
    <t>Bonds (non-current)</t>
  </si>
  <si>
    <t>Current securities (shares in Shriram Pistons &amp; Rings, at fair value)</t>
  </si>
  <si>
    <t>Other financial assets (receivables from customers, finance leases, other)</t>
  </si>
  <si>
    <t>Contract acquisition costs</t>
  </si>
  <si>
    <t>Contract costs</t>
  </si>
  <si>
    <t>Prepaid expenses</t>
  </si>
  <si>
    <t>Net defined benefit asset from plan assets (pension surplus)</t>
  </si>
  <si>
    <t>Other non-financial assets</t>
  </si>
  <si>
    <t>AR2023 p.238</t>
  </si>
  <si>
    <t>AR2024 p.227</t>
  </si>
  <si>
    <t>Convertible bond</t>
  </si>
  <si>
    <t>Promissory note loans</t>
  </si>
  <si>
    <t>Bank liabilities</t>
  </si>
  <si>
    <t>Leasing</t>
  </si>
  <si>
    <t>Commercial paper</t>
  </si>
  <si>
    <t>Other</t>
  </si>
  <si>
    <t>AR2023 p.240</t>
  </si>
  <si>
    <t>AR2024 p.230</t>
  </si>
  <si>
    <t>AR2025 p.243</t>
  </si>
  <si>
    <t>Other financial liabilities</t>
  </si>
  <si>
    <t>Liabilities from other taxes</t>
  </si>
  <si>
    <t>Liabilities from social security</t>
  </si>
  <si>
    <t>Other non-financial liabilities</t>
  </si>
  <si>
    <t>AR2023 p.220</t>
  </si>
  <si>
    <t>AR2024 p.211</t>
  </si>
  <si>
    <t>AR2025 p.223</t>
  </si>
  <si>
    <t>Amortization and depreciation/impairment, as of 12/31 (Total column)</t>
  </si>
  <si>
    <t>AR2023 p.222</t>
  </si>
  <si>
    <t>AR2023 p.224</t>
  </si>
  <si>
    <t>AR2024 p.214</t>
  </si>
  <si>
    <t>AR2025 p.227</t>
  </si>
  <si>
    <t>AR2024 p.215</t>
  </si>
  <si>
    <t>AR2025 p.228</t>
  </si>
  <si>
    <t>Amortization and depreciation/impairment, as of 12/31</t>
  </si>
  <si>
    <t>AR2024 p.190</t>
  </si>
  <si>
    <t>AR2025 p.201</t>
  </si>
  <si>
    <t>Every number in 'Reported Financials' has a source</t>
  </si>
  <si>
    <t>AR2025 p.201; AR2024 p.190</t>
  </si>
  <si>
    <t>AR2025 p.201, p.244</t>
  </si>
  <si>
    <t>AR2025 p.201, note 25 p.230</t>
  </si>
  <si>
    <t>AR2025 p.242</t>
  </si>
  <si>
    <t>Amortization/depreciation/impairment of property, plant and equipment, intangible assets and investment property</t>
  </si>
  <si>
    <t>Impairment/reversal of impairment of non-current assets of discontinued operations</t>
  </si>
  <si>
    <t>Allocation of CTA assets to secure pension and partial retirement obligations</t>
  </si>
  <si>
    <t>Proceeds from reimbursements of pension payments made from CTA assets</t>
  </si>
  <si>
    <t>Other changes in pension provisions</t>
  </si>
  <si>
    <t>Income/expenses from disposals of non-current assets and disinvestments in consolidated companies</t>
  </si>
  <si>
    <t>Changes in other provisions</t>
  </si>
  <si>
    <t>Changes in working capital</t>
  </si>
  <si>
    <t>Changes in receivables, liabilities (without financial debt) and prepaid &amp; deferred items</t>
  </si>
  <si>
    <t>Pro rata income/loss from investments accounted for using the equity method</t>
  </si>
  <si>
    <t>Dividends received from investments accounted for using the equity method</t>
  </si>
  <si>
    <t>Other non-cash expenses and income</t>
  </si>
  <si>
    <t>derived (sum of lines above); printed figure in Checks</t>
  </si>
  <si>
    <t>Cash outflows for property, plant and equipment, intangible assets and investment property</t>
  </si>
  <si>
    <t>Cash inflows from government grants for investments (not yet commenced)</t>
  </si>
  <si>
    <t>Cash inflows from the disposal of property, plant and equipment, intangible assets and investment property</t>
  </si>
  <si>
    <t>Cash inflows/outflows from disinvestments in consolidated companies and financial assets</t>
  </si>
  <si>
    <t>Cash outflows for investments in consolidated companies and financial assets</t>
  </si>
  <si>
    <t>Cash in-/outflows from/for securities held for trade</t>
  </si>
  <si>
    <t>Dividends paid out by Rheinmetall AG</t>
  </si>
  <si>
    <t>Other profit distributions</t>
  </si>
  <si>
    <t>Increase in shares in consolidated subsidiaries</t>
  </si>
  <si>
    <t>Borrowing of other financial debts</t>
  </si>
  <si>
    <t>Repayment of other financial debts</t>
  </si>
  <si>
    <t>Cash inflows from the issuance of convertible bonds - Addition to equity</t>
  </si>
  <si>
    <t>Cash inflows from the issuance of convertible bonds - Fair value financial liability</t>
  </si>
  <si>
    <t>Transaction costs for the issuance of convertible bonds</t>
  </si>
  <si>
    <t>derived (formula)</t>
  </si>
  <si>
    <t>AR2025 p.244</t>
  </si>
  <si>
    <t>Interest received</t>
  </si>
  <si>
    <t>Interest paid</t>
  </si>
  <si>
    <t>Other income</t>
  </si>
  <si>
    <t>Expenses</t>
  </si>
  <si>
    <t>Amortization and depreciation</t>
  </si>
  <si>
    <t>Impairment</t>
  </si>
  <si>
    <t>Interest result</t>
  </si>
  <si>
    <t>AR2025 p.216</t>
  </si>
  <si>
    <t>Revenues</t>
  </si>
  <si>
    <t>AR2024 p.203</t>
  </si>
  <si>
    <t>AR2023 p.208</t>
  </si>
  <si>
    <t>AR2025 p.214–215</t>
  </si>
  <si>
    <t>Intangible assets</t>
  </si>
  <si>
    <t>Receivables and contract assets</t>
  </si>
  <si>
    <t>Liabilities</t>
  </si>
  <si>
    <t>Deferred tax liabilities (offset)</t>
  </si>
  <si>
    <t>found (summed from note text)</t>
  </si>
  <si>
    <t>AR2024 p.202</t>
  </si>
  <si>
    <t>AR2024 p.229</t>
  </si>
  <si>
    <t>Borrowing of financial debts</t>
  </si>
  <si>
    <t>Repayment of financial debts</t>
  </si>
  <si>
    <t>Currency differences</t>
  </si>
  <si>
    <t>Adjustment in scope of consolidation</t>
  </si>
  <si>
    <t>Interest</t>
  </si>
  <si>
    <t>Addition of right-of-use assets</t>
  </si>
  <si>
    <t>Exercise of conversion option</t>
  </si>
  <si>
    <t>Book transfers (IFRS 5)</t>
  </si>
  <si>
    <t>AR2025 p.202</t>
  </si>
  <si>
    <t>notes 7 and 26</t>
  </si>
  <si>
    <t>NOT FOUND</t>
  </si>
  <si>
    <t>Utilization</t>
  </si>
  <si>
    <t>Reversal</t>
  </si>
  <si>
    <t>Added / provided for</t>
  </si>
  <si>
    <t>Adjustments in scope of consolidation</t>
  </si>
  <si>
    <t>Currency differences / Other</t>
  </si>
  <si>
    <t>AR2024 p.191</t>
  </si>
  <si>
    <t>AR2023 p.76</t>
  </si>
  <si>
    <t>AR2024 p.57</t>
  </si>
  <si>
    <t>AR2025 p.62</t>
  </si>
  <si>
    <t>note 25; financing section</t>
  </si>
  <si>
    <t>Every number of the Block 2 rows has a source</t>
  </si>
  <si>
    <t>Every number in 'Reported Financials' has a source (whole tab)</t>
  </si>
  <si>
    <t>Issue log — one record per distinct conflict or analytical issue (kept when resolved)</t>
  </si>
  <si>
    <t>Issue ID</t>
  </si>
  <si>
    <t>Date</t>
  </si>
  <si>
    <t>Agent / module version</t>
  </si>
  <si>
    <t>Iteration(s)</t>
  </si>
  <si>
    <t>Task / request</t>
  </si>
  <si>
    <t>Conflict or analytical issue</t>
  </si>
  <si>
    <t>Evidence (document, page/note or tab/cells)</t>
  </si>
  <si>
    <t>Question we asked</t>
  </si>
  <si>
    <t>Rule we applied (course slide / prompt rule)</t>
  </si>
  <si>
    <t>Change made / reason unchanged</t>
  </si>
  <si>
    <t>Affected outputs</t>
  </si>
  <si>
    <t>Status and how we resolved it</t>
  </si>
  <si>
    <t>I-01</t>
  </si>
  <si>
    <t>Agent v1.0</t>
  </si>
  <si>
    <t>1</t>
  </si>
  <si>
    <t>Part 1 extraction</t>
  </si>
  <si>
    <t>Prior year restated in report T, T−2 not restated: 2024 is shown on the new perimeter (civilian business discontinued), 2023 on the old one.</t>
  </si>
  <si>
    <t>AR2025 p.199 (2024 restated) vs AR2024 p.188 (2023)</t>
  </si>
  <si>
    <t>Use the restated 2024 and the unrestated 2023?</t>
  </si>
  <si>
    <t>Latest published version of each year (Part 1 rule A1.2).</t>
  </si>
  <si>
    <t>2024 taken from AR2025, 2023 from AR2024; comparability flagged in every T−1 vs T−2 change.</t>
  </si>
  <si>
    <t>All 2023→2024 changes; Ratio Summary screen</t>
  </si>
  <si>
    <t>Resolved — limitation disclosed</t>
  </si>
  <si>
    <t>I-02</t>
  </si>
  <si>
    <t>Footnote markers fused into numbers by text extraction: 'EBIT¹ 897' read as 1897; CFO 2024 read as '11,720' in AR2024; equity-method result 2023 read as '157'.</t>
  </si>
  <si>
    <t>AR2024 and AR2023 statements as text; see the comment column of Reported Financials (EBIT, equity-method result, cash flow from operating activities)</t>
  </si>
  <si>
    <t>—</t>
  </si>
  <si>
    <t>Rule A1.5 (5): every figure must pass a subtotal check or be confirmed twice.</t>
  </si>
  <si>
    <t>Corrected to 897 / 1,720 / 57; confirmed by the printed-subtotal checks.</t>
  </si>
  <si>
    <t>Reported Financials IS and CF</t>
  </si>
  <si>
    <t>Resolved</t>
  </si>
  <si>
    <t>I-03</t>
  </si>
  <si>
    <t>Capex 2024 differs between documents: 732 in the cash flow statement vs 697 in the key-figures table.</t>
  </si>
  <si>
    <t>AR2025 p.201 (cash flow) vs AR2025 p.3 (key figures)</t>
  </si>
  <si>
    <t>Which figure prevails?</t>
  </si>
  <si>
    <t>Awaiting: the cash flow statement is used as the primary statement.</t>
  </si>
  <si>
    <t>732 used; difference shown in the comment column.</t>
  </si>
  <si>
    <t>Net capex, capex-to-sales, capex / D&amp;A (P5)</t>
  </si>
  <si>
    <t>Resolved: we use the cash flow statement (732), because the statement prevails over the key-figures table. The 35 gap is explained in the comment column.</t>
  </si>
  <si>
    <t>I-04</t>
  </si>
  <si>
    <t>Part 2 R7</t>
  </si>
  <si>
    <t>Interest expenses include the IFRS 15 financing component on customer advances; the amount is not disclosed.</t>
  </si>
  <si>
    <t>Reclassify to operating without an amount?</t>
  </si>
  <si>
    <t>R7: leave in [C] and state it.</t>
  </si>
  <si>
    <t>Left in net financial expenses [C]; comment added.</t>
  </si>
  <si>
    <t>[C], IBUIT, Kd, NFE, ROE spreads</t>
  </si>
  <si>
    <t>Resolved: the financing interest on customer advances is not disclosed, so it stays in [C]. It slightly overstates our cost of debt, and we say so where Kd is shown.</t>
  </si>
  <si>
    <t>I-05</t>
  </si>
  <si>
    <t>Part 2 R4</t>
  </si>
  <si>
    <t>Net interest on pensions sits inside interest expenses, while pensions are operating liabilities.</t>
  </si>
  <si>
    <t>Note 27, AR2025 p.237; AR2024 p.224</t>
  </si>
  <si>
    <t>R4 / B3: reclassify to personnel (coherence with the balance sheet).</t>
  </si>
  <si>
    <t>Pension interest moved to EBITDA; [C] excludes it.</t>
  </si>
  <si>
    <t>EBITDA, [A], [C]</t>
  </si>
  <si>
    <t>I-06</t>
  </si>
  <si>
    <t>Part 3 C1; Part 5 P5</t>
  </si>
  <si>
    <t>Income statement presented by nature: no cost of sales, no gross profit; COGS and purchases not disclosed.</t>
  </si>
  <si>
    <t>AR2025 p.199 (IS by nature); note 12</t>
  </si>
  <si>
    <t>Use proxies?</t>
  </si>
  <si>
    <t>C1: lens 1 'n.d.'. P5: COGS proxy = materials + services − inventory change; purchases = cost of materials and services.</t>
  </si>
  <si>
    <t>Lens 1 n.d.; DIO and DPO labelled as proxies.</t>
  </si>
  <si>
    <t>Lens 1, DIO, DPO, CCC</t>
  </si>
  <si>
    <t>Resolved: Rheinmetall reports costs by nature, so cost of sales cannot be rebuilt. Lens 1 is shown as not derivable, and DIO and DPO are labelled as proxies.</t>
  </si>
  <si>
    <t>I-07</t>
  </si>
  <si>
    <t>Part 4 B5</t>
  </si>
  <si>
    <t>Current 'bonds' in the other-assets note are in fact shares in Shriram Pistons &amp; Rings (strategic stake).</t>
  </si>
  <si>
    <t>Note 24, AR2023 p.227</t>
  </si>
  <si>
    <t>B5: strategic securities are non-operating, not liquidity.</t>
  </si>
  <si>
    <t>Classified as non-operating assets, not as short-term financial assets.</t>
  </si>
  <si>
    <t>NFP, non-operating assets, [B]/non-operating assets</t>
  </si>
  <si>
    <t>I-08</t>
  </si>
  <si>
    <t>Part 4 B5; Part 2 R9</t>
  </si>
  <si>
    <t>Civilian business classified as held for sale at 31/12/2025 (IFRS 5).</t>
  </si>
  <si>
    <t>Note 8, AR2025 p.215–216</t>
  </si>
  <si>
    <t>B5 slide 19 option 1; R9 criterion 1.</t>
  </si>
  <si>
    <t>Net assets held for sale in non-operating assets; discontinued result before tax in unusual items; 2025 asset bases fall.</t>
  </si>
  <si>
    <t>Managerial BS 2025; P7 base; ROE 2025</t>
  </si>
  <si>
    <t>I-09</t>
  </si>
  <si>
    <t>Part 5 P6</t>
  </si>
  <si>
    <t>Trademarks are not disclosed separately from other intangible assets.</t>
  </si>
  <si>
    <t>Note 18, AR2025 p.223</t>
  </si>
  <si>
    <t>P6: remove goodwill only and state it.</t>
  </si>
  <si>
    <t>Adjusted ROI excludes goodwill only.</t>
  </si>
  <si>
    <t>Adjusted core ROI</t>
  </si>
  <si>
    <t>I-10</t>
  </si>
  <si>
    <t>Part 5 E7</t>
  </si>
  <si>
    <t>Short-term interest and short-term financial debt are not disclosed separately, so the short-term borrowing rate cannot be computed.</t>
  </si>
  <si>
    <t>Note 29 (financial debts), IS interest line</t>
  </si>
  <si>
    <t>Use a market rate instead of the proxy?</t>
  </si>
  <si>
    <t>E7: proxy = financial expenses / financial liabilities × (1 − t); override cell available.</t>
  </si>
  <si>
    <t>Proxy used; override cell left blank.</t>
  </si>
  <si>
    <t>Implicit interest, ROOA</t>
  </si>
  <si>
    <t>Resolved: short-term interest is not disclosed, so we use the average cost of debt as our proxy and left an input cell for a market rate.</t>
  </si>
  <si>
    <t>I-11</t>
  </si>
  <si>
    <t>Part 5 checks</t>
  </si>
  <si>
    <t>Ratio identities (NOIC/NFO forms) differed by ~0.01 pp because the managerial BS did not tie exactly (NIC − (NFP + NE) = −1 to −2).</t>
  </si>
  <si>
    <t>Reformation &amp; Profitability, check 'Managerial BS: net invested capital − (NFP + net equity)' (before I-13)</t>
  </si>
  <si>
    <t>Solved at the source by I-13.</t>
  </si>
  <si>
    <t>After I-13 the managerial BS ties exactly; ratio tolerance reduced from 0.05 pp to 0.01 pp (floating-point only). All identities 0.</t>
  </si>
  <si>
    <t>ROI/ROE checks</t>
  </si>
  <si>
    <t>I-12</t>
  </si>
  <si>
    <t>Part 6 S0</t>
  </si>
  <si>
    <t>Only three years: the material-change screen compares T with a single prior change, and that prior change is not like-for-like (I-01).</t>
  </si>
  <si>
    <t>Ratio Summary</t>
  </si>
  <si>
    <t>Is one prior change enough history?</t>
  </si>
  <si>
    <t>S0: flag, show both changes, no causes.</t>
  </si>
  <si>
    <t>Screen applied to T only; limitation stated under the Ratio Summary.</t>
  </si>
  <si>
    <t>Ratio Summary flags</t>
  </si>
  <si>
    <t>Resolved: with three years we can only compare 2025 with one earlier change. We state this limitation under the Ratio Summary.</t>
  </si>
  <si>
    <t>I-13</t>
  </si>
  <si>
    <t>Face lines of the income statement (other operating income, cost of materials, personnel, D&amp;A, other operating expenses) were built as the SUM of the rounded note lines, so they differed by ±1 from the printed statement; rebuilt EBIT was 1,686 vs 1,684 printed (2025) and 1,273 vs 1,270 (2024). The check tolerance had been raised from 2 to 3 to make the checks pass.</t>
  </si>
  <si>
    <t>AR2025 p.199 (IS face) vs notes 11–15, AR2025 p.219–220; Reported Financials Checks (before fix); cross-check with a group member's manual extraction (I-14)</t>
  </si>
  <si>
    <t>Take each line from the notes or from the statement?</t>
  </si>
  <si>
    <t>Statement prevails: the primary statement is what is reported; notes only break it down. Add a catch-all line under every breakdown and above every printed subtotal that does not add up. Tolerance back to 2 with a stated reason; never widen a tolerance to make a check pass.</t>
  </si>
  <si>
    <t>Added 'Rounding / undisclosed difference' lines under the 9 note breakdowns (face or balance-sheet line − sum of note lines) and 'Rounding difference to the printed subtotal' lines above EBIT, OCI and the 8 balance-sheet subtotals. Every face line and subtotal now equals the printed figure. Largest difference ±1. Tolerance = 2. Carried into the reformulation: rounding row in [A] (R3), in unusual items (R9), in fixed costs (C3) and in operating assets / liabilities / equity (B2, B3, B8).</t>
  </si>
  <si>
    <t>Reported Financials; [A], EBITDA, added value; managerial BS; all checks</t>
  </si>
  <si>
    <t>I-14</t>
  </si>
  <si>
    <t>Part 1 extraction (verification)</t>
  </si>
  <si>
    <t>Independent cross-check of 203 figures (IS, BS, OCI; 2023–2025) against a group member's manual extraction: 25 differences.</t>
  </si>
  <si>
    <t>Manual file 'Statements.xlsx' vs Reported Financials; AR2024 p.188–189; AR2025 p.199–200</t>
  </si>
  <si>
    <t>Trace each difference to the printed page.</t>
  </si>
  <si>
    <t>20 differences were errors in the manual file (2023 income-statement column copied from 2024; inventories 2023 typed 3,246 vs 3,244 printed; thousand separators read as decimals). 5 were the ±1 rounding of I-13, now fixed. No change to the workbook figures.</t>
  </si>
  <si>
    <t>Reported Financials</t>
  </si>
  <si>
    <t>I-15</t>
  </si>
  <si>
    <t>Part 2 R9/R10 (slide review)</t>
  </si>
  <si>
    <t>Earlier-period income taxes were left inside the tax line although slide 21 (first example) and ASICS (slide 27) treat taxes of past years as unusual (matching principle).</t>
  </si>
  <si>
    <t>Tax note 16: composition of income taxes, AR2025 p.220 (2025: 11; 2024: 1) and AR2024 p.208 (2023: (3))</t>
  </si>
  <si>
    <t>R9 table row 'income taxes relating to prior years' + slide 21.</t>
  </si>
  <si>
    <t>Added line 'Earlier-period income taxes' to Reported Financials; moved to unusual items (u8b) and removed from income taxes (tx1). Comprehensive income unchanged; tax rate on EBT 2025 now 36.4%.</t>
  </si>
  <si>
    <t>Unusual items, income taxes, tax rate, NOPAT (Penman)</t>
  </si>
  <si>
    <t>I-16</t>
  </si>
  <si>
    <t>Part 2 R6/R9 (slide review)</t>
  </si>
  <si>
    <t>The 2025 other financial result (−7) contains a €15m gain from remeasuring the previously held 40% interest in blackned at fair value (IFRS 3 step acquisition). It was inside non-core income [B].</t>
  </si>
  <si>
    <t>Acquisitions note, AR2025 p.214: 'This resulted in an earnings effect of €15 million, which is recognised in other financial result.' Management treats it as a special item (AR2025 p.55)</t>
  </si>
  <si>
    <t>Slide 25 (fair-value remeasurement in profit or loss) + slide 26 criteria 4 and 5.</t>
  </si>
  <si>
    <t>Moved to unusual items (u7b); [B] 2025 = −21 (other financial result excl. the gain = −22).</t>
  </si>
  <si>
    <t>[B], operating income, IBUIT, ROI non-core</t>
  </si>
  <si>
    <t>I-17</t>
  </si>
  <si>
    <t>Part 2 R9 (slide review)</t>
  </si>
  <si>
    <t>Transaction costs for the acquisition of Loc Performance (€6m, 2024) were inside other operating expenses (core).</t>
  </si>
  <si>
    <t>Management report special items: AR2024 p.51; AR2025 p.55 (Vehicle Systems, corporate transactions (6))</t>
  </si>
  <si>
    <t>Costs of business combinations are unusual in nature / infrequent (AB InBev, Danone, slides 16–19).</t>
  </si>
  <si>
    <t>Added to Reported Financials (additional information); moved to unusual items (u7c); other operating expenses recurring 2024 = −862. [A] 2024 = 1,270.</t>
  </si>
  <si>
    <t>[A], EBITDA, cost structure</t>
  </si>
  <si>
    <t>I-18</t>
  </si>
  <si>
    <t>Part 2 R12 (slide review)</t>
  </si>
  <si>
    <t>2025 refunds of 118 (21 in 2024, 5 in 2023) are mainly insurance payments for production losses at the Murcia site: a disaster-related refund (slide 21 '?').</t>
  </si>
  <si>
    <t>Note 11, AR2025 p.219; segment report, AR2025 p.64 ('higher double-digit million euro amount')</t>
  </si>
  <si>
    <t>Should the insurance refund be treated as unusual?</t>
  </si>
  <si>
    <t>Group decision: a refund linked to a natural disaster is unusual (Session 2 slide 21). Where only words are disclosed, estimate the one-off part as the increase over the prior-year level.</t>
  </si>
  <si>
    <t>Moved the estimated one-off part (118 − 21 = 97) to unusual items (u7e). [A] 2025 = 1,566; EBITDA 2025 = 1,960; ROS 2025 = 15.8%.</t>
  </si>
  <si>
    <t>[A], EBITDA, ROS, RONA 2025</t>
  </si>
  <si>
    <t>Resolved: we treat the refund as unusual, because it relates to a one-off natural disaster at Murcia. The one-off part (97) is our estimate, in line with the report's wording.</t>
  </si>
  <si>
    <t>I-19</t>
  </si>
  <si>
    <t>Part 2 R6 (slide review)</t>
  </si>
  <si>
    <t>Session 2 slide 3 puts income from investment property in non-core income [B]; Session 4 slide 8 says many analysts treat investment property as operating. Rheinmetall does not disclose investment-property income separately.</t>
  </si>
  <si>
    <t>Session 2 slide 3; Session 4 slide 8; IS/notes: rental income only as 'sundry rental agreements and leases' (n.11)</t>
  </si>
  <si>
    <t>Which session prevails?</t>
  </si>
  <si>
    <t>Coherence rule (slide 3): income follows the balance-sheet classification. Investment property is immaterial (2–24) and its income is not disclosed, so both stay operating.</t>
  </si>
  <si>
    <t>No change; decision written into the prompt (R6).</t>
  </si>
  <si>
    <t>[A], [B], NOIC</t>
  </si>
  <si>
    <t>I-20</t>
  </si>
  <si>
    <t>Slide 13 allows ancillary businesses (identified through segment reporting) to be shown as non-core [B]. In 2023 (AR2024, not restated) the civilian business (Power Systems) is still inside continuing operations; from 2024 it is discontinued.</t>
  </si>
  <si>
    <t>Session 2 slide 13; AR2024 segment report (Power Systems); AR2025 note 8</t>
  </si>
  <si>
    <t>Reclassify the 2023 civilian business to [B]?</t>
  </si>
  <si>
    <t>Slide 13: discretionary choice. Its costs are not split by nature by segment, so it cannot be removed line by line from [A].</t>
  </si>
  <si>
    <t>Kept in [A] for 2023; comparability break stated (I-01).</t>
  </si>
  <si>
    <t>[A] 2023, all 2023→2024 changes</t>
  </si>
  <si>
    <t>Resolved: we keep the 2023 civilian business in core income because its costs are not split by nature, and show a growth rate on a comparable perimeter instead.</t>
  </si>
  <si>
    <t>I-21</t>
  </si>
  <si>
    <t>Part 2 R12 (peer review)</t>
  </si>
  <si>
    <t>2023 is on a different perimeter: as reported in AR2024 (not restated) it still contains the civilian business (Power Systems: external sales 2,081, EBIT 129). Reported 2024 growth +7.5% is really about +51% on a comparable basis; the R&amp;D 'red flag' (3.0% → 1.3%) and the 2024 elasticity are mostly a perimeter effect.</t>
  </si>
  <si>
    <t>AR2024 segment report p.193; AR2025 p.199 (2024 restated)</t>
  </si>
  <si>
    <t>M4: flag comparability breaks; never restate yourself, but show a comparable-perimeter memo where the segment note gives the figures.</t>
  </si>
  <si>
    <t>Added Power Systems sales/EBIT memo lines (Reported Financials) and 'Growth % — net revenues on a comparable perimeter' (51.4%). R&amp;D and elasticity comments now say 2023→2024 is a perimeter effect; compare 2024→2025 only.</t>
  </si>
  <si>
    <t>Trend analysis, cost structure, Ratio Summary</t>
  </si>
  <si>
    <t>I-22</t>
  </si>
  <si>
    <t>Part 4/5 (peer review)</t>
  </si>
  <si>
    <t>IFRS 5 restated the 2024 income statement (civilian business → discontinued) but not the 2024 balance sheet, which still contains the civilian assets. Every 2024 return ratio mixes two perimeters (numerator without, denominator with the civilian business).</t>
  </si>
  <si>
    <t>AR2025 p.199–200; note 8 (held for sale only from 31/12/2025); AR2024 p.192 (Power Systems 2024 EBIT 75)</t>
  </si>
  <si>
    <t>Accept 2024 ratios with a flag?</t>
  </si>
  <si>
    <t>M4: flag; never restate the balance sheet without disclosed amounts (no 2024 segment assets are disclosed).</t>
  </si>
  <si>
    <t>Added indicative memo: 2024 ([A] + civilian EBIT 75) / NOIC = 25.8% vs 24.4% reported basis. 2023 and 2025 are internally consistent.</t>
  </si>
  <si>
    <t>All 2024 ROI/ROE ratios</t>
  </si>
  <si>
    <t>Resolved: we cannot restate the 2024 balance sheet ourselves, so we added same-perimeter memo lines and flag every 2024 ratio as indicative.</t>
  </si>
  <si>
    <t>I-23</t>
  </si>
  <si>
    <t>Part 2 R9 (peer review)</t>
  </si>
  <si>
    <t>Recurring accounts were removed from core in full: provision reversals (53/55/44), disposal results and receivable write-downs are present every year with the same sign, while provision additions stayed in core. This contradicted our own '?' test and progress note 1.</t>
  </si>
  <si>
    <t>Notes 11 and 15 (AR2025 p.219–220; AR2024 p.206–208)</t>
  </si>
  <si>
    <t>Recurrence test applied to all matching-principle, infrequent and '?' items: same sign in all three years = recurring (slide 26: unusual items are volatile in amount and sign; S3 slide 8: provision additions and reversals treated symmetrically).</t>
  </si>
  <si>
    <t>Reversal of provisions, net disposal result and write-downs of receivables moved back into [A]. Impairments (net) and earlier-period taxes stay unusual (sign changes). Recurrence-test block added. [A] = 840 / 1,304 / 1,656 (was 802 / 1,270 / 1,653).</t>
  </si>
  <si>
    <t>[A], EBITDA, IBUIT, unusual items, all ratios</t>
  </si>
  <si>
    <t>I-24</t>
  </si>
  <si>
    <t>Part 5 E7 (peer review)</t>
  </si>
  <si>
    <t>The 2025 tax rate used for NOPAT (36.4%, taxes on comprehensive EBT) is distorted by discontinued-operation taxes (largely non-deductible impairment of 350) and OCI taxes.</t>
  </si>
  <si>
    <t>Note 8 (discontinued: EBT −315, taxes −27); reported continuing tax rate 25.2% (AR2025 p.199)</t>
  </si>
  <si>
    <t>E7: NOPAT uses the tax rate of continuing operations; the comprehensive rate stays in R10 for the tax-effect ratio.</t>
  </si>
  <si>
    <t>t = current-year continuing taxes / reported EBT = 23.1% / 28.0% / 24.5% (earlier-period taxes excluded, I-15). NOPAT 2025 = 1,250 (was about 1,051).</t>
  </si>
  <si>
    <t>NOPAT, RNOA, ROOA, Penman ROE split</t>
  </si>
  <si>
    <t>I-25</t>
  </si>
  <si>
    <t>Part 3 C3 (peer review)</t>
  </si>
  <si>
    <t>The fixed/variable split does not hold: the 2024 DOL predicted about +88% growth in core income for 2025; actual growth was +27%. The workbook left out the 'estimate' label that C3 requires.</t>
  </si>
  <si>
    <t>Reformation &amp; Profitability, cost structure lens 3</t>
  </si>
  <si>
    <t>C3 + slide 14 ('the myth of variable/fixed costs').</t>
  </si>
  <si>
    <t>Header labelled 'ILLUSTRATIVE ESTIMATE (slide 14)'; added the test rows 'predicted %Δ[A] = DOL(T−1) × %Δ revenues' vs 'actual %Δ[A]'.</t>
  </si>
  <si>
    <t>DOL, MOS, break-even</t>
  </si>
  <si>
    <t>I-26</t>
  </si>
  <si>
    <t>Management's restructuring (−1 / −2 / −7) and 'other' special items (−6 / +11 / −1) were neither tested nor logged.</t>
  </si>
  <si>
    <t>AR2024 p.52 (2023); AR2025 p.55 (2024–25)</t>
  </si>
  <si>
    <t>Move 'others' without knowing the line?</t>
  </si>
  <si>
    <t>Recurrence test: restructuring = recurring (stays); others = unusual by the test, but the line and content are not disclosed, so they cannot be moved without estimating.</t>
  </si>
  <si>
    <t>Both added to Reported Financials and to the recurrence-test block. 'Others' left in place (≤ 11).</t>
  </si>
  <si>
    <t>[A] (≤ 11)</t>
  </si>
  <si>
    <t>Resolved: restructuring is now unusual (I-46). 'Other' special items are small (≤ 11) and their line is not disclosed, so they stay in core income.</t>
  </si>
  <si>
    <t>I-27</t>
  </si>
  <si>
    <t>The 2023 Shriram effects total 69; the workbook removed 59, all from the equity-method line, but only 53 (31 gain + 22 initial fair value) sits there. The other items: 5 fair-value gain in the other financial result, 10 at-equity share of profit, 1 dividend.</t>
  </si>
  <si>
    <t>AR2023 note, p.226 ('total impact on earnings ... €69 million'); AR2024 p.216</t>
  </si>
  <si>
    <t>Move each disclosed component from the line that contains it.</t>
  </si>
  <si>
    <t>Equity line: 53 removed (was 59). Other financial result: 5 fair-value gain removed (criterion 5). The share of profit (10) and dividend (1) stay in [B] as recurring non-core income.</t>
  </si>
  <si>
    <t>[B] 2023, unusual items 2023</t>
  </si>
  <si>
    <t>I-28</t>
  </si>
  <si>
    <t>Part 2 R4 (peer review)</t>
  </si>
  <si>
    <t>The net pension interest moved into personnel costs is a group total that includes discontinued operations (the pension note does not split it).</t>
  </si>
  <si>
    <t>R4; split only if disclosed.</t>
  </si>
  <si>
    <t>Kept (5–12 per year); caveat added to the row label.</t>
  </si>
  <si>
    <t>I-29</t>
  </si>
  <si>
    <t>Part 1/2 rounding (peer review)</t>
  </si>
  <si>
    <t>Two rounding rows each combined ±1 differences from separate reconciliations, which cancelled out in 2024 and 2025 and so looked like zero.</t>
  </si>
  <si>
    <t>Reformation &amp; Profitability, unusual items (discontinued and OCI rounding) and the [A] rounding row</t>
  </si>
  <si>
    <t>One rounding row per reconciliation; never net them.</t>
  </si>
  <si>
    <t>Split into 'discontinued-operations note vs statement' and 'OCI note vs statement', and into 'rounding to printed EBIT' and 'rounding in note breakdowns'.</t>
  </si>
  <si>
    <t>Unusual items, [A]</t>
  </si>
  <si>
    <t>I-30</t>
  </si>
  <si>
    <t>Part 3 C1 (portability)</t>
  </si>
  <si>
    <t>Lens 1 (income statement by function) said 'not derivable for Rheinmetall': a company-specific result rather than a rule, so the agent would not know how to build the lens for another company or when to refuse.</t>
  </si>
  <si>
    <t>Session 3 slides 3–5 (slide 4: manufacturing and retail cost of sales; allocations require considerable judgement); IS by nature, AR2025 p.199</t>
  </si>
  <si>
    <t>Professor: put the rule, never the result. Cross-sector portability test.</t>
  </si>
  <si>
    <t>C1 rewritten as a decision rule: identify the presentation → by function: build it → by nature: test the manufacturing inputs (direct materials, direct labour, factory overhead, inventory movements) or the retail inputs (merchandise purchases ± inventory) → build only if all are disclosed, otherwise n.d. with the missing inputs named. Availability test added to the workbook.</t>
  </si>
  <si>
    <t>Cost structure lens 1; gross-profit ratios</t>
  </si>
  <si>
    <t>I-31</t>
  </si>
  <si>
    <t>Part 2 R3 / Part 3 C2 (cost review)</t>
  </si>
  <si>
    <t>Added value used the whole 'other operating expenses' account as an external cost, although it contains non-purchases (provisions, write-downs, disposal losses, other taxes) and personnel-related costs.</t>
  </si>
  <si>
    <t>Note 15 components (AR2025 p.220); Session 3 slide 6 (external costs = resources bought from third parties)</t>
  </si>
  <si>
    <t>Classify other operating expenses component by component.</t>
  </si>
  <si>
    <t>Split into: other services purchased from third parties (inside added value), other operating costs that are not purchases (after added value), incidental personnel costs (with personnel). Added value = 3,239 / 3,459 / 4,370.</t>
  </si>
  <si>
    <t>Added value, externalisation, lens 2</t>
  </si>
  <si>
    <t>I-32</t>
  </si>
  <si>
    <t>Recurring other operating income (refunds, grants, provision reversals, rentals) was netted against external costs, which is not the slide definition of added value.</t>
  </si>
  <si>
    <t>Note 11; Session 3 slide 6</t>
  </si>
  <si>
    <t>Other operating income is income, not a negative purchase; offset only if the note links it to a specific cost.</t>
  </si>
  <si>
    <t>Shown on its own row after added value, before EBITDA. EBITDA unchanged by this step.</t>
  </si>
  <si>
    <t>I-33</t>
  </si>
  <si>
    <t>Part 2 R4 (cost review)</t>
  </si>
  <si>
    <t>Net pension interest was deducted before EBITDA, although slide 7 defines EBITDA as added value − personnel, before interest.</t>
  </si>
  <si>
    <t>Session 3 slide 7; pension note 27 (net interest 10 / 12 / 5)</t>
  </si>
  <si>
    <t>Keep pension interest operating but below EBITDA? (question for Pietro)</t>
  </si>
  <si>
    <t>Stays operating (coherence with pensions as operating liabilities) but is an interest component (slide 7).</t>
  </si>
  <si>
    <t>Moved below EBITDA and above D&amp;A. EBITDA = 1,152 / 1,600 / 2,050 (was 1,142 / 1,588 / 2,045); [A] unchanged.</t>
  </si>
  <si>
    <t>EBITDA and EBITDA ratios</t>
  </si>
  <si>
    <t>I-34</t>
  </si>
  <si>
    <t>Part 3 C3 (cost review)</t>
  </si>
  <si>
    <t>Lens 3 treated the full inventory change, own work capitalised and other operating income as variable-cost adjustments or fixed-cost reductions, and purchased services, warranties and licences as 100% variable, without evidence.</t>
  </si>
  <si>
    <t>Accounting policies: inventories valued at production cost incl. production overhead and depreciation; notes 10–15; Session 3 slides 12–14</t>
  </si>
  <si>
    <t>Indicative CM, or not reliably determinable? (question for Pietro)</t>
  </si>
  <si>
    <t>Group decision: with no finer disclosure, each cost category goes 100% to fixed or variable (Session 3 slides 12–14).</t>
  </si>
  <si>
    <t>CM = 3,216 / 3,993 / 4,652; DOL = 3.8x / 3.1x / 2.8x (indicative).</t>
  </si>
  <si>
    <t>Lens 3: CM, DOL, MOS, break-even</t>
  </si>
  <si>
    <t>Resolved: we classify 100% of each cost category as fixed or variable, because no finer split is disclosed. These items are small and do not change the reading of the main results.</t>
  </si>
  <si>
    <t>I-35</t>
  </si>
  <si>
    <t>Part 3 C5 (cost review)</t>
  </si>
  <si>
    <t>EBITDAR used 'rents, leases and ancillary costs' as if it were pure rent; EBITDAaL was presented as if reported by the company.</t>
  </si>
  <si>
    <t>Note 15; Session 3 slides 9–11</t>
  </si>
  <si>
    <t>Label proxies as proxies.</t>
  </si>
  <si>
    <t>Renamed 'EBITDAR — analytical proxy' and 'EBITDAaL-style analytical measure'.</t>
  </si>
  <si>
    <t>C5 ratios</t>
  </si>
  <si>
    <t>I-36</t>
  </si>
  <si>
    <t>Part 3 C4 (cost review)</t>
  </si>
  <si>
    <t>The common-size analysis on net revenues covered only some lines. The two other bases of slide 19 (total cost of sales, total manufacturing cost) were not addressed, and the choice of base (slide 20) was not commented.</t>
  </si>
  <si>
    <t>Session 3 slides 19–20</t>
  </si>
  <si>
    <t>C4: consider all four bases; n.d. with reason where not available; comment on the choice of base.</t>
  </si>
  <si>
    <t>Base a) extended to every line of the reformulated statement; bases c) and d) shown as n.d. with the reason; a comment row explains the choice of base (inventory build-up 2023).</t>
  </si>
  <si>
    <t>Common size</t>
  </si>
  <si>
    <t>I-37</t>
  </si>
  <si>
    <t>Part 4 B9 / Part 5 E6–E7 (BS review)</t>
  </si>
  <si>
    <t>NFO was computed as NFP − all non-operating assets (616 / 874 / −1,170). The non-operating bucket contains equity-method stakes, the Shriram stake and net assets held for sale, which are not financial assets. The MM second adjustment and Penman therefore treated them (and all of [B]) as financial.</t>
  </si>
  <si>
    <t>Session 4 slides 12–13 (NFO = financial liabilities − ALL FINANCIAL assets); Session 6 slide 10 (1)–(2): only financial investments and financial income move out of RONA</t>
  </si>
  <si>
    <t>B5/B9: split non-operating assets into (a) non-core, (b) other non-operating (held for sale), (c) financial. NFO = NFP − (c). NOA = NOIC + (a) + (b). E6/E7: operating side = NOA with [A] + equity-method result; net financial expenses = −(other financial result + [C]).</t>
  </si>
  <si>
    <t>NFO rebuilt: 1,052 / 1,220 / (395) (2023–2025). New NOA line and check (NOA − NFO = NE). MM second adjustment and Penman now on NOA/NFO with core/non-core split; all ROE identities tie.</t>
  </si>
  <si>
    <t>NFO, NFO/NE, MM second adjustment, Penman RNOA, NFA form 2025</t>
  </si>
  <si>
    <t>I-38</t>
  </si>
  <si>
    <t>Part 4 B3 (BS review)</t>
  </si>
  <si>
    <t>Other liabilities (note 30) were put in operating liabilities in full, although the note splits derivatives, other financial liabilities (2024: 77; 2025: 23) and non-financial items; 2023 includes ~20 for the Expal purchase-price adjustment (acquisition-related).</t>
  </si>
  <si>
    <t>Note 30 (AR2024, AR2025); Session 4 slide 19 (investment/divestment liabilities: separate 'if they have a relevant amount')</t>
  </si>
  <si>
    <t>B3: split other liabilities by component; derivatives hedging operating risks stay operating; acquisition- or financing-related items are moved out of NOWC when material (&gt; 2% of NOIC).</t>
  </si>
  <si>
    <t>Tested: acquisition-related amounts ≤ 2% of NOIC (4,304 / 5,390 / 4,468) → kept operating; composition written in the source column.</t>
  </si>
  <si>
    <t>NOWC, NOIC (immaterial)</t>
  </si>
  <si>
    <t>Resolved — immaterial</t>
  </si>
  <si>
    <t>I-39</t>
  </si>
  <si>
    <t>Part 4 B2 (BS review)</t>
  </si>
  <si>
    <t>Other current and non-current assets are one line although they contain derivatives, finance lease receivables (KS HUAYU joint venture; 12 in 2024), pension surplus, contract costs and prepaid expenses.</t>
  </si>
  <si>
    <t>Note 24 (other assets); Rheinmetall: derivatives mainly hedge operating FX and commodity risks</t>
  </si>
  <si>
    <t>B2: classify by destination, not by IFRS label: operating hedging derivatives stay operating; finance lease receivables and other financial receivables are tested (&gt; 2% of NOIC → financial or non-core).</t>
  </si>
  <si>
    <t>Derivatives kept operating (documented); finance lease receivables immaterial (12) → kept. Composition written in the source column.</t>
  </si>
  <si>
    <t>NOWC (immaterial)</t>
  </si>
  <si>
    <t>I-40</t>
  </si>
  <si>
    <t>All provisions were operating liabilities, although restructuring costs are unusual in the income statement.</t>
  </si>
  <si>
    <t>Note 28 (structural measures: 55 / 46 / 52 / 25, 2022–2025); Session 2 slide 3 (coherence BS ↔ IS); Session 4 slide 19</t>
  </si>
  <si>
    <t>Keep restructuring provisions in NOWC?</t>
  </si>
  <si>
    <t>B3: a provision whose expense is classified as unusual is moved out of NOWC to B5 (b) when the note discloses it separately.</t>
  </si>
  <si>
    <t>Structural-measure provisions moved from operating liabilities to B5 (b) as a negative item. NOWC and NOIC rise by 46 / 52 / 25 (2023–2025); NOA, NFP, NFO unchanged. The note does not split partial retirement from termination indemnities: the whole class is moved.</t>
  </si>
  <si>
    <t>NOWC, NOIC, RONA</t>
  </si>
  <si>
    <t>I-41</t>
  </si>
  <si>
    <t>Part 4 B5 / Part 2 R6 (BS review)</t>
  </si>
  <si>
    <t>Equity-method investments were classified as non-core in one block without an investee test.</t>
  </si>
  <si>
    <t>Note 22 (AR2025: principal investees KOLBENHÖFE – real estate; 4iG – telecom/IT; HASCO – automotive, allocated to discontinued civilian operations)</t>
  </si>
  <si>
    <t>B5: test each material investee: core support, ancillary, strategic industrial partner, or financial investment. Core support → operating; otherwise non-core [B].</t>
  </si>
  <si>
    <t>Test done: no material investee is part of the core defence business → non-core (a); result stays in [B]. Not financial, so not in NFO (I-37).</t>
  </si>
  <si>
    <t>[B], non-operating assets</t>
  </si>
  <si>
    <t>I-42</t>
  </si>
  <si>
    <t>Part 4/5 (BS review)</t>
  </si>
  <si>
    <t>The perimeter warning only covered 2023→2024. The 2024 balance sheet still contains the civilian business while the 2024 IS is restated; the 2025 balance sheet moves it to held for sale.</t>
  </si>
  <si>
    <t>AR2025 note 8; I-22</t>
  </si>
  <si>
    <t>M4: flag every ratio or trend mixing perimeters.</t>
  </si>
  <si>
    <t>Warnings extended: all 2024 BS-based ratios (NOWC/revenue, DSO, DIO, DPO, CCC, turnover, 2024 ROI) and all 2024→2025 BS changes are perimeter-affected.</t>
  </si>
  <si>
    <t>All 2024 BS ratios, 2025 NOWC/RONA improvement</t>
  </si>
  <si>
    <t>I-43</t>
  </si>
  <si>
    <t>Part 4 B9 (BS review)</t>
  </si>
  <si>
    <t>'Debt-to-equity' was labelled operating + financial liabilities but computed as reported total liabilities (incl. 708 liabilities held for sale in 2025).</t>
  </si>
  <si>
    <t>Session 4 slide 25 (1)</t>
  </si>
  <si>
    <t>B9: labels must match formulas; use the managerial definition; show the reported ratio only as a memo.</t>
  </si>
  <si>
    <t>Debt-to-equity = (operating + financial liabilities) / NE: 1.86x in 2025 (reported basis 1.99x, shown as memo).</t>
  </si>
  <si>
    <t>Debt-to-equity</t>
  </si>
  <si>
    <t>I-44</t>
  </si>
  <si>
    <t>Part 4 B6b (BS review)</t>
  </si>
  <si>
    <t>Printed-subtotal rounding lines sat inside current operating assets and operating liabilities, so a printing difference changed NOWC and NOIC.</t>
  </si>
  <si>
    <t>Session 4 slides 8–9 (economic classification)</t>
  </si>
  <si>
    <t>B6b: rounding lines are a reconciliation item outside every economic class.</t>
  </si>
  <si>
    <t>Moved to a 'Reconciliation' block inside net invested capital; NOWC and NOIC changed by ≤ 2.</t>
  </si>
  <si>
    <t>NOWC, NOIC</t>
  </si>
  <si>
    <t>I-45</t>
  </si>
  <si>
    <t>Part 4 B6/B8/B2 (BS review)</t>
  </si>
  <si>
    <t>Weak wording: cash ('no working cash for a non-retail company'), NCI ('minorities as strategic partners' without evidence), investment property ('income stays in core').</t>
  </si>
  <si>
    <t>Session 4 slides 8, 11, 26; Session 2 slide 3</t>
  </si>
  <si>
    <t>State the evidence behind each option; never claim more than the slides say.</t>
  </si>
  <si>
    <t>Cash: working cash cannot be estimated reliably → option 1. NCI: base convention equity; debt-like view not applied for lack of evidence. IP: operating (slide 8 option); income immaterial and not disclosed (I-19).</t>
  </si>
  <si>
    <t>Wording only</t>
  </si>
  <si>
    <t>I-46</t>
  </si>
  <si>
    <t>Part 2 R9 (group decision)</t>
  </si>
  <si>
    <t>Restructuring special items (−1 / −2 / −7) stayed in [A] because the recurrence test found them in all three years.</t>
  </si>
  <si>
    <t>Management report special items (AR2024 p.52, AR2025 p.55); note 28; Session 2 slides 21 and 31</t>
  </si>
  <si>
    <t>R9: restructuring charges are unusual for their full amount (slide 31, category 1 example): the recurrence test does not apply to them. Take the amount from the special-items bridge.</t>
  </si>
  <si>
    <t>Moved to unusual items (u7d), deducted from personnel costs (note 28: termination indemnities; the IS line is not disclosed, assumption logged). [A] and EBITDA rise by 1 / 2 / 7.</t>
  </si>
  <si>
    <t>[A], EBITDA, IBUIT, cost structure</t>
  </si>
  <si>
    <t>I-47</t>
  </si>
  <si>
    <t>Part 5 P2/P3 (ROI review)</t>
  </si>
  <si>
    <t>Gross and net ROI denominators contained net assets held for sale (562 in 2025) and restructuring provisions, whose results are unusual items, not [B]. 2025 net ROI was understated.</t>
  </si>
  <si>
    <t>Session 2 slide 3 (coherence); Session 4 slide 19; Session 5 slides 5–6</t>
  </si>
  <si>
    <t>P2/P3: the non-core denominator holds only the non-operating assets that earn [B] (B5 classes a + c). Class (b) is left out of the ROI denominators; gross IC excludes cash (netted in NFP) and therefore ≠ total assets — say so.</t>
  </si>
  <si>
    <t>New denominators 'non-operating assets that earn [B]', gross IC and net IC for ROI. 2025 net ROI 32.8% (was 29.5% on the old base), gross ROI 11.2%.</t>
  </si>
  <si>
    <t>Gross ROI, net ROI</t>
  </si>
  <si>
    <t>I-48</t>
  </si>
  <si>
    <t>Part 5 P4 (ROI review)</t>
  </si>
  <si>
    <t>Only 2024 RONA had a same-perimeter memo; asset turnover, gross ROI and net ROI 2024 mix a restated IS with an unrestated balance sheet.</t>
  </si>
  <si>
    <t>AR2024 p.192 (civilian sales 2,032, EBIT 75); I-22</t>
  </si>
  <si>
    <t>M4: every 2024 BS-based ratio gets a same-perimeter memo or an explicit limitation.</t>
  </si>
  <si>
    <t>Memo lines added for 2024: assets turnover 0.76x, gross ROI 10.2%, net ROI 23.3% (indicative).</t>
  </si>
  <si>
    <t>2024 ROI ratios</t>
  </si>
  <si>
    <t>I-49</t>
  </si>
  <si>
    <t>Part 5 P5 (ROI review)</t>
  </si>
  <si>
    <t>DIO used a 'COGS' that cannot be rebuilt from an IS by nature; DPO used expenses instead of purchases.</t>
  </si>
  <si>
    <t>Session 5 slide 15; notes 10, 12</t>
  </si>
  <si>
    <t>P5: when COGS or purchases are not disclosed, label the proxy 'INDICATIVE PROXY' and the CCC 'INDICATIVE'.</t>
  </si>
  <si>
    <t>Labels and source column changed; numbers unchanged.</t>
  </si>
  <si>
    <t>DIO, DPO, CCC</t>
  </si>
  <si>
    <t>I-50</t>
  </si>
  <si>
    <t>Capex and D&amp;A come from the group cash flow (incl. discontinued civilian business) while revenues are continuing; cash-flow D&amp;A includes impairment.</t>
  </si>
  <si>
    <t>Cash flow statements AR2024/AR2025; note 14</t>
  </si>
  <si>
    <t>P5: state the perimeter of capex and D&amp;A; if they differ from revenues, label PERIMETER-AFFECTED and show a bracket.</t>
  </si>
  <si>
    <t>Capex/sales labelled indicative; capex/D&amp;A shown on two bases (cash-flow D&amp;A 1.72x; recurring continuing D&amp;A 2.22x in 2025): the true value lies between.</t>
  </si>
  <si>
    <t>Capex ratios</t>
  </si>
  <si>
    <t>I-51</t>
  </si>
  <si>
    <t>Part 5 E3 (ROE review)</t>
  </si>
  <si>
    <t>Net income / EBT was called 'tax burden' although net income includes discontinued operations and EBT does not.</t>
  </si>
  <si>
    <t>Session 6 slide 5; note 8 (2025 discontinued −342)</t>
  </si>
  <si>
    <t>E3: label NI/EBT 'net-income conversion factor' when discontinued operations exist.</t>
  </si>
  <si>
    <t>Relabelled; 2025 factor 0.53x mainly reflects the discontinued loss.</t>
  </si>
  <si>
    <t>Five-factor DuPont</t>
  </si>
  <si>
    <t>I-52</t>
  </si>
  <si>
    <t>Part 5 E7 (ROE review)</t>
  </si>
  <si>
    <t>The short-term borrowing rate is the average cost of all financial debt, which is neither slide-12 option.</t>
  </si>
  <si>
    <t>Session 6 slide 12</t>
  </si>
  <si>
    <t>Market rate or proxy?</t>
  </si>
  <si>
    <t>E7: call it a group-devised proxy; ROOA and implicit interest are indicative; keep the market-rate override.</t>
  </si>
  <si>
    <t>Labelled 'GROUP-DEVISED PROXY'; override cell kept. RNOA itself is unaffected (identity).</t>
  </si>
  <si>
    <t>ROOA, implicit interest</t>
  </si>
  <si>
    <t>Resolved: labelled as our own proxy. RNOA does not depend on it; only the ROOA split is indicative.</t>
  </si>
  <si>
    <t>I-53</t>
  </si>
  <si>
    <t>Agent v2.0 draft (Module B)</t>
  </si>
  <si>
    <t>Part 9 (K10) perimeter</t>
  </si>
  <si>
    <t>The IAS 7 statement is printed line by line only for the whole group; continuing operations appear only as section totals, while Block 1 EBITDA is for continuing operations.</t>
  </si>
  <si>
    <t>AR2025 p.201 (statement and split); note 8, AR2025 p.215–216; AR2024 p.203–204</t>
  </si>
  <si>
    <t>Reformulate the group or continuing operations only?</t>
  </si>
  <si>
    <t>M1 perimeter; Session 8 slide 17 (IFRS 5 cash flows); Session 9 slide 4</t>
  </si>
  <si>
    <t>Group perimeter. Added a sourced line 'EBITDA of discontinued operations' (note 8). Continuing view only in the sustainable OCF (indicative proxy).</t>
  </si>
  <si>
    <t>OCF, OFCF, sustainable OCF</t>
  </si>
  <si>
    <t>Resolved for now: we reformulate the whole group because only the group statement is printed line by line; to revisit (Decisions to revisit, D-01).</t>
  </si>
  <si>
    <t>I-54</t>
  </si>
  <si>
    <t>Part 9 (K12) OCF bridge</t>
  </si>
  <si>
    <t>EBITDA (group) + reported working-capital lines does not equal OCF derived from the reported CFOA: difference 4 / −65 / −189 (2023–2025).</t>
  </si>
  <si>
    <t>Reformation &amp; Profitability, OCF block; AR2025 p.201 (other non-cash expenses and income −42 / −97)</t>
  </si>
  <si>
    <t>Plug the difference into ΔNOWC?</t>
  </si>
  <si>
    <t>M2: the statement prevails; never plug. Session 9 slide 7: poor disclosure can block the split</t>
  </si>
  <si>
    <t>OCF taken from the reported CFOA (face). The gap is shown on its own line 'undisclosed difference', with its likely content in the comment.</t>
  </si>
  <si>
    <t>OCF composition (not OCF itself)</t>
  </si>
  <si>
    <t>Resolved for now: we show the gap instead of plugging it, because the statement does not separate tax accruals and other non-cash items; to revisit (D-02).</t>
  </si>
  <si>
    <t>I-55</t>
  </si>
  <si>
    <t>Part 8 (K6) §44A reconciliation</t>
  </si>
  <si>
    <t>AR2025 prints 89 as the 2025 non-cash change of lease liabilities; its components sum to 43 (FX −10, scope 4, interest 5, new leases 89, transfers 1, IFRS 5 −46). Total non-cash printed −582 vs −629.</t>
  </si>
  <si>
    <t>Note 29, AR2025 p.242</t>
  </si>
  <si>
    <t>M2 and the Part 1 rule: the closing balance prevails; a gap is reported, not hidden</t>
  </si>
  <si>
    <t>Components used; closing balance ties within 1. The printed subtotal difference is shown in the Reported Financials checks as a report inconsistency (not counted).</t>
  </si>
  <si>
    <t>NFP bridge case 3</t>
  </si>
  <si>
    <t>Resolved: we use the components, because they and the closing balance agree; the printed subtotal is an error in the report.</t>
  </si>
  <si>
    <t>I-56</t>
  </si>
  <si>
    <t>Part 11 (K23) NFP bridge</t>
  </si>
  <si>
    <t>§44A cash changes differ from the financing lines of the statement: 2023 808 vs 802; 2024 34 vs 20; 2025 equal.</t>
  </si>
  <si>
    <t>Note 29 (AR2024 p.229; AR2025 p.242) vs statement (AR2024 p.190; AR2025 p.201)</t>
  </si>
  <si>
    <t>Which one goes into the NFP bridge?</t>
  </si>
  <si>
    <t>Session 9 slide 13: the bridge must reconcile the whole change in NFP</t>
  </si>
  <si>
    <t>Statement used for the cash flows, §44A for the non-cash changes; the difference is a separate line.</t>
  </si>
  <si>
    <t>NFP bridge</t>
  </si>
  <si>
    <t>Resolved: the difference is shown as its own line (6 / 14 / 0), so the bridge ties to the Block 1 NFP every year; to revisit (D-12).</t>
  </si>
  <si>
    <t>I-57</t>
  </si>
  <si>
    <t>Part 8 (K2) cash definition</t>
  </si>
  <si>
    <t>Cash in the statement includes cash of disposal groups: 873 / 1,184 / 1,758 vs balance-sheet cash 850 / 1,184 / 1,650 (23 pistons at end-2022 and 2023; 108 civilian business at end-2025).</t>
  </si>
  <si>
    <t>Session 8 slides 3–4; Block 1 B6 (NFP uses balance-sheet cash)</t>
  </si>
  <si>
    <t>Reformulated statement ends at IAS 7 cash, then deducts the held-for-sale cash; the NFP bridge shows its change.</t>
  </si>
  <si>
    <t>Change in cash, NFP bridge</t>
  </si>
  <si>
    <t>Resolved: both cash figures are reconciled on their own lines; to revisit (D-10).</t>
  </si>
  <si>
    <t>I-58</t>
  </si>
  <si>
    <t>Part 10 (K19) structural-measure provisions</t>
  </si>
  <si>
    <t>The whole class sits in class (b) (Block 1), although it mixes partial retirement with termination indemnities. Its utilisation (25 / 18 / 33) becomes an unusual cash flow, while only the restructuring special item (1 / 2 / 7) is unusual in the income statement and the additions (21 / 30 / 40) stay in EBITDA.</t>
  </si>
  <si>
    <t>Note 28, AR2025 p.240; AR2024 p.226; management report special items</t>
  </si>
  <si>
    <t>Split the class?</t>
  </si>
  <si>
    <t>Session 9 slides 8–10 (unusual provisions out of EBITDA and NOWC); Module A fix #2 (R9)</t>
  </si>
  <si>
    <t>No split possible from the note; whole class kept in (b) and its cash use treated as unusual, as the balance sheet requires.</t>
  </si>
  <si>
    <t>Unusual cash flows, OCF, sustainable OCF</t>
  </si>
  <si>
    <t>Resolved for now: we follow the Block 1 classification for coherence; to revisit with the Module A v1.1 fix (D-07).</t>
  </si>
  <si>
    <t>I-59</t>
  </si>
  <si>
    <t>Part 10 (K18) Murcia refund</t>
  </si>
  <si>
    <t>Block 1 treats 97 of the 2025 refunds as unusual; the statement does not show whether it was collected in cash by year end.</t>
  </si>
  <si>
    <t>Note 11, AR2025 p.219 ('insurance payments for production losses')</t>
  </si>
  <si>
    <t>Cash or receivable?</t>
  </si>
  <si>
    <t>Session 9 slide 7: cash of unusual items in other cash flows</t>
  </si>
  <si>
    <t>Assumed received in 2025 (the note speaks of 'payments').</t>
  </si>
  <si>
    <t>OCF, unusual cash flows</t>
  </si>
  <si>
    <t>Resolved for now: assumption stated; to revisit (D-08).</t>
  </si>
  <si>
    <t>I-60</t>
  </si>
  <si>
    <t>Part 13 (K28) hidden CAPEX</t>
  </si>
  <si>
    <t>Asset breakdown of acquisitions exists only for Expal (2023) and Loc Performance (2024); 2025 acquisitions are disclosed only in total; the Expal note has no right-of-use line.</t>
  </si>
  <si>
    <t>Note 7: AR2023 p.208; AR2024 p.203; AR2025 p.214–215</t>
  </si>
  <si>
    <t>Session 8 slides 13–16</t>
  </si>
  <si>
    <t>Adjusted CAPEX for 2023–2024 only; 2025 shown as n.d.; goodwill as a memo.</t>
  </si>
  <si>
    <t>Adjusted CAPEX, adjusted OFCF</t>
  </si>
  <si>
    <t>Resolved: 2025 is n.d., not zero, because no breakdown is disclosed; to revisit (D-05).</t>
  </si>
  <si>
    <t>I-61</t>
  </si>
  <si>
    <t>Part 9 (K10) discontinued EBITDA</t>
  </si>
  <si>
    <t>The pistons note gives no D&amp;A or interest; assets held for sale since 2021 are not depreciated (IFRS 5).</t>
  </si>
  <si>
    <t>Note 8, AR2024 p.203–204; AR2025 p.216</t>
  </si>
  <si>
    <t>Session 3 slide 7 (EBITDA before D&amp;A); IFRS 5 as described in the note</t>
  </si>
  <si>
    <t>Pistons EBITDA = EBT − write-down − deconsolidation result (−9 / −3 / 0). Civilian business: sales + other income − expenses (194 / 167).</t>
  </si>
  <si>
    <t>EBITDA of discontinued operations</t>
  </si>
  <si>
    <t>Resolved: derived only from note figures; to revisit (D-15).</t>
  </si>
  <si>
    <t>I-62</t>
  </si>
  <si>
    <t>Workbook layout</t>
  </si>
  <si>
    <t>Block 2 placed at the bottom of the existing tabs (your instruction). 'Reformation &amp; Profitability' is now about 770 rows and does not fit one A3 page at Excel's 10% minimum scale.</t>
  </si>
  <si>
    <t>Page setup</t>
  </si>
  <si>
    <t>Separate tab or larger paper?</t>
  </si>
  <si>
    <t>House style: one page per tab</t>
  </si>
  <si>
    <t>Paper size A2 for that tab, fitted to one page.</t>
  </si>
  <si>
    <t>Printing only</t>
  </si>
  <si>
    <t>Resolved for now: printed on one A2 page; to revisit (D-06).</t>
  </si>
  <si>
    <t>Closing disclosure — what a reader should know before relying on the workbook</t>
  </si>
  <si>
    <t>Figures not found</t>
  </si>
  <si>
    <t>IFRS 15 financing interest (I-04); short-term interest and short-term debt (I-10); trademarks (I-09); composition of the other financial result.; Block 2: restricted cash (not disclosed, note 25); asset breakdown of the 2025 acquisitions (I-60)</t>
  </si>
  <si>
    <t>Classifications awaiting a decision</t>
  </si>
  <si>
    <t>None. Every judgement call is resolved in the Log, with the reason for our choice.</t>
  </si>
  <si>
    <t>Inconsistencies between documents</t>
  </si>
  <si>
    <t>Capex 2024: 732 in the cash flow statement vs 697 in the key figures; we use 732 (I-03).; Block 2: §44A lease non-cash subtotal 2025 (89 printed vs 43 from components, I-55); §44A cash changes vs statement (I-56)</t>
  </si>
  <si>
    <t>Analyses that could not be completed</t>
  </si>
  <si>
    <t>Lens 1 (costs by function) and GMROI: not derivable, because the income statement is by nature (I-06).</t>
  </si>
  <si>
    <t>Group decisions taken during the work</t>
  </si>
  <si>
    <t>Year-end balance sheet basis; pension interest in operating costs (I-05); Shriram stake non-operating (I-07); statement prevails over notes, with rounding lines and a tolerance of 2 (I-13); restructuring and the Murcia insurance refund as unusual items (I-46, I-18); 100% fixed/variable per cost category (I-34); material-change factor k = 2.0.</t>
  </si>
  <si>
    <t>Assumptions and proxies we rely on</t>
  </si>
  <si>
    <t>COGS and purchases proxies for DIO and DPO (I-06, I-49); short-term borrowing rate proxy (I-10, I-52); estimated insurance refund of 97 (I-18); capex on a group perimeter (I-50).; Block 2: group perimeter for the cash flow (I-53); OCF undisclosed difference shown (I-54); Murcia refund assumed in cash (I-59); discontinued OCF as indicative proxy</t>
  </si>
  <si>
    <t>Open issues (count)</t>
  </si>
  <si>
    <t>Declared inputs not opened</t>
  </si>
  <si>
    <t>None. Every declared input of Modules A and B was opened (no time limit).</t>
  </si>
  <si>
    <t>ID</t>
  </si>
  <si>
    <t>What we did, why, and what to reconsider</t>
  </si>
  <si>
    <t>Go to</t>
  </si>
  <si>
    <t>Block 2 decisions to revisit (temporary tab — delete before the hand-in)</t>
  </si>
  <si>
    <t>Perimeter of the reformulated cash flow statement: the whole group, including discontinued operations</t>
  </si>
  <si>
    <t>D-01</t>
  </si>
  <si>
    <t>We reformulate the group statement because IAS 7 is printed line by line only for the group; continuing operations appear only as section totals. Block 1 EBITDA is for continuing operations, so we add a sourced line 'EBITDA of discontinued operations' (note 8) and show the continuing view only in the sustainable OCF (indicative). To reconsider: a continuing-only statement would need estimated working-capital and tax lines.</t>
  </si>
  <si>
    <t>OCF is taken from the reported CFOA; the gap to EBITDA + ΔNOWC is shown as an 'undisclosed difference'</t>
  </si>
  <si>
    <t>D-02</t>
  </si>
  <si>
    <t>In plain words: we trust the printed cash flow from operating activities (the face of the statement prevails, as in Block 1). We get OCF by taking CFOA and moving out interest, taxes, dividends received and unusual items. When we rebuild OCF bottom-up from Block 1 EBITDA plus the reported working-capital lines, it does not add up exactly, because the statement does not separate tax accruals and some non-cash items. We show that gap on its own line instead of hiding it. Amounts per year are on the right. To reconsider: whether to split the gap further (e.g. using balance-sheet tax balances).</t>
  </si>
  <si>
    <t>OCF before taxes as the headline; taxes paid among the other cash flows</t>
  </si>
  <si>
    <t>D-03</t>
  </si>
  <si>
    <t>Session 9 slides 5, 11 and 15 put taxes paid in the other cash flows (OFCF before taxes). OCF after taxes paid is shown as a memo (Session 8 slide 30). Unlevered FCF uses notional taxes on operating income (slide 14).</t>
  </si>
  <si>
    <t>CAPEX = purchases − disposals of PP&amp;E, intangibles and investment property, net of investment grants; new leases not in CAPEX</t>
  </si>
  <si>
    <t>D-04</t>
  </si>
  <si>
    <t>New leases are non-cash, so they enter the NFP bridge (case 3) and a memo 'CAPEX incl. new leases', not the cash statement. The 2024 government grant (35) reduces CAPEX because it finances the asset.</t>
  </si>
  <si>
    <t>Hidden CAPEX: identifiable intangibles, PP&amp;E and right-of-use assets at fair value; goodwill excluded; 2025 n.d.</t>
  </si>
  <si>
    <t>D-05</t>
  </si>
  <si>
    <t>We add the capital assets bought through acquisitions (Ketz, Session 8 slide 15) at their fair value in the purchase-price allocation, whatever the payment form. Goodwill is shown as a memo but not added. 2025: four immaterial acquisitions with no asset breakdown, so n.d. (not zero). Other small 2023–2024 acquisitions are not in the note tables. To reconsider: include goodwill as a sensitivity.</t>
  </si>
  <si>
    <t>Block 2 placed at the bottom of the existing tabs; printing on one page</t>
  </si>
  <si>
    <t>D-06</t>
  </si>
  <si>
    <t>As you asked, the cash flow statement sits at the bottom of 'Reported Financials' / 'Input financials' and the analysis at the bottom of 'Reformation &amp; Profitability'. That tab is now about 770 rows: one A3 page would need a print scale below Excel's 10% minimum, so it is set to A2 paper, fitted to one page. To reconsider: a separate tab, or accept two pages.</t>
  </si>
  <si>
    <t>Provisions for structural measures: whole class in class (b); its utilisation is an unusual cash flow</t>
  </si>
  <si>
    <t>D-07</t>
  </si>
  <si>
    <t>Block 1 moved the whole class out of NOWC (B3), although it mixes termination indemnities with partial retirement (the Module A fix #2 we promised). Its cash use (25 / 18 / 33) is therefore an unusual cash flow, while Block 1 treats only management's restructuring (1 / 2 / 7) as unusual, and the additions (21 / 30 / 40) sit inside EBITDA as personnel costs. To reconsider: keep partial retirement in NOWC and move only the redundancy part.</t>
  </si>
  <si>
    <t>Murcia insurance refund (97) assumed received in cash in 2025</t>
  </si>
  <si>
    <t>D-08</t>
  </si>
  <si>
    <t>Note 11 calls the refunds 'insurance payments for production losses' (AR2025 p.219), but the cash flow statement does not show whether all of it was received by 31 December. If part is still a receivable, OCF before unusual items is understated by the same amount.</t>
  </si>
  <si>
    <t>Loc Performance transaction costs (6) assumed paid in 2024</t>
  </si>
  <si>
    <t>D-09</t>
  </si>
  <si>
    <t>Expensed in 2024 (Block 1 unusual item); no payable disclosed.</t>
  </si>
  <si>
    <t>Cash bottom line = IAS 7 cash, which includes cash of disposal groups</t>
  </si>
  <si>
    <t>D-10</t>
  </si>
  <si>
    <t>The statement's cash includes cash held for sale (23 at end-2022 and 2023, pistons; 108 at end-2025, civilian business). Block 1 NFP uses balance-sheet cash, so the reformulated statement deducts it and the NFP bridge shows its change.</t>
  </si>
  <si>
    <t>§44A reconciliation 2025: printed lease non-cash subtotal (89) ≠ its components (43)</t>
  </si>
  <si>
    <t>D-11</t>
  </si>
  <si>
    <t>We use the components, because they agree with the closing balance (difference 1). The report's subtotal error is shown in the checks of 'Reported Financials' and logged (I-55), not counted as a failed check.</t>
  </si>
  <si>
    <t>§44A cash changes differ from the financing lines of the statement (2023: 6; 2024: 14)</t>
  </si>
  <si>
    <t>D-12</t>
  </si>
  <si>
    <t>The NFP bridge uses the statement for the cash flows and §44A for the non-cash changes; the difference is a separate, labelled line.</t>
  </si>
  <si>
    <t>Unlevered FCF: notional taxes = t × ([A] + equity-method result), same base and t as NOPAT</t>
  </si>
  <si>
    <t>D-13</t>
  </si>
  <si>
    <t>t is the tax rate of continuing operations (M11, row 463). The difference to taxes paid is a derived line in the FCFE bridge.</t>
  </si>
  <si>
    <t>Dividends from equity-accounted investments are other cash flows, not OCF</t>
  </si>
  <si>
    <t>D-14</t>
  </si>
  <si>
    <t>The equity-method result is non-core [B] in Block 1, so its cash follows (Session 9 slide 6 coherence).</t>
  </si>
  <si>
    <t>EBITDA of the discontinued pistons business derived from EBT, the write-down and the deconsolidation result</t>
  </si>
  <si>
    <t>D-15</t>
  </si>
  <si>
    <t>The note gives no D&amp;A (no depreciation after the IFRS 5 classification in 2021) and no interest split, so EBITDA = EBT − write-down − deconsolidation result.</t>
  </si>
  <si>
    <t>No numerical checks: this tab only lists decisions. Amounts are links to 'Reformation &amp; Profitability'.</t>
  </si>
  <si>
    <t>ALL OK</t>
  </si>
  <si>
    <t>BAABTAVMT0NBTAFI/////wFQGAAAABtDSVEuVFNYOkFUWi5JUV9DT01QQU5ZX05BTUUBAAAAEq8vCAMAAAAMQXJpdHppYSBJbmMuAF6Tvf5OGt8Ib4TZ/k4a3wgfQ0lRLkVOWFRQQTpTTUNQLklRX0NPTVBBTllfTkFNRQEAAAAzecQGAwAAAAlTTUNQIFMuQS4AXpO9/k4a3whvhNn+ThrfCB5DSVEuSExTRTpNRUtLTy5JUV9DT01QQU5ZX05BTUUBAAAA9px7AAMAAAANTWFyaW1la2tvIE95agBek73+ThrfCG+E2f5OGt8IHENJUS5OWVNFOlRQUi5JUV9DT01QQU5ZX05BTUUBAAAA7QgIAAMAAAAOVGFwZXN0cnksIEluYy4AXpO9/k4a3whvhNn+ThrfCCdDSVEuVFNYOkFUWi5JUV9NQVJLRVRDQVAuMzEvMTIvMjAyNC5ES0sBAAAAEq8vCAIAAAAQMzAyMDEsNjgzMjM4ODYxNAEGAAAABQAAAAExAQAAAAstMTk3Mzg2NTE2MQMAAAACNDICAAAABjEwMDA1NAQAAAABMAcAAAAKMTIvMzEvMjAyNF6Tvf5OGt8I6FzZ/k4a3wgrQ0lRLkVOWFRQQTpTTUNQLklRX01BUktFVENBUC4zMS8xMi8yMDI0LkRLSwEAAAAzecQGAgAAABAyMDY0LDcyNjY1ODI4OTkzAQYAAAAFAAAAATEBAAAACy0xOTgzNzc2ODQzAwAAAAI0MgIAAAAGMTAwMDU0BAAAAAEwBwAAAAoxMi8zMS8yMDI0XpO9/k4a3whvhNn+ThrfCCpDSVEuSExTRTpNRUtLTy5JUV9NQVJLRVRDQVAuMzEvMTIvMjAyNC5ES0sBAAAA9px7AAIAAAAQMzY2NywxNzI4</t>
  </si>
  <si>
    <t>NzA4MDEzOQEGAAAABQAAAAExAQAAAAstMTk3MDQ5Mjg0MgMAAAACNDICAAAABjEwMDA1NAQAAAABMAcAAAAKMTIvMzEvMjAyNF6Tvf5OGt8Ib4TZ/k4a3wgoQ0lRLk5ZU0U6VFBSLklRX01BUktFVENBUC4zMS8xMi8yMDI0LkRLSwEAAADtCAgAAgAAABAxMDc4NTUsNTk4NjE5NTkyAQYAAAAFAAAAATEBAAAACy0xOTcwMzQ4NDk1AwAAAAI0MgIAAAAGMTAwMDU0BAAAAAEwBwAAAAoxMi8zMS8yMDI0XpO9/k4a3whvhNn+ThrfCCJDSVEuVFNYOkFUWi5JUV9CRVRBXzVZUi4zMS8xMi8yMDI0AQAAABKvLwgCAAAAEDEsNzUzMzU4MTgyOTAxMDcAXpO9/k4a3whvhNn+ThrfCCZDSVEuRU5YVFBBOlNNQ1AuSVFfQkVUQV81WVIuMzEvMTIvMjAyNAEAAAAzecQGAgAAABAxLDcxMzQxMzIzMzA5MDU2AF6Tvf5OGt8Ib4TZ/k4a3wglQ0lRLkhMU0U6TUVLS08uSVFfQkVUQV81WVIuMzEvMTIvMjAyNAEAAAD2nHsAAgAAABAxLDI1NTQ2OTM4NDczMzkzAF6Tvf5OGt8Ib4TZ/k4a3wgjQ0lRLk5ZU0U6VFBSLklRX0JFVEFfNVlSLjMxLzEyLzIwMjQBAAAA7QgIAAIAAAAQMSw2MDU2NjUwMjE4NTkwNgBek73+ThrfCG+E2f5OGt8IMENJUS5UU1g6QVRaLklRX1RPVEFMX0RFQlQuSVFfRlEuMzEvMTIvMjAyNC4uLkRLSwEAAAASry8IAgAAAAs0NTEyLDc5ODk5OQEIAAAABQAAAAExAQAAAAstMTkxMDUwODcwMAMAAAACNDIC</t>
  </si>
  <si>
    <t>AAAABDQxNzMEAAAAATAHAAAACjEyLzMxLzIwMjQIAAAACTEyLzEvMjAyNAkAAAABMF6Tvf5OGt8Ib4TZ/k4a3wgeQ0lRLlRTWDpBVFouSVFfRklMSU5HX0NVUlJFTkNZAQAAABKvLwgDAAAAA0NBRABek73+ThrfCG+E2f5OGt8IIkNJUS5FTlhUUEE6U01DUC5JUV9GSUxJTkdfQ1VSUkVOQ1kBAAAAM3nEBgMAAAADRVVSAF6Tvf5OGt8Ib4TZ/k4a3wghQ0lRLkhMU0U6TUVLS08uSVFfRklMSU5HX0NVUlJFTkNZAQAAAPacewADAAAAA0VVUgBek73+ThrfCG+E2f5OGt8IH0NJUS5OWVNFOlRQUi5JUV9GSUxJTkdfQ1VSUkVOQ1kBAAAA7QgIAAMAAAADVVNEAF6Tvf5OGt8I6FzZ/k4a3wg0Q0lRLkVOWFRQQTpTTUNQLklRX1RPVEFMX0RFQlQuSVFfRlEuMzEvMTIvMjAyNC4uLkRLSwEAAAAzecQGAgAAAAo1NDQzLDQyNjI5AQgAAAAFAAAAATEBAAAACy0xOTA0MDU3MDU1AwAAAAI0MgIAAAAENDE3MwQAAAABMAcAAAAKMTIvMzEvMjAyNAgAAAAKMTIvMzEvMjAyNAkAAAABMF6Tvf5OGt8Ib4TZ/k4a3wgzQ0lRLkhMU0U6TUVLS08uSVFfVE9UQUxfREVCVC5JUV9GUS4zMS8xMi8yMDI0Li4uREtLAQAAAPacewACAAAACjIyOCwyMDc3NjEBCAAAAAUAAAABMQEAAAALLTE5MDA2OTA4MTcDAAAAAjQyAgAAAAQ0MTczBAAAAAEwBwAAAAoxMi8zMS8yMDI0CAAAAAoxMi8zMS8yMDI0CQAAAAEwXpO9/k4a3whvhNn+Thrf</t>
  </si>
  <si>
    <t>CDFDSVEuTllTRTpUUFIuSVFfVE9UQUxfREVCVC5JUV9GUS4zMS8xMi8yMDI0Li4uREtLAQAAAO0ICAACAAAADDI5MzY5LDA0ODAyMgEIAAAABQAAAAExAQAAAAstMTkwNzg3MTEzOAMAAAACNDICAAAABDQxNzMEAAAAATAHAAAACjEyLzMxLzIwMjQIAAAACjEyLzI4LzIwMjQJAAAAATBek73+ThrfCG+E2f5OGt8IMENJUS5UU1g6QVRaLklRX0NBU0hfRVFVSVYuSVFfRlEuMzEvMTIvMjAyNC4uLkRLSwEAAAASry8IAgAAAAsxMDQzLDk5OTI2NQEIAAAABQAAAAExAQAAAAstMTkxMDUwODcwMAMAAAACNDICAAAABDEwOTYEAAAAATAHAAAACjEyLzMxLzIwMjQIAAAACTEyLzEvMjAyNAkAAAABMF6Tvf5OGt8Ib4TZ/k4a3wg0Q0lRLkVOWFRQQTpTTUNQLklRX0NBU0hfRVFVSVYuSVFfRlEuMzEvMTIvMjAyNC4uLkRLSwEAAAAzecQGAgAAAAozNjEsNzAxODQzAQgAAAAFAAAAATEBAAAACy0xOTA0MDU3MDU1AwAAAAI0MgIAAAAEMTA5NgQAAAABMAcAAAAKMTIvMzEvMjAyNAgAAAAKMTIvMzEvMjAyNAkAAAABMF6Tvf5OGt8Ib4TZ/k4a3wgzQ0lRLkhMU0U6TUVLS08uSVFfQ0FTSF9FUVVJVi5JUV9GUS4zMS8xMi8yMDI0Li4uREtLAQAAAPacewACAAAACjMwMSwyOTM5MDYBCAAAAAUAAAABMQEAAAALLTE5MDA2OTA4MTcDAAAAAjQyAgAAAAQxMDk2BAAAAAEwBwAAAAoxMi8zMS8yMDI0CAAAAAoxMi8zMS8yMDI0</t>
  </si>
  <si>
    <t>CQAAAAEwXpO9/k4a3wjoXNn+ThrfCDFDSVEuTllTRTpUUFIuSVFfQ0FTSF9FUVVJVi5JUV9GUS4zMS8xMi8yMDI0Li4uREtLAQAAAO0ICAACAAAACzcwMzIsOTUyMjc4AQgAAAAFAAAAATEBAAAACy0xOTA3ODcxMTM4AwAAAAI0MgIAAAAEMTA5NgQAAAABMAcAAAAKMTIvMzEvMjAyNAgAAAAKMTIvMjgvMjAyNAkAAAABMF6Tvf5OGt8I6FzZ/k4a3wg=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</si>
</sst>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d\-mmm"/>
    <numFmt numFmtId="165" formatCode="#,##0_);\(#,##0\);\-_)"/>
    <numFmt numFmtId="166" formatCode="0.00%;\(0.00%\);\-"/>
    <numFmt numFmtId="167" formatCode="0.00\x"/>
    <numFmt numFmtId="168" formatCode="0.0;\(0.0\);\-"/>
    <numFmt numFmtId="169" formatCode="0.0\x"/>
    <numFmt numFmtId="170" formatCode="dd\-mm\-yyyy"/>
    <numFmt numFmtId="171" formatCode="_(* #,##0.00_);_(* \(#,##0.00\);_(* \-??_);_(@_)"/>
    <numFmt numFmtId="172" formatCode="_(\$* #,##0.00_);_(\$* \(#,##0.00\);_(\$* \-??_);_(@_)"/>
    <numFmt numFmtId="173" formatCode="_-* #,##0.00\ _k_r_._-;\-* #,##0.00\ _k_r_._-;_-* \-??\ _k_r_._-;_-@_-"/>
    <numFmt numFmtId="174" formatCode="#,##0.0;\-#,##0.0;\-"/>
  </numFmts>
  <fonts count="64" x14ac:knownFonts="1">
    <font>
      <sz val="11"/>
      <color theme="1"/>
      <name val="Calibri"/>
      <family val="2"/>
      <charset val="1"/>
    </font>
    <font>
      <sz val="12"/>
      <color theme="1"/>
      <name val="Calibri"/>
      <family val="2"/>
      <charset val="1"/>
    </font>
    <font>
      <u/>
      <sz val="12"/>
      <color theme="10"/>
      <name val="Calibri"/>
      <family val="2"/>
      <charset val="1"/>
    </font>
    <font>
      <sz val="10"/>
      <color theme="1"/>
      <name val="Verdana"/>
      <family val="2"/>
      <charset val="1"/>
    </font>
    <font>
      <sz val="9"/>
      <color theme="1"/>
      <name val="Arial"/>
      <family val="2"/>
      <charset val="1"/>
    </font>
    <font>
      <sz val="10"/>
      <color theme="1"/>
      <name val="Arial"/>
      <family val="2"/>
      <charset val="1"/>
    </font>
    <font>
      <sz val="12"/>
      <color theme="1"/>
      <name val="Arial"/>
      <family val="2"/>
      <charset val="1"/>
    </font>
    <font>
      <b/>
      <sz val="28"/>
      <color theme="0"/>
      <name val="Bierstadt"/>
      <family val="2"/>
      <charset val="1"/>
    </font>
    <font>
      <sz val="12"/>
      <color theme="0"/>
      <name val="Bierstadt"/>
      <family val="2"/>
      <charset val="1"/>
    </font>
    <font>
      <sz val="12"/>
      <color theme="1" tint="0.3498947111423078"/>
      <name val="Arial"/>
      <family val="2"/>
      <charset val="1"/>
    </font>
    <font>
      <sz val="12"/>
      <color theme="0"/>
      <name val="Arial"/>
      <family val="2"/>
      <charset val="1"/>
    </font>
    <font>
      <b/>
      <sz val="9"/>
      <color theme="0"/>
      <name val="Bierstadt"/>
      <family val="2"/>
      <charset val="1"/>
    </font>
    <font>
      <u/>
      <sz val="12"/>
      <color theme="0"/>
      <name val="Arial"/>
      <family val="2"/>
      <charset val="1"/>
    </font>
    <font>
      <sz val="12"/>
      <color theme="0" tint="-0.499984740745262"/>
      <name val="Calibri"/>
      <family val="2"/>
      <charset val="1"/>
    </font>
    <font>
      <sz val="12"/>
      <color rgb="FFC00000"/>
      <name val="Calibri"/>
      <family val="2"/>
      <charset val="1"/>
    </font>
    <font>
      <b/>
      <sz val="14"/>
      <color rgb="FFFFFFFF"/>
      <name val="Bierstadt"/>
      <charset val="1"/>
    </font>
    <font>
      <b/>
      <sz val="12"/>
      <color rgb="FF000000"/>
      <name val="Bierstadt"/>
      <charset val="1"/>
    </font>
    <font>
      <b/>
      <sz val="10"/>
      <color rgb="FF000000"/>
      <name val="Bierstadt"/>
      <charset val="1"/>
    </font>
    <font>
      <sz val="12"/>
      <color rgb="FF89426D"/>
      <name val="Bierstadt"/>
      <charset val="1"/>
    </font>
    <font>
      <b/>
      <sz val="12"/>
      <color rgb="FFFFFFFF"/>
      <name val="Bierstadt"/>
      <charset val="1"/>
    </font>
    <font>
      <sz val="10"/>
      <color rgb="FF000000"/>
      <name val="Bierstadt"/>
      <charset val="1"/>
    </font>
    <font>
      <sz val="9"/>
      <color rgb="FF000000"/>
      <name val="Bierstadt"/>
      <charset val="1"/>
    </font>
    <font>
      <sz val="10"/>
      <color rgb="FF008000"/>
      <name val="Bierstadt"/>
      <charset val="1"/>
    </font>
    <font>
      <i/>
      <sz val="9"/>
      <color rgb="FF595959"/>
      <name val="Bierstadt"/>
      <charset val="1"/>
    </font>
    <font>
      <i/>
      <sz val="10"/>
      <color rgb="FF808080"/>
      <name val="Bierstadt"/>
      <charset val="1"/>
    </font>
    <font>
      <b/>
      <sz val="10"/>
      <color rgb="FF002060"/>
      <name val="Bierstadt"/>
      <charset val="1"/>
    </font>
    <font>
      <i/>
      <sz val="9"/>
      <color rgb="FFC00000"/>
      <name val="Bierstadt"/>
      <charset val="1"/>
    </font>
    <font>
      <i/>
      <sz val="9"/>
      <color rgb="FFFF0000"/>
      <name val="Bierstadt"/>
      <charset val="1"/>
    </font>
    <font>
      <b/>
      <sz val="10"/>
      <color rgb="FF0000FF"/>
      <name val="Bierstadt"/>
      <charset val="1"/>
    </font>
    <font>
      <b/>
      <i/>
      <sz val="10"/>
      <color rgb="FF808080"/>
      <name val="Bierstadt"/>
      <charset val="1"/>
    </font>
    <font>
      <i/>
      <sz val="9"/>
      <color rgb="FF002060"/>
      <name val="Bierstadt"/>
      <charset val="1"/>
    </font>
    <font>
      <sz val="10"/>
      <color rgb="FF0000FF"/>
      <name val="Bierstadt"/>
      <charset val="1"/>
    </font>
    <font>
      <sz val="9"/>
      <color rgb="FF595959"/>
      <name val="Bierstadt"/>
      <charset val="1"/>
    </font>
    <font>
      <b/>
      <sz val="11"/>
      <color rgb="FFFFFFFF"/>
      <name val="Bierstadt"/>
      <charset val="1"/>
    </font>
    <font>
      <b/>
      <sz val="11"/>
      <color rgb="FF000000"/>
      <name val="Bierstadt"/>
      <charset val="1"/>
    </font>
    <font>
      <i/>
      <sz val="10"/>
      <color rgb="FF7F7F7F"/>
      <name val="Bierstadt"/>
      <charset val="1"/>
    </font>
    <font>
      <i/>
      <sz val="10"/>
      <color rgb="FF0000FF"/>
      <name val="Bierstadt"/>
      <charset val="1"/>
    </font>
    <font>
      <b/>
      <sz val="9"/>
      <color rgb="FF000000"/>
      <name val="Bierstadt"/>
      <charset val="1"/>
    </font>
    <font>
      <i/>
      <sz val="9"/>
      <color rgb="FF7F7F7F"/>
      <name val="Bierstadt"/>
      <charset val="1"/>
    </font>
    <font>
      <sz val="12"/>
      <color rgb="FF89426D"/>
      <name val="Bierstadt"/>
    </font>
    <font>
      <b/>
      <sz val="12"/>
      <color rgb="FFFFFFFF"/>
      <name val="Bierstadt"/>
    </font>
    <font>
      <sz val="10"/>
      <color rgb="FF000000"/>
      <name val="Bierstadt"/>
    </font>
    <font>
      <i/>
      <sz val="9"/>
      <color rgb="FF595959"/>
      <name val="Bierstadt"/>
    </font>
    <font>
      <sz val="9"/>
      <color rgb="FF000000"/>
      <name val="Bierstadt"/>
    </font>
    <font>
      <b/>
      <sz val="10"/>
      <color rgb="FF002060"/>
      <name val="Bierstadt"/>
    </font>
    <font>
      <sz val="10"/>
      <color rgb="FF0000FF"/>
      <name val="Bierstadt"/>
    </font>
    <font>
      <b/>
      <sz val="9"/>
      <color rgb="FF000000"/>
      <name val="Bierstadt"/>
    </font>
    <font>
      <i/>
      <sz val="9"/>
      <color rgb="FF7F7F7F"/>
      <name val="Bierstadt"/>
    </font>
    <font>
      <i/>
      <sz val="10"/>
      <color rgb="FF7F7F7F"/>
      <name val="Bierstadt"/>
    </font>
    <font>
      <b/>
      <sz val="10"/>
      <color rgb="FF000000"/>
      <name val="Bierstadt"/>
    </font>
    <font>
      <sz val="10"/>
      <color rgb="FF008000"/>
      <name val="Bierstadt"/>
    </font>
    <font>
      <b/>
      <sz val="9"/>
      <color rgb="FFC65911"/>
      <name val="Bierstadt"/>
    </font>
    <font>
      <b/>
      <sz val="11"/>
      <color rgb="FFFFFFFF"/>
      <name val="Bierstadt"/>
    </font>
    <font>
      <b/>
      <sz val="11"/>
      <color rgb="FF000000"/>
      <name val="Bierstadt"/>
    </font>
    <font>
      <b/>
      <sz val="12"/>
      <color rgb="FF000000"/>
      <name val="Bierstadt"/>
    </font>
    <font>
      <i/>
      <sz val="9"/>
      <color rgb="FF002060"/>
      <name val="Bierstadt"/>
    </font>
    <font>
      <i/>
      <sz val="10"/>
      <color rgb="FF002060"/>
      <name val="Bierstadt"/>
    </font>
    <font>
      <i/>
      <sz val="10"/>
      <color rgb="FF808080"/>
      <name val="Bierstadt"/>
    </font>
    <font>
      <i/>
      <sz val="10"/>
      <color rgb="FF008000"/>
      <name val="Bierstadt"/>
    </font>
    <font>
      <i/>
      <sz val="9"/>
      <color rgb="FF808080"/>
      <name val="Bierstadt"/>
    </font>
    <font>
      <b/>
      <sz val="14"/>
      <color rgb="FFFFFFFF"/>
      <name val="Bierstadt"/>
    </font>
    <font>
      <u/>
      <sz val="10"/>
      <color rgb="FF002060"/>
      <name val="Bierstadt"/>
    </font>
    <font>
      <u/>
      <sz val="9"/>
      <color rgb="FF002060"/>
      <name val="Bierstadt"/>
    </font>
    <font>
      <sz val="11"/>
      <color theme="1"/>
      <name val="Calibri"/>
      <family val="2"/>
      <charset val="1"/>
    </font>
  </fonts>
  <fills count="6">
    <fill>
      <patternFill patternType="none"/>
    </fill>
    <fill>
      <patternFill patternType="gray125"/>
    </fill>
    <fill>
      <patternFill patternType="solid">
        <fgColor rgb="FF002060"/>
        <bgColor rgb="FF000080"/>
      </patternFill>
    </fill>
    <fill>
      <patternFill patternType="solid">
        <fgColor rgb="FFFFFF00"/>
        <bgColor rgb="FFFFFF00"/>
      </patternFill>
    </fill>
    <fill>
      <patternFill patternType="solid">
        <fgColor rgb="FF002060"/>
      </patternFill>
    </fill>
    <fill>
      <patternFill patternType="solid">
        <fgColor rgb="FFE7E6E6"/>
      </patternFill>
    </fill>
  </fills>
  <borders count="8">
    <border>
      <left/>
      <right/>
      <top/>
      <bottom/>
      <diagonal/>
    </border>
    <border>
      <left/>
      <right/>
      <top style="thin">
        <color auto="1"/>
      </top>
      <bottom/>
      <diagonal/>
    </border>
    <border>
      <left/>
      <right/>
      <top/>
      <bottom style="medium">
        <color auto="1"/>
      </bottom>
      <diagonal/>
    </border>
    <border>
      <left/>
      <right/>
      <top style="thin">
        <color auto="1"/>
      </top>
      <bottom style="thin">
        <color auto="1"/>
      </bottom>
      <diagonal/>
    </border>
    <border>
      <left/>
      <right/>
      <top/>
      <bottom style="hair">
        <color rgb="FFBFBFBF"/>
      </bottom>
      <diagonal/>
    </border>
    <border>
      <left/>
      <right/>
      <top style="thin">
        <color auto="1"/>
      </top>
      <bottom style="thin">
        <color auto="1"/>
      </bottom>
      <diagonal/>
    </border>
    <border>
      <left/>
      <right/>
      <top style="thin">
        <color auto="1"/>
      </top>
      <bottom/>
      <diagonal/>
    </border>
    <border>
      <left/>
      <right/>
      <top/>
      <bottom style="medium">
        <color auto="1"/>
      </bottom>
      <diagonal/>
    </border>
  </borders>
  <cellStyleXfs count="14">
    <xf numFmtId="0" fontId="0" fillId="0" borderId="0"/>
    <xf numFmtId="171" fontId="1" fillId="0" borderId="0"/>
    <xf numFmtId="171" fontId="1" fillId="0" borderId="0"/>
    <xf numFmtId="172" fontId="1" fillId="0" borderId="0"/>
    <xf numFmtId="0" fontId="2" fillId="0" borderId="0"/>
    <xf numFmtId="173" fontId="63" fillId="0" borderId="0"/>
    <xf numFmtId="0" fontId="3" fillId="0" borderId="0"/>
    <xf numFmtId="0" fontId="1" fillId="0" borderId="0"/>
    <xf numFmtId="0" fontId="63" fillId="0" borderId="0"/>
    <xf numFmtId="174" fontId="4" fillId="0" borderId="0">
      <alignment vertical="center"/>
    </xf>
    <xf numFmtId="0" fontId="5" fillId="0" borderId="0"/>
    <xf numFmtId="9" fontId="1" fillId="0" borderId="0"/>
    <xf numFmtId="9" fontId="1" fillId="0" borderId="0"/>
    <xf numFmtId="9" fontId="5" fillId="0" borderId="0"/>
  </cellStyleXfs>
  <cellXfs count="141">
    <xf numFmtId="0" fontId="0" fillId="0" borderId="0" xfId="0" applyAlignment="1"/>
    <xf numFmtId="0" fontId="1" fillId="2" borderId="0" xfId="0" applyFont="1" applyFill="1" applyAlignment="1"/>
    <xf numFmtId="0" fontId="1" fillId="2" borderId="0" xfId="0" applyFont="1" applyFill="1" applyAlignment="1">
      <alignment wrapText="1"/>
    </xf>
    <xf numFmtId="0" fontId="0" fillId="0" borderId="0" xfId="0"/>
    <xf numFmtId="0" fontId="6" fillId="2" borderId="0" xfId="0" applyFont="1" applyFill="1" applyAlignment="1"/>
    <xf numFmtId="0" fontId="7" fillId="2" borderId="0" xfId="0" applyFont="1" applyFill="1" applyAlignment="1">
      <alignment horizontal="center"/>
    </xf>
    <xf numFmtId="0" fontId="8" fillId="2" borderId="0" xfId="0" applyFont="1" applyFill="1" applyAlignment="1">
      <alignment horizontal="center"/>
    </xf>
    <xf numFmtId="0" fontId="9" fillId="2" borderId="0" xfId="0" applyFont="1" applyFill="1" applyAlignment="1"/>
    <xf numFmtId="0" fontId="10" fillId="2" borderId="0" xfId="0" applyFont="1" applyFill="1" applyAlignment="1"/>
    <xf numFmtId="0" fontId="10" fillId="2" borderId="0" xfId="0" applyFont="1" applyFill="1" applyAlignment="1">
      <alignment horizontal="left"/>
    </xf>
    <xf numFmtId="0" fontId="10" fillId="2" borderId="0" xfId="0" applyFont="1" applyFill="1" applyAlignment="1">
      <alignment horizontal="center"/>
    </xf>
    <xf numFmtId="0" fontId="11" fillId="2" borderId="0" xfId="0" applyFont="1" applyFill="1" applyAlignment="1">
      <alignment horizontal="center"/>
    </xf>
    <xf numFmtId="0" fontId="12" fillId="2" borderId="0" xfId="0" applyFont="1" applyFill="1" applyAlignment="1">
      <alignment horizontal="center"/>
    </xf>
    <xf numFmtId="0" fontId="13" fillId="2" borderId="0" xfId="0" applyFont="1" applyFill="1" applyAlignment="1"/>
    <xf numFmtId="0" fontId="14" fillId="2" borderId="0" xfId="0" applyFont="1" applyFill="1" applyAlignment="1"/>
    <xf numFmtId="0" fontId="0" fillId="4" borderId="0" xfId="0" applyFill="1"/>
    <xf numFmtId="0" fontId="60" fillId="4" borderId="0" xfId="0" applyFont="1" applyFill="1"/>
    <xf numFmtId="0" fontId="39" fillId="0" borderId="0" xfId="0" applyFont="1"/>
    <xf numFmtId="0" fontId="40" fillId="4" borderId="0" xfId="0" applyFont="1" applyFill="1"/>
    <xf numFmtId="0" fontId="61" fillId="0" borderId="0" xfId="0" applyFont="1"/>
    <xf numFmtId="0" fontId="42" fillId="0" borderId="0" xfId="0" applyFont="1"/>
    <xf numFmtId="0" fontId="43" fillId="0" borderId="0" xfId="0" applyFont="1"/>
    <xf numFmtId="0" fontId="49" fillId="0" borderId="0" xfId="0" applyFont="1"/>
    <xf numFmtId="0" fontId="52" fillId="4" borderId="0" xfId="0" applyFont="1" applyFill="1"/>
    <xf numFmtId="0" fontId="53" fillId="4" borderId="0" xfId="0" applyFont="1" applyFill="1"/>
    <xf numFmtId="0" fontId="54" fillId="0" borderId="0" xfId="0" applyFont="1"/>
    <xf numFmtId="0" fontId="0" fillId="0" borderId="0" xfId="0" applyAlignment="1"/>
    <xf numFmtId="0" fontId="0" fillId="4" borderId="0" xfId="0" applyFill="1" applyAlignment="1"/>
    <xf numFmtId="0" fontId="15" fillId="4" borderId="0" xfId="0" applyFont="1" applyFill="1" applyAlignment="1"/>
    <xf numFmtId="0" fontId="16" fillId="0" borderId="0" xfId="0" applyFont="1" applyAlignment="1"/>
    <xf numFmtId="0" fontId="16" fillId="0" borderId="1" xfId="0" applyFont="1" applyBorder="1" applyAlignment="1"/>
    <xf numFmtId="0" fontId="17" fillId="0" borderId="1" xfId="0" applyFont="1" applyBorder="1" applyAlignment="1"/>
    <xf numFmtId="0" fontId="0" fillId="0" borderId="1" xfId="0" applyBorder="1" applyAlignment="1"/>
    <xf numFmtId="0" fontId="16" fillId="0" borderId="1" xfId="0" applyFont="1" applyBorder="1" applyAlignment="1">
      <alignment horizontal="right"/>
    </xf>
    <xf numFmtId="0" fontId="17" fillId="0" borderId="0" xfId="0" applyFont="1" applyAlignment="1"/>
    <xf numFmtId="0" fontId="16" fillId="0" borderId="2" xfId="0" applyFont="1" applyBorder="1" applyAlignment="1"/>
    <xf numFmtId="0" fontId="0" fillId="0" borderId="2" xfId="0" applyBorder="1" applyAlignment="1"/>
    <xf numFmtId="164" fontId="16" fillId="0" borderId="2" xfId="0" applyNumberFormat="1" applyFont="1" applyBorder="1" applyAlignment="1">
      <alignment horizontal="right"/>
    </xf>
    <xf numFmtId="0" fontId="18" fillId="0" borderId="0" xfId="0" applyFont="1" applyAlignment="1"/>
    <xf numFmtId="0" fontId="19" fillId="4" borderId="0" xfId="0" applyFont="1" applyFill="1" applyAlignment="1"/>
    <xf numFmtId="0" fontId="20" fillId="0" borderId="0" xfId="0" applyFont="1" applyAlignment="1"/>
    <xf numFmtId="0" fontId="21" fillId="0" borderId="0" xfId="0" applyFont="1" applyAlignment="1">
      <alignment horizontal="center"/>
    </xf>
    <xf numFmtId="165" fontId="22" fillId="0" borderId="0" xfId="0" applyNumberFormat="1" applyFont="1" applyAlignment="1"/>
    <xf numFmtId="0" fontId="23" fillId="0" borderId="0" xfId="0" applyFont="1" applyAlignment="1"/>
    <xf numFmtId="0" fontId="24" fillId="0" borderId="0" xfId="0" applyFont="1" applyAlignment="1"/>
    <xf numFmtId="166" fontId="24" fillId="0" borderId="0" xfId="0" applyNumberFormat="1" applyFont="1" applyAlignment="1"/>
    <xf numFmtId="0" fontId="17" fillId="0" borderId="3" xfId="0" applyFont="1" applyBorder="1" applyAlignment="1"/>
    <xf numFmtId="0" fontId="0" fillId="0" borderId="3" xfId="0" applyBorder="1" applyAlignment="1"/>
    <xf numFmtId="165" fontId="17" fillId="0" borderId="3" xfId="0" applyNumberFormat="1" applyFont="1" applyBorder="1" applyAlignment="1"/>
    <xf numFmtId="165" fontId="20" fillId="0" borderId="0" xfId="0" applyNumberFormat="1" applyFont="1" applyAlignment="1"/>
    <xf numFmtId="0" fontId="17" fillId="5" borderId="3" xfId="0" applyFont="1" applyFill="1" applyBorder="1" applyAlignment="1"/>
    <xf numFmtId="0" fontId="0" fillId="5" borderId="3" xfId="0" applyFill="1" applyBorder="1" applyAlignment="1"/>
    <xf numFmtId="165" fontId="17" fillId="5" borderId="3" xfId="0" applyNumberFormat="1" applyFont="1" applyFill="1" applyBorder="1" applyAlignment="1"/>
    <xf numFmtId="0" fontId="25" fillId="0" borderId="0" xfId="0" applyFont="1" applyAlignment="1"/>
    <xf numFmtId="0" fontId="21" fillId="0" borderId="3" xfId="0" applyFont="1" applyBorder="1" applyAlignment="1">
      <alignment horizontal="center"/>
    </xf>
    <xf numFmtId="0" fontId="26" fillId="0" borderId="0" xfId="0" applyFont="1" applyAlignment="1"/>
    <xf numFmtId="0" fontId="24" fillId="0" borderId="0" xfId="0" applyFont="1" applyAlignment="1">
      <alignment horizontal="right"/>
    </xf>
    <xf numFmtId="167" fontId="20" fillId="0" borderId="0" xfId="0" applyNumberFormat="1" applyFont="1" applyAlignment="1"/>
    <xf numFmtId="0" fontId="27" fillId="0" borderId="0" xfId="0" applyFont="1" applyAlignment="1"/>
    <xf numFmtId="0" fontId="21" fillId="5" borderId="3" xfId="0" applyFont="1" applyFill="1" applyBorder="1" applyAlignment="1">
      <alignment horizontal="center"/>
    </xf>
    <xf numFmtId="0" fontId="28" fillId="3" borderId="0" xfId="0" applyFont="1" applyFill="1" applyAlignment="1">
      <alignment horizontal="right"/>
    </xf>
    <xf numFmtId="0" fontId="29" fillId="0" borderId="3" xfId="0" applyFont="1" applyBorder="1" applyAlignment="1"/>
    <xf numFmtId="166" fontId="29" fillId="0" borderId="3" xfId="0" applyNumberFormat="1" applyFont="1" applyBorder="1" applyAlignment="1"/>
    <xf numFmtId="0" fontId="29" fillId="5" borderId="3" xfId="0" applyFont="1" applyFill="1" applyBorder="1" applyAlignment="1"/>
    <xf numFmtId="166" fontId="29" fillId="5" borderId="3" xfId="0" applyNumberFormat="1" applyFont="1" applyFill="1" applyBorder="1" applyAlignment="1"/>
    <xf numFmtId="168" fontId="20" fillId="0" borderId="0" xfId="0" applyNumberFormat="1" applyFont="1" applyAlignment="1"/>
    <xf numFmtId="168" fontId="17" fillId="0" borderId="3" xfId="0" applyNumberFormat="1" applyFont="1" applyBorder="1" applyAlignment="1"/>
    <xf numFmtId="165" fontId="23" fillId="0" borderId="0" xfId="0" applyNumberFormat="1" applyFont="1" applyAlignment="1">
      <alignment horizontal="right"/>
    </xf>
    <xf numFmtId="166" fontId="31" fillId="3" borderId="0" xfId="0" applyNumberFormat="1" applyFont="1" applyFill="1" applyAlignment="1"/>
    <xf numFmtId="169" fontId="28" fillId="3" borderId="0" xfId="0" applyNumberFormat="1" applyFont="1" applyFill="1" applyAlignment="1"/>
    <xf numFmtId="0" fontId="32" fillId="0" borderId="0" xfId="0" applyFont="1" applyAlignment="1"/>
    <xf numFmtId="0" fontId="33" fillId="4" borderId="0" xfId="0" applyFont="1" applyFill="1" applyAlignment="1"/>
    <xf numFmtId="0" fontId="34" fillId="4" borderId="0" xfId="0" applyFont="1" applyFill="1" applyAlignment="1"/>
    <xf numFmtId="0" fontId="44" fillId="0" borderId="0" xfId="0" applyFont="1"/>
    <xf numFmtId="0" fontId="41" fillId="0" borderId="0" xfId="0" applyFont="1"/>
    <xf numFmtId="165" fontId="41" fillId="0" borderId="0" xfId="0" applyNumberFormat="1" applyFont="1"/>
    <xf numFmtId="165" fontId="50" fillId="0" borderId="0" xfId="0" applyNumberFormat="1" applyFont="1"/>
    <xf numFmtId="0" fontId="49" fillId="0" borderId="5" xfId="0" applyFont="1" applyBorder="1"/>
    <xf numFmtId="0" fontId="0" fillId="0" borderId="5" xfId="0" applyBorder="1"/>
    <xf numFmtId="165" fontId="49" fillId="0" borderId="5" xfId="0" applyNumberFormat="1" applyFont="1" applyBorder="1"/>
    <xf numFmtId="0" fontId="43" fillId="0" borderId="5" xfId="0" applyFont="1" applyBorder="1"/>
    <xf numFmtId="0" fontId="57" fillId="0" borderId="0" xfId="0" applyFont="1"/>
    <xf numFmtId="165" fontId="57" fillId="0" borderId="0" xfId="0" applyNumberFormat="1" applyFont="1"/>
    <xf numFmtId="0" fontId="49" fillId="5" borderId="5" xfId="0" applyFont="1" applyFill="1" applyBorder="1"/>
    <xf numFmtId="0" fontId="43" fillId="5" borderId="5" xfId="0" applyFont="1" applyFill="1" applyBorder="1"/>
    <xf numFmtId="0" fontId="0" fillId="5" borderId="5" xfId="0" applyFill="1" applyBorder="1"/>
    <xf numFmtId="165" fontId="49" fillId="5" borderId="5" xfId="0" applyNumberFormat="1" applyFont="1" applyFill="1" applyBorder="1"/>
    <xf numFmtId="0" fontId="56" fillId="0" borderId="0" xfId="0" applyFont="1"/>
    <xf numFmtId="165" fontId="58" fillId="0" borderId="0" xfId="0" applyNumberFormat="1" applyFont="1"/>
    <xf numFmtId="0" fontId="42" fillId="0" borderId="0" xfId="0" applyFont="1" applyAlignment="1">
      <alignment vertical="top" wrapText="1"/>
    </xf>
    <xf numFmtId="0" fontId="59" fillId="0" borderId="0" xfId="0" applyFont="1" applyAlignment="1">
      <alignment horizontal="right"/>
    </xf>
    <xf numFmtId="0" fontId="59" fillId="0" borderId="5" xfId="0" applyFont="1" applyBorder="1" applyAlignment="1">
      <alignment horizontal="right"/>
    </xf>
    <xf numFmtId="0" fontId="59" fillId="5" borderId="5" xfId="0" applyFont="1" applyFill="1" applyBorder="1" applyAlignment="1">
      <alignment horizontal="right"/>
    </xf>
    <xf numFmtId="165" fontId="31" fillId="0" borderId="0" xfId="0" applyNumberFormat="1" applyFont="1" applyAlignment="1"/>
    <xf numFmtId="165" fontId="35" fillId="0" borderId="0" xfId="0" applyNumberFormat="1" applyFont="1" applyAlignment="1"/>
    <xf numFmtId="165" fontId="0" fillId="0" borderId="0" xfId="0" applyNumberFormat="1" applyAlignment="1"/>
    <xf numFmtId="166" fontId="36" fillId="0" borderId="0" xfId="0" applyNumberFormat="1" applyFont="1" applyAlignment="1"/>
    <xf numFmtId="0" fontId="31" fillId="3" borderId="0" xfId="0" applyFont="1" applyFill="1" applyAlignment="1"/>
    <xf numFmtId="0" fontId="43" fillId="0" borderId="0" xfId="0" applyFont="1" applyAlignment="1">
      <alignment horizontal="center"/>
    </xf>
    <xf numFmtId="165" fontId="45" fillId="0" borderId="0" xfId="0" applyNumberFormat="1" applyFont="1"/>
    <xf numFmtId="165" fontId="0" fillId="0" borderId="0" xfId="0" applyNumberFormat="1"/>
    <xf numFmtId="165" fontId="48" fillId="0" borderId="0" xfId="0" applyNumberFormat="1" applyFont="1"/>
    <xf numFmtId="0" fontId="43" fillId="0" borderId="5" xfId="0" applyFont="1" applyBorder="1" applyAlignment="1">
      <alignment horizontal="center"/>
    </xf>
    <xf numFmtId="0" fontId="50" fillId="0" borderId="0" xfId="0" applyFont="1"/>
    <xf numFmtId="0" fontId="51" fillId="0" borderId="0" xfId="0" applyFont="1"/>
    <xf numFmtId="0" fontId="21" fillId="0" borderId="0" xfId="0" applyFont="1" applyAlignment="1"/>
    <xf numFmtId="0" fontId="37" fillId="0" borderId="0" xfId="0" applyFont="1" applyAlignment="1">
      <alignment horizontal="center"/>
    </xf>
    <xf numFmtId="0" fontId="38" fillId="0" borderId="0" xfId="0" applyFont="1" applyAlignment="1">
      <alignment horizontal="center"/>
    </xf>
    <xf numFmtId="0" fontId="38" fillId="0" borderId="0" xfId="0" applyFont="1" applyAlignment="1"/>
    <xf numFmtId="0" fontId="38" fillId="0" borderId="3" xfId="0" applyFont="1" applyBorder="1" applyAlignment="1">
      <alignment horizontal="center"/>
    </xf>
    <xf numFmtId="0" fontId="0" fillId="0" borderId="0" xfId="0" applyAlignment="1">
      <alignment horizontal="center"/>
    </xf>
    <xf numFmtId="0" fontId="34" fillId="0" borderId="0" xfId="0" applyFont="1" applyAlignment="1"/>
    <xf numFmtId="0" fontId="46" fillId="0" borderId="0" xfId="0" applyFont="1" applyAlignment="1">
      <alignment horizontal="center"/>
    </xf>
    <xf numFmtId="0" fontId="0" fillId="0" borderId="0" xfId="0" applyAlignment="1">
      <alignment horizontal="center"/>
    </xf>
    <xf numFmtId="0" fontId="47" fillId="0" borderId="0" xfId="0" applyFont="1" applyAlignment="1">
      <alignment horizontal="center"/>
    </xf>
    <xf numFmtId="0" fontId="47" fillId="0" borderId="0" xfId="0" applyFont="1"/>
    <xf numFmtId="0" fontId="47" fillId="0" borderId="5" xfId="0" applyFont="1" applyBorder="1" applyAlignment="1">
      <alignment horizontal="center"/>
    </xf>
    <xf numFmtId="0" fontId="53" fillId="0" borderId="0" xfId="0" applyFont="1"/>
    <xf numFmtId="0" fontId="25" fillId="0" borderId="2" xfId="0" applyFont="1" applyBorder="1" applyAlignment="1">
      <alignment wrapText="1"/>
    </xf>
    <xf numFmtId="0" fontId="37" fillId="0" borderId="4" xfId="0" applyFont="1" applyBorder="1" applyAlignment="1">
      <alignment vertical="top" wrapText="1"/>
    </xf>
    <xf numFmtId="170" fontId="21" fillId="0" borderId="4" xfId="0" applyNumberFormat="1" applyFont="1" applyBorder="1" applyAlignment="1">
      <alignment vertical="top" wrapText="1"/>
    </xf>
    <xf numFmtId="0" fontId="21" fillId="0" borderId="4" xfId="0" applyFont="1" applyBorder="1" applyAlignment="1">
      <alignment vertical="top" wrapText="1"/>
    </xf>
    <xf numFmtId="0" fontId="17" fillId="0" borderId="0" xfId="0" applyFont="1" applyAlignment="1">
      <alignment horizontal="left"/>
    </xf>
    <xf numFmtId="0" fontId="54" fillId="0" borderId="6" xfId="0" applyFont="1" applyBorder="1"/>
    <xf numFmtId="0" fontId="49" fillId="0" borderId="6" xfId="0" applyFont="1" applyBorder="1"/>
    <xf numFmtId="0" fontId="0" fillId="0" borderId="6" xfId="0" applyBorder="1"/>
    <xf numFmtId="0" fontId="54" fillId="0" borderId="6" xfId="0" applyFont="1" applyBorder="1" applyAlignment="1">
      <alignment horizontal="right"/>
    </xf>
    <xf numFmtId="0" fontId="54" fillId="0" borderId="7" xfId="0" applyFont="1" applyBorder="1"/>
    <xf numFmtId="0" fontId="0" fillId="0" borderId="7" xfId="0" applyBorder="1"/>
    <xf numFmtId="16" fontId="54" fillId="0" borderId="7" xfId="0" applyNumberFormat="1" applyFont="1" applyBorder="1" applyAlignment="1">
      <alignment horizontal="right"/>
    </xf>
    <xf numFmtId="0" fontId="49" fillId="0" borderId="0" xfId="0" applyFont="1" applyAlignment="1">
      <alignment vertical="top" wrapText="1"/>
    </xf>
    <xf numFmtId="0" fontId="43" fillId="0" borderId="0" xfId="0" applyFont="1" applyAlignment="1">
      <alignment vertical="top"/>
    </xf>
    <xf numFmtId="165" fontId="50" fillId="0" borderId="0" xfId="0" applyNumberFormat="1" applyFont="1" applyAlignment="1">
      <alignment vertical="top"/>
    </xf>
    <xf numFmtId="0" fontId="62" fillId="0" borderId="0" xfId="0" applyFont="1" applyAlignment="1">
      <alignment vertical="top"/>
    </xf>
    <xf numFmtId="0" fontId="30" fillId="0" borderId="0" xfId="0" applyFont="1" applyAlignment="1">
      <alignment vertical="top" wrapText="1"/>
    </xf>
    <xf numFmtId="0" fontId="0" fillId="0" borderId="0" xfId="0" applyAlignment="1"/>
    <xf numFmtId="0" fontId="55" fillId="0" borderId="0" xfId="0" applyFont="1" applyAlignment="1">
      <alignment vertical="top" wrapText="1"/>
    </xf>
    <xf numFmtId="0" fontId="59" fillId="0" borderId="0" xfId="0" applyFont="1" applyAlignment="1">
      <alignment vertical="top" wrapText="1"/>
    </xf>
    <xf numFmtId="0" fontId="42" fillId="0" borderId="0" xfId="0" applyFont="1" applyAlignment="1">
      <alignment vertical="top" wrapText="1"/>
    </xf>
    <xf numFmtId="0" fontId="21" fillId="0" borderId="0" xfId="0" applyFont="1" applyAlignment="1">
      <alignment vertical="top" wrapText="1"/>
    </xf>
    <xf numFmtId="0" fontId="25" fillId="0" borderId="0" xfId="0" applyFont="1" applyAlignment="1">
      <alignment vertical="top" wrapText="1"/>
    </xf>
  </cellXfs>
  <cellStyles count="14">
    <cellStyle name="Comma 2" xfId="1" xr:uid="{00000000-0005-0000-0000-000006000000}"/>
    <cellStyle name="Comma 2 2" xfId="2" xr:uid="{00000000-0005-0000-0000-000007000000}"/>
    <cellStyle name="Currency 2" xfId="3" xr:uid="{00000000-0005-0000-0000-000008000000}"/>
    <cellStyle name="Hyperlink 2" xfId="4" xr:uid="{00000000-0005-0000-0000-000009000000}"/>
    <cellStyle name="Komma 2" xfId="5" xr:uid="{00000000-0005-0000-0000-00000A000000}"/>
    <cellStyle name="Normal" xfId="0" builtinId="0"/>
    <cellStyle name="Normal 13" xfId="6" xr:uid="{00000000-0005-0000-0000-00000B000000}"/>
    <cellStyle name="Normal 2" xfId="7" xr:uid="{00000000-0005-0000-0000-00000C000000}"/>
    <cellStyle name="Normal 2 2" xfId="8" xr:uid="{00000000-0005-0000-0000-00000D000000}"/>
    <cellStyle name="Normal 2 3" xfId="9" xr:uid="{00000000-0005-0000-0000-00000E000000}"/>
    <cellStyle name="Normal 3" xfId="10" xr:uid="{00000000-0005-0000-0000-00000F000000}"/>
    <cellStyle name="Per cent 2" xfId="11" xr:uid="{00000000-0005-0000-0000-000010000000}"/>
    <cellStyle name="Percent 2" xfId="12" xr:uid="{00000000-0005-0000-0000-000011000000}"/>
    <cellStyle name="Percent 3" xfId="13" xr:uid="{00000000-0005-0000-0000-000012000000}"/>
  </cellStyles>
  <dxfs count="34">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CE4D6"/>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CE4D6"/>
        </patternFill>
      </fill>
    </dxf>
    <dxf>
      <fill>
        <patternFill>
          <bgColor rgb="FFFFC7CE"/>
        </patternFill>
      </fill>
    </dxf>
    <dxf>
      <fill>
        <patternFill>
          <bgColor rgb="FFFFC7CE"/>
        </patternFill>
      </fill>
    </dxf>
    <dxf>
      <fill>
        <patternFill>
          <bgColor rgb="FFC6EF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89426D"/>
      <rgbColor rgb="FFF2F2F2"/>
      <rgbColor rgb="FFCCFFFF"/>
      <rgbColor rgb="FF660066"/>
      <rgbColor rgb="FFFF8080"/>
      <rgbColor rgb="FF0563C1"/>
      <rgbColor rgb="FFFCE4D6"/>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7F7F7F"/>
      <rgbColor rgb="FF002060"/>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2626"/>
    <pageSetUpPr fitToPage="1"/>
  </sheetPr>
  <dimension ref="A1:K37"/>
  <sheetViews>
    <sheetView showGridLines="0" view="pageBreakPreview" topLeftCell="A13" zoomScale="85" zoomScaleNormal="85" zoomScalePageLayoutView="85" workbookViewId="0">
      <selection activeCell="E27" sqref="E27"/>
    </sheetView>
  </sheetViews>
  <sheetFormatPr defaultColWidth="12.26953125" defaultRowHeight="15.5" x14ac:dyDescent="0.35"/>
  <cols>
    <col min="1" max="1" width="5.453125" style="1" customWidth="1"/>
    <col min="2" max="5" width="12.26953125" style="1" customWidth="1"/>
    <col min="6" max="6" width="14" style="1" customWidth="1"/>
    <col min="7" max="11" width="12.26953125" style="1" customWidth="1"/>
    <col min="12" max="12" width="12.26953125" style="2" customWidth="1"/>
    <col min="13" max="16384" width="12.26953125" style="2"/>
  </cols>
  <sheetData>
    <row r="1" spans="1:11" ht="15.75" customHeight="1" x14ac:dyDescent="0.35">
      <c r="A1" s="4"/>
      <c r="B1" s="4"/>
      <c r="C1" s="4"/>
      <c r="D1" s="4"/>
      <c r="E1" s="4"/>
      <c r="F1" s="4"/>
      <c r="G1" s="4"/>
      <c r="H1" s="4"/>
      <c r="I1" s="4"/>
      <c r="J1" s="4"/>
      <c r="K1" s="4"/>
    </row>
    <row r="2" spans="1:11" ht="15.75" customHeight="1" x14ac:dyDescent="0.35">
      <c r="A2" s="4"/>
      <c r="B2" s="4"/>
      <c r="C2" s="4"/>
      <c r="D2" s="4"/>
      <c r="E2" s="4"/>
      <c r="F2" s="4"/>
      <c r="G2" s="4"/>
      <c r="H2" s="4"/>
      <c r="I2" s="4"/>
      <c r="J2" s="4"/>
      <c r="K2" s="4"/>
    </row>
    <row r="3" spans="1:11" ht="15.75" customHeight="1" x14ac:dyDescent="0.35">
      <c r="A3" s="4"/>
      <c r="B3" s="4"/>
      <c r="C3" s="4"/>
      <c r="D3" s="4"/>
      <c r="E3" s="4"/>
      <c r="F3" s="4"/>
      <c r="G3" s="4"/>
      <c r="H3" s="4"/>
      <c r="I3" s="4"/>
      <c r="J3" s="4"/>
      <c r="K3" s="4"/>
    </row>
    <row r="4" spans="1:11" ht="15.75" customHeight="1" x14ac:dyDescent="0.35">
      <c r="A4" s="4"/>
      <c r="B4" s="4"/>
      <c r="C4" s="4"/>
      <c r="D4" s="4"/>
      <c r="E4" s="4"/>
      <c r="F4" s="4"/>
      <c r="G4" s="4"/>
      <c r="H4" s="4"/>
      <c r="I4" s="4"/>
      <c r="J4" s="4"/>
      <c r="K4" s="4"/>
    </row>
    <row r="5" spans="1:11" ht="15.75" customHeight="1" x14ac:dyDescent="0.35">
      <c r="A5" s="4"/>
      <c r="B5" s="4"/>
      <c r="C5" s="4"/>
      <c r="D5" s="4"/>
      <c r="E5" s="4"/>
      <c r="F5" s="4"/>
      <c r="G5" s="4"/>
      <c r="H5" s="4"/>
      <c r="I5" s="4"/>
      <c r="J5" s="4"/>
      <c r="K5" s="4"/>
    </row>
    <row r="6" spans="1:11" ht="15.75" customHeight="1" x14ac:dyDescent="0.35">
      <c r="A6" s="4"/>
      <c r="B6" s="4"/>
      <c r="C6" s="4"/>
      <c r="D6" s="4"/>
      <c r="E6" s="4"/>
      <c r="F6" s="4"/>
      <c r="G6" s="4"/>
      <c r="H6" s="4"/>
      <c r="I6" s="4"/>
      <c r="J6" s="4"/>
      <c r="K6" s="4"/>
    </row>
    <row r="7" spans="1:11" ht="15.75" customHeight="1" x14ac:dyDescent="0.35">
      <c r="A7" s="4"/>
      <c r="B7" s="4"/>
      <c r="C7" s="4"/>
      <c r="D7" s="4"/>
      <c r="E7" s="4"/>
      <c r="F7" s="4"/>
      <c r="G7" s="4"/>
      <c r="H7" s="4"/>
      <c r="I7" s="4"/>
      <c r="J7" s="4"/>
      <c r="K7" s="4"/>
    </row>
    <row r="8" spans="1:11" ht="15.75" customHeight="1" x14ac:dyDescent="0.35">
      <c r="A8" s="4"/>
      <c r="B8" s="4"/>
      <c r="C8" s="4"/>
      <c r="D8" s="4"/>
      <c r="E8" s="4"/>
      <c r="F8" s="4"/>
      <c r="G8" s="4"/>
      <c r="H8" s="4"/>
      <c r="I8" s="4"/>
      <c r="J8" s="4"/>
      <c r="K8" s="4"/>
    </row>
    <row r="9" spans="1:11" ht="36" customHeight="1" x14ac:dyDescent="0.8">
      <c r="A9" s="4"/>
      <c r="B9" s="4"/>
      <c r="C9" s="4"/>
      <c r="D9" s="4"/>
      <c r="E9" s="4"/>
      <c r="F9" s="5" t="s">
        <v>0</v>
      </c>
      <c r="G9" s="4"/>
      <c r="H9" s="4"/>
      <c r="I9" s="4"/>
      <c r="J9" s="4"/>
      <c r="K9" s="4"/>
    </row>
    <row r="10" spans="1:11" ht="15.75" customHeight="1" x14ac:dyDescent="0.35">
      <c r="A10" s="4"/>
      <c r="B10" s="4"/>
      <c r="C10" s="4"/>
      <c r="D10" s="4"/>
      <c r="E10" s="4"/>
      <c r="F10" s="6" t="s">
        <v>1</v>
      </c>
      <c r="G10" s="4"/>
      <c r="H10" s="4"/>
      <c r="I10" s="4"/>
      <c r="J10" s="4"/>
      <c r="K10" s="4"/>
    </row>
    <row r="11" spans="1:11" ht="15.75" customHeight="1" x14ac:dyDescent="0.35">
      <c r="A11" s="4"/>
      <c r="B11" s="4"/>
      <c r="C11" s="4"/>
      <c r="D11" s="4"/>
      <c r="E11" s="4"/>
      <c r="F11" s="4"/>
      <c r="G11" s="4"/>
      <c r="H11" s="4"/>
      <c r="I11" s="4"/>
      <c r="J11" s="4"/>
      <c r="K11" s="4"/>
    </row>
    <row r="12" spans="1:11" ht="15.75" customHeight="1" x14ac:dyDescent="0.35">
      <c r="A12" s="4"/>
      <c r="B12" s="4"/>
      <c r="C12" s="4"/>
      <c r="D12" s="4"/>
      <c r="E12" s="4"/>
      <c r="F12" s="4"/>
      <c r="G12" s="4"/>
      <c r="H12" s="4"/>
      <c r="I12" s="4"/>
      <c r="J12" s="4"/>
      <c r="K12" s="4"/>
    </row>
    <row r="13" spans="1:11" ht="15.75" customHeight="1" x14ac:dyDescent="0.35">
      <c r="A13" s="7"/>
      <c r="B13" s="7"/>
      <c r="C13" s="7"/>
      <c r="D13" s="7"/>
      <c r="E13" s="4"/>
      <c r="F13" s="4"/>
      <c r="G13" s="4"/>
      <c r="H13" s="4"/>
      <c r="I13" s="4"/>
      <c r="J13" s="4"/>
      <c r="K13" s="4"/>
    </row>
    <row r="14" spans="1:11" ht="15.75" customHeight="1" x14ac:dyDescent="0.35">
      <c r="A14" s="7"/>
      <c r="B14" s="7"/>
      <c r="C14" s="7"/>
      <c r="D14" s="8"/>
      <c r="E14" s="8"/>
      <c r="F14" s="8"/>
      <c r="G14" s="8"/>
      <c r="H14" s="8"/>
      <c r="I14" s="4"/>
      <c r="J14" s="4"/>
      <c r="K14" s="4"/>
    </row>
    <row r="15" spans="1:11" ht="15.75" customHeight="1" x14ac:dyDescent="0.35">
      <c r="A15" s="7"/>
      <c r="B15" s="7"/>
      <c r="C15" s="7"/>
      <c r="D15" s="8"/>
      <c r="E15" s="9"/>
      <c r="F15" s="4"/>
      <c r="G15" s="8"/>
      <c r="H15" s="8"/>
      <c r="I15" s="4"/>
      <c r="J15" s="4"/>
      <c r="K15" s="4"/>
    </row>
    <row r="16" spans="1:11" ht="15.75" customHeight="1" x14ac:dyDescent="0.35">
      <c r="A16" s="7"/>
      <c r="B16" s="8"/>
      <c r="C16" s="8"/>
      <c r="D16" s="8"/>
      <c r="E16" s="9"/>
      <c r="F16" s="4"/>
      <c r="G16" s="8"/>
      <c r="H16" s="8"/>
      <c r="I16" s="4"/>
      <c r="J16" s="4"/>
      <c r="K16" s="4"/>
    </row>
    <row r="17" spans="1:11" ht="15.75" customHeight="1" x14ac:dyDescent="0.35">
      <c r="A17" s="7"/>
      <c r="B17" s="8"/>
      <c r="C17" s="8"/>
      <c r="D17" s="8"/>
      <c r="E17" s="10"/>
      <c r="F17" s="10"/>
      <c r="G17" s="10"/>
      <c r="H17" s="8"/>
      <c r="I17" s="4"/>
      <c r="J17" s="4"/>
      <c r="K17" s="4"/>
    </row>
    <row r="18" spans="1:11" ht="15.75" customHeight="1" x14ac:dyDescent="0.35">
      <c r="A18" s="7"/>
      <c r="B18" s="10"/>
      <c r="C18" s="10"/>
      <c r="D18" s="8"/>
      <c r="E18" s="10"/>
      <c r="F18" s="10"/>
      <c r="G18" s="10"/>
      <c r="H18" s="8"/>
      <c r="I18" s="4"/>
      <c r="J18" s="4"/>
      <c r="K18" s="4"/>
    </row>
    <row r="19" spans="1:11" ht="15.75" customHeight="1" x14ac:dyDescent="0.35">
      <c r="A19" s="7"/>
      <c r="B19" s="10"/>
      <c r="C19" s="10"/>
      <c r="D19" s="8"/>
      <c r="E19" s="10"/>
      <c r="F19" s="10"/>
      <c r="G19" s="10"/>
      <c r="H19" s="8"/>
      <c r="I19" s="4"/>
      <c r="J19" s="4"/>
      <c r="K19" s="4"/>
    </row>
    <row r="20" spans="1:11" ht="15.75" customHeight="1" x14ac:dyDescent="0.35">
      <c r="A20" s="7"/>
      <c r="B20" s="8"/>
      <c r="C20" s="8"/>
      <c r="D20" s="8"/>
      <c r="E20" s="8"/>
      <c r="F20" s="11"/>
      <c r="G20" s="10"/>
      <c r="H20" s="8"/>
      <c r="I20" s="4"/>
      <c r="J20" s="4"/>
      <c r="K20" s="4"/>
    </row>
    <row r="21" spans="1:11" ht="15.75" customHeight="1" x14ac:dyDescent="0.35">
      <c r="A21" s="7"/>
      <c r="B21" s="7"/>
      <c r="C21" s="7"/>
      <c r="D21" s="8"/>
      <c r="E21" s="10"/>
      <c r="F21" s="10"/>
      <c r="G21" s="10"/>
      <c r="H21" s="10"/>
      <c r="I21" s="4"/>
      <c r="J21" s="4"/>
      <c r="K21" s="4"/>
    </row>
    <row r="22" spans="1:11" ht="15.75" customHeight="1" x14ac:dyDescent="0.35">
      <c r="A22" s="7"/>
      <c r="B22" s="7"/>
      <c r="C22" s="7"/>
      <c r="D22" s="8"/>
      <c r="E22" s="10"/>
      <c r="F22" s="6"/>
      <c r="G22" s="10"/>
      <c r="H22" s="10"/>
      <c r="I22" s="4"/>
      <c r="J22" s="4"/>
      <c r="K22" s="4"/>
    </row>
    <row r="23" spans="1:11" ht="15.75" customHeight="1" x14ac:dyDescent="0.35">
      <c r="A23" s="7"/>
      <c r="B23" s="7"/>
      <c r="C23" s="7"/>
      <c r="D23" s="8"/>
      <c r="E23" s="10"/>
      <c r="F23" s="10"/>
      <c r="G23" s="10"/>
      <c r="H23" s="10"/>
      <c r="I23" s="4"/>
      <c r="J23" s="4"/>
      <c r="K23" s="4"/>
    </row>
    <row r="24" spans="1:11" ht="15.75" customHeight="1" x14ac:dyDescent="0.35">
      <c r="A24" s="7"/>
      <c r="B24" s="7"/>
      <c r="C24" s="7"/>
      <c r="D24" s="8"/>
      <c r="E24" s="10"/>
      <c r="F24" s="6" t="s">
        <v>2</v>
      </c>
      <c r="G24" s="10"/>
      <c r="H24" s="10"/>
      <c r="I24" s="4"/>
      <c r="J24" s="4"/>
      <c r="K24" s="4"/>
    </row>
    <row r="25" spans="1:11" ht="15.75" customHeight="1" x14ac:dyDescent="0.35">
      <c r="A25" s="4"/>
      <c r="B25" s="4"/>
      <c r="C25" s="4"/>
      <c r="D25" s="8"/>
      <c r="E25" s="10"/>
      <c r="F25" s="6" t="s">
        <v>3</v>
      </c>
      <c r="G25" s="10"/>
      <c r="H25" s="10"/>
      <c r="I25" s="4"/>
      <c r="J25" s="4"/>
      <c r="K25" s="4"/>
    </row>
    <row r="26" spans="1:11" ht="15.75" customHeight="1" x14ac:dyDescent="0.35">
      <c r="A26" s="4"/>
      <c r="B26" s="4"/>
      <c r="C26" s="4"/>
      <c r="D26" s="8"/>
      <c r="E26" s="10"/>
      <c r="F26" s="6" t="s">
        <v>4</v>
      </c>
      <c r="G26" s="8"/>
      <c r="H26" s="8"/>
      <c r="I26" s="4"/>
      <c r="J26" s="4"/>
      <c r="K26" s="4"/>
    </row>
    <row r="27" spans="1:11" ht="15.75" customHeight="1" x14ac:dyDescent="0.35">
      <c r="A27" s="4"/>
      <c r="B27" s="4"/>
      <c r="C27" s="4"/>
      <c r="D27" s="8"/>
      <c r="E27" s="10"/>
      <c r="F27" s="12"/>
      <c r="G27" s="8"/>
      <c r="H27" s="8"/>
      <c r="I27" s="4"/>
      <c r="J27" s="4"/>
      <c r="K27" s="4"/>
    </row>
    <row r="28" spans="1:11" ht="15.75" customHeight="1" x14ac:dyDescent="0.35">
      <c r="A28" s="4"/>
      <c r="B28" s="4"/>
      <c r="C28" s="4"/>
      <c r="D28" s="8"/>
      <c r="E28" s="10"/>
      <c r="F28" s="10"/>
      <c r="G28" s="8"/>
      <c r="H28" s="8"/>
      <c r="I28" s="4"/>
      <c r="J28" s="4"/>
      <c r="K28" s="4"/>
    </row>
    <row r="29" spans="1:11" ht="15.75" customHeight="1" x14ac:dyDescent="0.35">
      <c r="A29" s="4"/>
      <c r="B29" s="4"/>
      <c r="C29" s="4"/>
      <c r="D29" s="8"/>
      <c r="E29" s="10"/>
      <c r="F29" s="8"/>
      <c r="G29" s="8"/>
      <c r="H29" s="8"/>
      <c r="I29" s="4"/>
      <c r="J29" s="4"/>
      <c r="K29" s="4"/>
    </row>
    <row r="30" spans="1:11" ht="15.75" customHeight="1" x14ac:dyDescent="0.35">
      <c r="A30" s="4"/>
      <c r="B30" s="4"/>
      <c r="C30" s="4"/>
      <c r="D30" s="4"/>
      <c r="E30" s="4"/>
      <c r="F30" s="4"/>
      <c r="G30" s="4"/>
      <c r="H30" s="4"/>
      <c r="I30" s="4"/>
      <c r="J30" s="4"/>
      <c r="K30" s="4"/>
    </row>
    <row r="31" spans="1:11" ht="15.75" customHeight="1" x14ac:dyDescent="0.35">
      <c r="A31" s="4"/>
      <c r="B31" s="4"/>
      <c r="C31" s="4"/>
      <c r="D31" s="4"/>
      <c r="E31" s="4"/>
      <c r="F31" s="4"/>
      <c r="G31" s="4"/>
      <c r="H31" s="4"/>
      <c r="I31" s="4"/>
      <c r="J31" s="4"/>
      <c r="K31" s="4"/>
    </row>
    <row r="33" spans="1:1" ht="15.75" customHeight="1" x14ac:dyDescent="0.35">
      <c r="A33" s="13"/>
    </row>
    <row r="34" spans="1:1" ht="15.75" customHeight="1" x14ac:dyDescent="0.35">
      <c r="A34" s="13"/>
    </row>
    <row r="35" spans="1:1" ht="15.75" customHeight="1" x14ac:dyDescent="0.35">
      <c r="A35" s="13"/>
    </row>
    <row r="36" spans="1:1" ht="15.75" customHeight="1" x14ac:dyDescent="0.35">
      <c r="A36" s="13"/>
    </row>
    <row r="37" spans="1:1" ht="15.75" customHeight="1" x14ac:dyDescent="0.35">
      <c r="A37" s="14"/>
    </row>
  </sheetData>
  <pageMargins left="0.7" right="0.7" top="0.75" bottom="0.75" header="0.511811023622047" footer="0.511811023622047"/>
  <pageSetup paperSize="9" scale="67"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pageSetUpPr fitToPage="1"/>
  </sheetPr>
  <dimension ref="A1:K59"/>
  <sheetViews>
    <sheetView showGridLines="0" view="pageBreakPreview" topLeftCell="A7" zoomScale="85" workbookViewId="0"/>
  </sheetViews>
  <sheetFormatPr defaultRowHeight="14.5" x14ac:dyDescent="0.35"/>
  <cols>
    <col min="1" max="1" width="4.81640625" style="3" customWidth="1"/>
    <col min="2" max="2" width="70" style="3" customWidth="1"/>
    <col min="3" max="3" width="11" style="3" customWidth="1"/>
    <col min="4" max="4" width="2" style="3" customWidth="1"/>
    <col min="5" max="9" width="3" style="3" customWidth="1"/>
    <col min="10" max="10" width="84" style="3" customWidth="1"/>
    <col min="11" max="11" width="3" style="3" customWidth="1"/>
  </cols>
  <sheetData>
    <row r="1" spans="1:11" ht="12" customHeight="1" x14ac:dyDescent="0.35">
      <c r="A1" s="15"/>
      <c r="B1" s="15"/>
      <c r="C1" s="15"/>
      <c r="D1" s="15"/>
      <c r="E1" s="15"/>
      <c r="F1" s="15"/>
      <c r="G1" s="15"/>
      <c r="H1" s="15"/>
      <c r="I1" s="15"/>
      <c r="J1" s="15"/>
      <c r="K1" s="15"/>
    </row>
    <row r="2" spans="1:11" ht="12" customHeight="1" x14ac:dyDescent="0.35">
      <c r="A2" s="15"/>
      <c r="B2" s="15"/>
      <c r="C2" s="15"/>
      <c r="D2" s="15"/>
      <c r="E2" s="15"/>
      <c r="F2" s="15"/>
      <c r="G2" s="15"/>
      <c r="H2" s="15"/>
      <c r="I2" s="15"/>
      <c r="J2" s="15"/>
      <c r="K2" s="15"/>
    </row>
    <row r="3" spans="1:11" ht="23.25" customHeight="1" x14ac:dyDescent="0.4">
      <c r="A3" s="15"/>
      <c r="B3" s="16" t="str">
        <f ca="1">MID(CELL("filename",B3),FIND("]",CELL("filename",B3))+1,256)</f>
        <v>Table of contents</v>
      </c>
      <c r="C3" s="15"/>
      <c r="D3" s="15"/>
      <c r="E3" s="15"/>
      <c r="F3" s="15"/>
      <c r="G3" s="15"/>
      <c r="H3" s="15"/>
      <c r="I3" s="15"/>
      <c r="J3" s="15"/>
      <c r="K3" s="15"/>
    </row>
    <row r="4" spans="1:11" ht="12" customHeight="1" x14ac:dyDescent="0.35">
      <c r="A4" s="15"/>
      <c r="B4" s="15"/>
      <c r="C4" s="15"/>
      <c r="D4" s="15"/>
      <c r="E4" s="15"/>
      <c r="F4" s="15"/>
      <c r="G4" s="15"/>
      <c r="H4" s="15"/>
      <c r="I4" s="15"/>
      <c r="J4" s="15"/>
      <c r="K4" s="15"/>
    </row>
    <row r="6" spans="1:11" ht="15" customHeight="1" x14ac:dyDescent="0.35">
      <c r="A6" s="17" t="s">
        <v>5</v>
      </c>
      <c r="B6" s="18" t="s">
        <v>6</v>
      </c>
      <c r="C6" s="15"/>
      <c r="D6" s="15"/>
      <c r="E6" s="15"/>
      <c r="F6" s="15"/>
      <c r="G6" s="15"/>
      <c r="H6" s="15"/>
      <c r="I6" s="15"/>
      <c r="J6" s="15"/>
    </row>
    <row r="8" spans="1:11" ht="15" customHeight="1" x14ac:dyDescent="0.35">
      <c r="B8" s="19" t="s">
        <v>7</v>
      </c>
      <c r="J8" s="20" t="s">
        <v>8</v>
      </c>
    </row>
    <row r="9" spans="1:11" ht="15" customHeight="1" x14ac:dyDescent="0.35">
      <c r="B9" s="19" t="s">
        <v>9</v>
      </c>
      <c r="J9" s="20" t="s">
        <v>10</v>
      </c>
    </row>
    <row r="10" spans="1:11" ht="15" customHeight="1" x14ac:dyDescent="0.35">
      <c r="B10" s="19" t="s">
        <v>11</v>
      </c>
      <c r="J10" s="20" t="s">
        <v>12</v>
      </c>
    </row>
    <row r="12" spans="1:11" ht="15" customHeight="1" x14ac:dyDescent="0.35">
      <c r="A12" s="17" t="s">
        <v>5</v>
      </c>
      <c r="B12" s="18" t="s">
        <v>13</v>
      </c>
      <c r="C12" s="15"/>
      <c r="D12" s="15"/>
      <c r="E12" s="15"/>
      <c r="F12" s="15"/>
      <c r="G12" s="15"/>
      <c r="H12" s="15"/>
      <c r="I12" s="15"/>
      <c r="J12" s="15"/>
    </row>
    <row r="14" spans="1:11" ht="15" customHeight="1" x14ac:dyDescent="0.35">
      <c r="B14" s="19" t="s">
        <v>14</v>
      </c>
      <c r="C14" s="21" t="s">
        <v>15</v>
      </c>
      <c r="J14" s="20" t="s">
        <v>16</v>
      </c>
    </row>
    <row r="15" spans="1:11" ht="15" customHeight="1" x14ac:dyDescent="0.35">
      <c r="B15" s="19" t="s">
        <v>17</v>
      </c>
      <c r="C15" s="21" t="s">
        <v>18</v>
      </c>
      <c r="J15" s="20" t="s">
        <v>19</v>
      </c>
    </row>
    <row r="16" spans="1:11" ht="15" customHeight="1" x14ac:dyDescent="0.35">
      <c r="B16" s="19" t="s">
        <v>20</v>
      </c>
      <c r="C16" s="21" t="s">
        <v>21</v>
      </c>
      <c r="J16" s="20" t="s">
        <v>22</v>
      </c>
    </row>
    <row r="17" spans="1:10" ht="15" customHeight="1" x14ac:dyDescent="0.35">
      <c r="B17" s="19" t="s">
        <v>23</v>
      </c>
      <c r="C17" s="21" t="s">
        <v>24</v>
      </c>
      <c r="J17" s="20" t="s">
        <v>25</v>
      </c>
    </row>
    <row r="18" spans="1:10" ht="15" customHeight="1" x14ac:dyDescent="0.35">
      <c r="B18" s="19" t="s">
        <v>26</v>
      </c>
      <c r="C18" s="21" t="s">
        <v>27</v>
      </c>
      <c r="J18" s="20" t="s">
        <v>28</v>
      </c>
    </row>
    <row r="19" spans="1:10" ht="15" customHeight="1" x14ac:dyDescent="0.35">
      <c r="B19" s="19" t="s">
        <v>29</v>
      </c>
      <c r="C19" s="21" t="s">
        <v>30</v>
      </c>
    </row>
    <row r="20" spans="1:10" ht="15" customHeight="1" x14ac:dyDescent="0.35">
      <c r="B20" s="19" t="s">
        <v>31</v>
      </c>
      <c r="C20" s="21" t="s">
        <v>32</v>
      </c>
      <c r="J20" s="20" t="s">
        <v>33</v>
      </c>
    </row>
    <row r="21" spans="1:10" ht="15" customHeight="1" x14ac:dyDescent="0.35">
      <c r="B21" s="19" t="s">
        <v>34</v>
      </c>
      <c r="C21" s="21" t="s">
        <v>35</v>
      </c>
      <c r="J21" s="20" t="s">
        <v>36</v>
      </c>
    </row>
    <row r="22" spans="1:10" ht="15" customHeight="1" x14ac:dyDescent="0.35">
      <c r="B22" s="19" t="s">
        <v>37</v>
      </c>
      <c r="C22" s="21" t="s">
        <v>38</v>
      </c>
      <c r="J22" s="20" t="s">
        <v>39</v>
      </c>
    </row>
    <row r="23" spans="1:10" ht="15" customHeight="1" x14ac:dyDescent="0.35">
      <c r="B23" s="19" t="s">
        <v>40</v>
      </c>
      <c r="J23" s="20" t="s">
        <v>41</v>
      </c>
    </row>
    <row r="25" spans="1:10" ht="15" customHeight="1" x14ac:dyDescent="0.35">
      <c r="A25" s="17" t="s">
        <v>5</v>
      </c>
      <c r="B25" s="18" t="s">
        <v>42</v>
      </c>
      <c r="C25" s="15"/>
      <c r="D25" s="15"/>
      <c r="E25" s="15"/>
      <c r="F25" s="15"/>
      <c r="G25" s="15"/>
      <c r="H25" s="15"/>
      <c r="I25" s="15"/>
      <c r="J25" s="15"/>
    </row>
    <row r="27" spans="1:10" ht="15" customHeight="1" x14ac:dyDescent="0.35">
      <c r="B27" s="19" t="s">
        <v>43</v>
      </c>
      <c r="C27" s="21" t="s">
        <v>44</v>
      </c>
      <c r="J27" s="20" t="s">
        <v>45</v>
      </c>
    </row>
    <row r="28" spans="1:10" ht="15" customHeight="1" x14ac:dyDescent="0.35">
      <c r="B28" s="19" t="s">
        <v>46</v>
      </c>
      <c r="C28" s="21" t="s">
        <v>47</v>
      </c>
      <c r="J28" s="20" t="s">
        <v>48</v>
      </c>
    </row>
    <row r="29" spans="1:10" ht="15" customHeight="1" x14ac:dyDescent="0.35">
      <c r="B29" s="19" t="s">
        <v>49</v>
      </c>
      <c r="C29" s="21" t="s">
        <v>50</v>
      </c>
      <c r="J29" s="20" t="s">
        <v>51</v>
      </c>
    </row>
    <row r="30" spans="1:10" ht="15" customHeight="1" x14ac:dyDescent="0.35">
      <c r="B30" s="19" t="s">
        <v>52</v>
      </c>
      <c r="C30" s="21" t="s">
        <v>53</v>
      </c>
      <c r="J30" s="20" t="s">
        <v>54</v>
      </c>
    </row>
    <row r="31" spans="1:10" ht="15" customHeight="1" x14ac:dyDescent="0.35">
      <c r="B31" s="19" t="s">
        <v>55</v>
      </c>
      <c r="C31" s="21" t="s">
        <v>56</v>
      </c>
      <c r="J31" s="20" t="s">
        <v>57</v>
      </c>
    </row>
    <row r="32" spans="1:10" ht="15" customHeight="1" x14ac:dyDescent="0.35">
      <c r="B32" s="19" t="s">
        <v>58</v>
      </c>
      <c r="C32" s="21" t="s">
        <v>59</v>
      </c>
      <c r="J32" s="20" t="s">
        <v>60</v>
      </c>
    </row>
    <row r="33" spans="1:10" ht="15" customHeight="1" x14ac:dyDescent="0.35">
      <c r="B33" s="19" t="s">
        <v>61</v>
      </c>
      <c r="C33" s="21" t="s">
        <v>62</v>
      </c>
      <c r="J33" s="20" t="s">
        <v>63</v>
      </c>
    </row>
    <row r="34" spans="1:10" ht="15" customHeight="1" x14ac:dyDescent="0.35">
      <c r="B34" s="19" t="s">
        <v>64</v>
      </c>
      <c r="C34" s="21" t="s">
        <v>65</v>
      </c>
      <c r="J34" s="20" t="s">
        <v>66</v>
      </c>
    </row>
    <row r="35" spans="1:10" ht="15" customHeight="1" x14ac:dyDescent="0.35">
      <c r="B35" s="19" t="s">
        <v>67</v>
      </c>
      <c r="J35" s="20" t="s">
        <v>68</v>
      </c>
    </row>
    <row r="36" spans="1:10" ht="15" customHeight="1" x14ac:dyDescent="0.35">
      <c r="B36" s="19" t="s">
        <v>69</v>
      </c>
      <c r="J36" s="20" t="s">
        <v>70</v>
      </c>
    </row>
    <row r="38" spans="1:10" ht="15" customHeight="1" x14ac:dyDescent="0.35">
      <c r="A38" s="17" t="s">
        <v>5</v>
      </c>
      <c r="B38" s="18" t="s">
        <v>71</v>
      </c>
      <c r="C38" s="15"/>
      <c r="D38" s="15"/>
      <c r="E38" s="15"/>
      <c r="F38" s="15"/>
      <c r="G38" s="15"/>
      <c r="H38" s="15"/>
      <c r="I38" s="15"/>
      <c r="J38" s="15"/>
    </row>
    <row r="40" spans="1:10" ht="15" customHeight="1" x14ac:dyDescent="0.35">
      <c r="B40" s="19" t="s">
        <v>72</v>
      </c>
      <c r="J40" s="20" t="s">
        <v>73</v>
      </c>
    </row>
    <row r="41" spans="1:10" ht="15" customHeight="1" x14ac:dyDescent="0.35">
      <c r="B41" s="19" t="s">
        <v>74</v>
      </c>
      <c r="J41" s="20" t="s">
        <v>73</v>
      </c>
    </row>
    <row r="42" spans="1:10" ht="15" customHeight="1" x14ac:dyDescent="0.35">
      <c r="B42" s="19" t="s">
        <v>75</v>
      </c>
      <c r="J42" s="20" t="s">
        <v>76</v>
      </c>
    </row>
    <row r="43" spans="1:10" ht="15" customHeight="1" x14ac:dyDescent="0.35">
      <c r="B43" s="19" t="s">
        <v>77</v>
      </c>
      <c r="C43" s="21" t="s">
        <v>78</v>
      </c>
      <c r="J43" s="20" t="s">
        <v>79</v>
      </c>
    </row>
    <row r="44" spans="1:10" ht="15" customHeight="1" x14ac:dyDescent="0.35">
      <c r="B44" s="19" t="s">
        <v>80</v>
      </c>
      <c r="J44" s="20" t="s">
        <v>81</v>
      </c>
    </row>
    <row r="45" spans="1:10" ht="15" customHeight="1" x14ac:dyDescent="0.35">
      <c r="B45" s="19" t="s">
        <v>82</v>
      </c>
    </row>
    <row r="46" spans="1:10" ht="15" customHeight="1" x14ac:dyDescent="0.35">
      <c r="B46" s="19" t="s">
        <v>83</v>
      </c>
    </row>
    <row r="47" spans="1:10" ht="15" customHeight="1" x14ac:dyDescent="0.35">
      <c r="B47" s="19" t="s">
        <v>84</v>
      </c>
    </row>
    <row r="48" spans="1:10" ht="15" customHeight="1" x14ac:dyDescent="0.35">
      <c r="B48" s="19" t="s">
        <v>85</v>
      </c>
    </row>
    <row r="49" spans="1:10" ht="15" customHeight="1" x14ac:dyDescent="0.35">
      <c r="B49" s="19" t="s">
        <v>86</v>
      </c>
      <c r="J49" s="20" t="s">
        <v>87</v>
      </c>
    </row>
    <row r="51" spans="1:10" ht="15" customHeight="1" x14ac:dyDescent="0.35">
      <c r="A51" s="17" t="s">
        <v>5</v>
      </c>
      <c r="B51" s="18" t="s">
        <v>88</v>
      </c>
      <c r="C51" s="15"/>
      <c r="D51" s="15"/>
      <c r="E51" s="15"/>
      <c r="F51" s="15"/>
      <c r="G51" s="15"/>
      <c r="H51" s="15"/>
      <c r="I51" s="15"/>
      <c r="J51" s="15"/>
    </row>
    <row r="53" spans="1:10" x14ac:dyDescent="0.35">
      <c r="B53" s="19" t="s">
        <v>89</v>
      </c>
      <c r="J53" s="22" t="str">
        <f>'Reported Financials'!J551</f>
        <v>ALL OK</v>
      </c>
    </row>
    <row r="54" spans="1:10" x14ac:dyDescent="0.35">
      <c r="B54" s="19" t="s">
        <v>90</v>
      </c>
      <c r="J54" s="22" t="str">
        <f>'Input financials'!M551</f>
        <v>ALL OK</v>
      </c>
    </row>
    <row r="55" spans="1:10" x14ac:dyDescent="0.35">
      <c r="B55" s="19" t="s">
        <v>91</v>
      </c>
      <c r="J55" s="22" t="str">
        <f>'Reformation &amp; Profitability'!J771</f>
        <v>ALL OK</v>
      </c>
    </row>
    <row r="57" spans="1:10" x14ac:dyDescent="0.35">
      <c r="B57" s="23" t="s">
        <v>92</v>
      </c>
      <c r="C57" s="15"/>
      <c r="D57" s="15"/>
      <c r="E57" s="15"/>
      <c r="F57" s="15"/>
      <c r="G57" s="15"/>
      <c r="H57" s="15"/>
      <c r="I57" s="15"/>
      <c r="J57" s="24" t="str">
        <f>IF(COUNTIF(J53:J55,"ALL OK")=3,"ALL OK",3-COUNTIF(J53:J55,"ALL OK")&amp;" to check")</f>
        <v>ALL OK</v>
      </c>
    </row>
    <row r="59" spans="1:10" ht="15.5" x14ac:dyDescent="0.35">
      <c r="A59" s="17" t="s">
        <v>5</v>
      </c>
      <c r="B59" s="25" t="s">
        <v>93</v>
      </c>
    </row>
  </sheetData>
  <conditionalFormatting sqref="J53:J57">
    <cfRule type="cellIs" dxfId="33" priority="1" operator="equal">
      <formula>"OK"</formula>
    </cfRule>
    <cfRule type="cellIs" dxfId="32" priority="2" operator="equal">
      <formula>"ALL OK"</formula>
    </cfRule>
    <cfRule type="cellIs" dxfId="31" priority="3" operator="equal">
      <formula>"CHECK"</formula>
    </cfRule>
    <cfRule type="cellIs" dxfId="30" priority="4" operator="equal">
      <formula>"source missing"</formula>
    </cfRule>
  </conditionalFormatting>
  <hyperlinks>
    <hyperlink ref="B8" location="'Frontpage'!B1" display="Frontpage" xr:uid="{00000000-0004-0000-0100-000000000000}"/>
    <hyperlink ref="B9" location="'Decisions to revisit'!B10" display="Decisions to revisit (temporary tab)" xr:uid="{00000000-0004-0000-0100-000001000000}"/>
    <hyperlink ref="B10" location="'Log'!B9" display="Log — issue log (I-01 to I-52 Block 1; I-53 onwards Block 2)" xr:uid="{00000000-0004-0000-0100-000002000000}"/>
    <hyperlink ref="B14" location="'Reformation &amp; Profitability'!B10" display="Reformulated income statement" xr:uid="{00000000-0004-0000-0100-000003000000}"/>
    <hyperlink ref="B15" location="'Reformation &amp; Profitability'!B30" display="EBITDA" xr:uid="{00000000-0004-0000-0100-000004000000}"/>
    <hyperlink ref="B16" location="'Reformation &amp; Profitability'!B52" display="Unusual items" xr:uid="{00000000-0004-0000-0100-000005000000}"/>
    <hyperlink ref="B17" location="'Reformation &amp; Profitability'!B112" display="Operating cost structure — three lenses" xr:uid="{00000000-0004-0000-0100-000006000000}"/>
    <hyperlink ref="B18" location="'Reformation &amp; Profitability'!B218" display="Managerial balance sheet" xr:uid="{00000000-0004-0000-0100-000007000000}"/>
    <hyperlink ref="B19" location="'Reformation &amp; Profitability'!B239" display="Net operating working capital (NOWC)" xr:uid="{00000000-0004-0000-0100-000008000000}"/>
    <hyperlink ref="B20" location="'Reformation &amp; Profitability'!B272" display="Net financial position (NFP)" xr:uid="{00000000-0004-0000-0100-000009000000}"/>
    <hyperlink ref="B21" location="'Reformation &amp; Profitability'!B301" display="ROI and ROE decompositions" xr:uid="{00000000-0004-0000-0100-00000A000000}"/>
    <hyperlink ref="B22" location="'Reformation &amp; Profitability'!B481" display="Ratio summary and material-change screen" xr:uid="{00000000-0004-0000-0100-00000B000000}"/>
    <hyperlink ref="B23" location="'Reformation &amp; Profitability'!B529" display="Checks — Block 1" xr:uid="{00000000-0004-0000-0100-00000C000000}"/>
    <hyperlink ref="B27" location="'Reformation &amp; Profitability'!B565" display="Reformulated cash flow statement — change in cash" xr:uid="{00000000-0004-0000-0100-00000D000000}"/>
    <hyperlink ref="B28" location="'Reformation &amp; Profitability'!B577" display="Operating cash flow (OCF), before taxes" xr:uid="{00000000-0004-0000-0100-00000E000000}"/>
    <hyperlink ref="B29" location="'Reformation &amp; Profitability'!B625" display="From CFOA to OCF (CFOA ≠ OCF)" xr:uid="{00000000-0004-0000-0100-00000F000000}"/>
    <hyperlink ref="B30" location="'Reformation &amp; Profitability'!B634" display="ΔNOWC: cash basis vs managerial balance sheet" xr:uid="{00000000-0004-0000-0100-000010000000}"/>
    <hyperlink ref="B31" location="'Reformation &amp; Profitability'!B641" display="Unusual items and sustainable OCF" xr:uid="{00000000-0004-0000-0100-000011000000}"/>
    <hyperlink ref="B32" location="'Reformation &amp; Profitability'!B658" display="Reformulated cash flow statement — change in NFP" xr:uid="{00000000-0004-0000-0100-000012000000}"/>
    <hyperlink ref="B33" location="'Reformation &amp; Profitability'!B692" display="Free cash flow to equity (FCFE)" xr:uid="{00000000-0004-0000-0100-000013000000}"/>
    <hyperlink ref="B34" location="'Reformation &amp; Profitability'!B726" display="CAPEX hidden in business combinations" xr:uid="{00000000-0004-0000-0100-000014000000}"/>
    <hyperlink ref="B35" location="'Reformation &amp; Profitability'!B741" display="Placeholders: Sessions 10–12 (ratios, creative reporting, KPIs and peers)" xr:uid="{00000000-0004-0000-0100-000015000000}"/>
    <hyperlink ref="B36" location="'Reformation &amp; Profitability'!B753" display="Checks — Block 2" xr:uid="{00000000-0004-0000-0100-000016000000}"/>
    <hyperlink ref="B40" location="'Reported Financials'!B10" display="Reported Financials — income statement" xr:uid="{00000000-0004-0000-0100-000017000000}"/>
    <hyperlink ref="B41" location="'Reported Financials'!B124" display="Reported Financials — balance sheet" xr:uid="{00000000-0004-0000-0100-000018000000}"/>
    <hyperlink ref="B42" location="'Reported Financials'!B179" display="Reported Financials — notes to the balance sheet" xr:uid="{00000000-0004-0000-0100-000019000000}"/>
    <hyperlink ref="B43" location="'Reported Financials'!B317" display="Reported Financials — how the cash flow statement is presented (K1–K4)" xr:uid="{00000000-0004-0000-0100-00001A000000}"/>
    <hyperlink ref="B44" location="'Reported Financials'!B330" display="Reported Financials — cash flow statement (IAS 7, complete)" xr:uid="{00000000-0004-0000-0100-00001B000000}"/>
    <hyperlink ref="B45" location="'Reported Financials'!B400" display="Reported Financials — discontinued operations (note 8)" xr:uid="{00000000-0004-0000-0100-00001C000000}"/>
    <hyperlink ref="B46" location="'Reported Financials'!B419" display="Reported Financials — business combinations (note 7)" xr:uid="{00000000-0004-0000-0100-00001D000000}"/>
    <hyperlink ref="B47" location="'Reported Financials'!B443" display="Reported Financials — §44A reconciliation of financing liabilities (note 29)" xr:uid="{00000000-0004-0000-0100-00001E000000}"/>
    <hyperlink ref="B48" location="'Reported Financials'!B465" display="Reported Financials — provisions for structural measures (note 28)" xr:uid="{00000000-0004-0000-0100-00001F000000}"/>
    <hyperlink ref="B49" location="'Input financials'!B10" display="Input financials — source of every number" xr:uid="{00000000-0004-0000-0100-000020000000}"/>
    <hyperlink ref="B53" location="'Reported Financials'!B551" display="Reported Financials — overall status (Block 1 + Block 2)" xr:uid="{00000000-0004-0000-0100-000021000000}"/>
    <hyperlink ref="B54" location="'Input financials'!B551" display="Input financials — every number has a source" xr:uid="{00000000-0004-0000-0100-000022000000}"/>
    <hyperlink ref="B55" location="'Reformation &amp; Profitability'!B771" display="Reformation &amp; Profitability — overall status (Block 1 + Block 2)" xr:uid="{00000000-0004-0000-0100-000023000000}"/>
  </hyperlinks>
  <pageMargins left="0.4" right="0.4" top="0.4" bottom="0.4" header="0.5" footer="0.5"/>
  <pageSetup paperSize="9" scale="6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pageSetUpPr fitToPage="1"/>
  </sheetPr>
  <dimension ref="A1:K773"/>
  <sheetViews>
    <sheetView showGridLines="0" tabSelected="1" view="pageBreakPreview" zoomScale="85" zoomScaleNormal="100" zoomScalePageLayoutView="85" workbookViewId="0">
      <pane ySplit="8" topLeftCell="A15" activePane="bottomLeft" state="frozen"/>
      <selection pane="bottomLeft" activeCell="H28" sqref="H28"/>
    </sheetView>
  </sheetViews>
  <sheetFormatPr defaultColWidth="8.6328125" defaultRowHeight="14.5" x14ac:dyDescent="0.35"/>
  <cols>
    <col min="1" max="1" width="4.81640625" style="26" customWidth="1"/>
    <col min="2" max="2" width="70" style="26" customWidth="1"/>
    <col min="3" max="3" width="7" style="26" customWidth="1"/>
    <col min="4" max="4" width="2" style="26" customWidth="1"/>
    <col min="5" max="8" width="12.26953125" style="26" customWidth="1"/>
    <col min="9" max="9" width="3" style="26" customWidth="1"/>
    <col min="10" max="10" width="84" style="26" customWidth="1"/>
    <col min="11" max="11" width="3" style="26" customWidth="1"/>
  </cols>
  <sheetData>
    <row r="1" spans="1:11" ht="12" customHeight="1" x14ac:dyDescent="0.35">
      <c r="A1" s="27"/>
      <c r="B1" s="27"/>
      <c r="C1" s="27"/>
      <c r="D1" s="27"/>
      <c r="E1" s="27"/>
      <c r="F1" s="27"/>
      <c r="G1" s="27"/>
      <c r="H1" s="27"/>
      <c r="I1" s="27"/>
      <c r="J1" s="27"/>
      <c r="K1" s="27"/>
    </row>
    <row r="2" spans="1:11" ht="12" customHeight="1" x14ac:dyDescent="0.35">
      <c r="A2" s="27"/>
      <c r="B2" s="27"/>
      <c r="C2" s="27"/>
      <c r="D2" s="27"/>
      <c r="E2" s="27"/>
      <c r="F2" s="27"/>
      <c r="G2" s="27"/>
      <c r="H2" s="27"/>
      <c r="I2" s="27"/>
      <c r="J2" s="27"/>
      <c r="K2" s="27"/>
    </row>
    <row r="3" spans="1:11" ht="23.25" customHeight="1" x14ac:dyDescent="0.4">
      <c r="A3" s="27"/>
      <c r="B3" s="28" t="str">
        <f ca="1">MID(CELL("filename",B3),FIND("]",CELL("filename",B3))+1,256)</f>
        <v>Reformation &amp; Profitability</v>
      </c>
      <c r="C3" s="27"/>
      <c r="D3" s="27"/>
      <c r="E3" s="27"/>
      <c r="F3" s="27"/>
      <c r="G3" s="27"/>
      <c r="H3" s="27"/>
      <c r="I3" s="27"/>
      <c r="J3" s="27"/>
      <c r="K3" s="27"/>
    </row>
    <row r="4" spans="1:11" ht="12" customHeight="1" x14ac:dyDescent="0.35">
      <c r="A4" s="15"/>
      <c r="B4" s="15"/>
      <c r="C4" s="15"/>
      <c r="D4" s="15"/>
      <c r="E4" s="15"/>
      <c r="F4" s="15"/>
      <c r="G4" s="15"/>
      <c r="H4" s="15"/>
      <c r="I4" s="15"/>
      <c r="J4" s="15"/>
      <c r="K4" s="15"/>
    </row>
    <row r="5" spans="1:11" ht="12" customHeight="1" x14ac:dyDescent="0.35"/>
    <row r="6" spans="1:11" ht="15" customHeight="1" x14ac:dyDescent="0.35">
      <c r="G6" s="29" t="s">
        <v>94</v>
      </c>
    </row>
    <row r="7" spans="1:11" ht="15" customHeight="1" x14ac:dyDescent="0.35">
      <c r="B7" s="30" t="s">
        <v>95</v>
      </c>
      <c r="C7" s="31" t="s">
        <v>96</v>
      </c>
      <c r="D7" s="32"/>
      <c r="E7" s="33" t="s">
        <v>97</v>
      </c>
      <c r="F7" s="33" t="str">
        <f>TEXT(VALUE(LEFT(E7, 4)) + 1, "####")&amp;IF(VALUE(LEFT(E7, 4)) + 1 &lt;= 2025, "A", "P")</f>
        <v>2023A</v>
      </c>
      <c r="G7" s="33" t="str">
        <f>TEXT(VALUE(LEFT(F7, 4)) + 1, "####")&amp;IF(VALUE(LEFT(F7, 4)) + 1 &lt;= 2025, "A", "P")</f>
        <v>2024A</v>
      </c>
      <c r="H7" s="33" t="str">
        <f>TEXT(VALUE(LEFT(G7, 4)) + 1, "####")&amp;IF(VALUE(LEFT(G7, 4)) + 1 &lt;= 2025, "A", "P")</f>
        <v>2025A</v>
      </c>
      <c r="J7" s="34" t="s">
        <v>98</v>
      </c>
    </row>
    <row r="8" spans="1:11" ht="15" customHeight="1" x14ac:dyDescent="0.35">
      <c r="B8" s="35" t="s">
        <v>99</v>
      </c>
      <c r="C8" s="36"/>
      <c r="D8" s="36"/>
      <c r="E8" s="37">
        <v>44926</v>
      </c>
      <c r="F8" s="37">
        <v>45291</v>
      </c>
      <c r="G8" s="37">
        <v>45657</v>
      </c>
      <c r="H8" s="37">
        <v>46022</v>
      </c>
    </row>
    <row r="10" spans="1:11" ht="15" customHeight="1" x14ac:dyDescent="0.35">
      <c r="A10" s="38" t="s">
        <v>5</v>
      </c>
      <c r="B10" s="39" t="s">
        <v>100</v>
      </c>
      <c r="C10" s="27"/>
      <c r="D10" s="27"/>
      <c r="E10" s="27"/>
      <c r="F10" s="27"/>
      <c r="G10" s="27"/>
      <c r="H10" s="27"/>
      <c r="I10" s="15"/>
      <c r="J10" s="15"/>
    </row>
    <row r="12" spans="1:11" ht="15" customHeight="1" x14ac:dyDescent="0.35">
      <c r="B12" s="40" t="s">
        <v>101</v>
      </c>
      <c r="C12" s="41" t="s">
        <v>102</v>
      </c>
      <c r="F12" s="42">
        <f>'Reported Financials'!F12</f>
        <v>7176</v>
      </c>
      <c r="G12" s="42">
        <f>'Reported Financials'!G12</f>
        <v>7715</v>
      </c>
      <c r="H12" s="42">
        <f>'Reported Financials'!H12</f>
        <v>9935</v>
      </c>
      <c r="J12" s="43" t="s">
        <v>103</v>
      </c>
    </row>
    <row r="13" spans="1:11" ht="15" customHeight="1" x14ac:dyDescent="0.35">
      <c r="B13" s="44" t="s">
        <v>104</v>
      </c>
      <c r="G13" s="45">
        <f>G12/F12-1</f>
        <v>7.5111482720178424E-2</v>
      </c>
      <c r="H13" s="45">
        <f>H12/G12-1</f>
        <v>0.28775113415424491</v>
      </c>
    </row>
    <row r="14" spans="1:11" ht="15" customHeight="1" x14ac:dyDescent="0.35">
      <c r="B14" s="40" t="s">
        <v>105</v>
      </c>
      <c r="C14" s="41" t="s">
        <v>106</v>
      </c>
      <c r="F14" s="42">
        <f>'Reported Financials'!F15</f>
        <v>607</v>
      </c>
      <c r="G14" s="42">
        <f>'Reported Financials'!G15</f>
        <v>6</v>
      </c>
      <c r="H14" s="42">
        <f>'Reported Financials'!H15</f>
        <v>407</v>
      </c>
      <c r="J14" s="43" t="s">
        <v>107</v>
      </c>
    </row>
    <row r="15" spans="1:11" ht="15" customHeight="1" x14ac:dyDescent="0.35">
      <c r="B15" s="40" t="s">
        <v>108</v>
      </c>
      <c r="C15" s="41" t="s">
        <v>106</v>
      </c>
      <c r="F15" s="42">
        <f>'Reported Financials'!F16</f>
        <v>89</v>
      </c>
      <c r="G15" s="42">
        <f>'Reported Financials'!G16</f>
        <v>126</v>
      </c>
      <c r="H15" s="42">
        <f>'Reported Financials'!H16</f>
        <v>114</v>
      </c>
      <c r="J15" s="43" t="s">
        <v>109</v>
      </c>
    </row>
    <row r="16" spans="1:11" ht="15" customHeight="1" x14ac:dyDescent="0.35">
      <c r="B16" s="46" t="s">
        <v>110</v>
      </c>
      <c r="C16" s="47"/>
      <c r="D16" s="47"/>
      <c r="E16" s="47"/>
      <c r="F16" s="48">
        <f>F12+F14+F15</f>
        <v>7872</v>
      </c>
      <c r="G16" s="48">
        <f>G12+G14+G15</f>
        <v>7847</v>
      </c>
      <c r="H16" s="48">
        <f>H12+H14+H15</f>
        <v>10456</v>
      </c>
      <c r="J16" s="43" t="s">
        <v>111</v>
      </c>
    </row>
    <row r="18" spans="2:10" ht="15" customHeight="1" x14ac:dyDescent="0.35">
      <c r="B18" s="40" t="s">
        <v>112</v>
      </c>
      <c r="C18" s="41" t="s">
        <v>113</v>
      </c>
      <c r="F18" s="42">
        <f>'Reported Financials'!F32</f>
        <v>-2883</v>
      </c>
      <c r="G18" s="42">
        <f>'Reported Financials'!G32</f>
        <v>-2435</v>
      </c>
      <c r="H18" s="42">
        <f>'Reported Financials'!H32</f>
        <v>-3784</v>
      </c>
      <c r="J18" s="43" t="s">
        <v>114</v>
      </c>
    </row>
    <row r="19" spans="2:10" ht="15" customHeight="1" x14ac:dyDescent="0.35">
      <c r="B19" s="40" t="s">
        <v>115</v>
      </c>
      <c r="C19" s="41" t="s">
        <v>113</v>
      </c>
      <c r="F19" s="42">
        <f>'Reported Financials'!F33</f>
        <v>-1053</v>
      </c>
      <c r="G19" s="42">
        <f>'Reported Financials'!G33</f>
        <v>-1258</v>
      </c>
      <c r="H19" s="42">
        <f>'Reported Financials'!H33</f>
        <v>-1469</v>
      </c>
      <c r="J19" s="43" t="s">
        <v>116</v>
      </c>
    </row>
    <row r="20" spans="2:10" ht="15" customHeight="1" x14ac:dyDescent="0.35">
      <c r="B20" s="40" t="s">
        <v>117</v>
      </c>
      <c r="C20" s="41" t="s">
        <v>113</v>
      </c>
      <c r="F20" s="49">
        <f>'Reported Financials'!F48+'Reported Financials'!F49+'Reported Financials'!F50+'Reported Financials'!F52+'Reported Financials'!F53+'Reported Financials'!F54+'Reported Financials'!F56+'Reported Financials'!F58+'Reported Financials'!F60-'Reported Financials'!F92</f>
        <v>-698</v>
      </c>
      <c r="G20" s="49">
        <f>'Reported Financials'!G48+'Reported Financials'!G49+'Reported Financials'!G50+'Reported Financials'!G52+'Reported Financials'!G53+'Reported Financials'!G54+'Reported Financials'!G56+'Reported Financials'!G58+'Reported Financials'!G60-'Reported Financials'!G92</f>
        <v>-695</v>
      </c>
      <c r="H20" s="49">
        <f>'Reported Financials'!H48+'Reported Financials'!H49+'Reported Financials'!H50+'Reported Financials'!H52+'Reported Financials'!H53+'Reported Financials'!H54+'Reported Financials'!H56+'Reported Financials'!H58+'Reported Financials'!H60-'Reported Financials'!H92</f>
        <v>-834</v>
      </c>
      <c r="J20" s="43" t="s">
        <v>118</v>
      </c>
    </row>
    <row r="21" spans="2:10" ht="15" customHeight="1" x14ac:dyDescent="0.35">
      <c r="B21" s="40" t="s">
        <v>119</v>
      </c>
      <c r="C21" s="41" t="s">
        <v>113</v>
      </c>
      <c r="F21" s="49">
        <f>'Reported Financials'!F34+'Reported Financials'!F17</f>
        <v>1</v>
      </c>
      <c r="G21" s="49">
        <f>'Reported Financials'!G34+'Reported Financials'!G17</f>
        <v>0</v>
      </c>
      <c r="H21" s="49">
        <f>'Reported Financials'!H34+'Reported Financials'!H17</f>
        <v>1</v>
      </c>
      <c r="J21" s="43" t="s">
        <v>120</v>
      </c>
    </row>
    <row r="22" spans="2:10" ht="15" customHeight="1" x14ac:dyDescent="0.35">
      <c r="B22" s="46" t="s">
        <v>121</v>
      </c>
      <c r="C22" s="47"/>
      <c r="D22" s="47"/>
      <c r="E22" s="47"/>
      <c r="F22" s="48">
        <f>F16+F18+F19+F20+F21</f>
        <v>3239</v>
      </c>
      <c r="G22" s="48">
        <f>G16+G18+G19+G20+G21</f>
        <v>3459</v>
      </c>
      <c r="H22" s="48">
        <f>H16+H18+H19+H20+H21</f>
        <v>4370</v>
      </c>
      <c r="J22" s="43" t="s">
        <v>122</v>
      </c>
    </row>
    <row r="23" spans="2:10" ht="15" customHeight="1" x14ac:dyDescent="0.35">
      <c r="B23" s="44" t="s">
        <v>123</v>
      </c>
      <c r="F23" s="45">
        <f>F22/F16</f>
        <v>0.41145833333333331</v>
      </c>
      <c r="G23" s="45">
        <f>G22/G16</f>
        <v>0.44080540333885559</v>
      </c>
      <c r="H23" s="45">
        <f>H22/H16</f>
        <v>0.41794185156847741</v>
      </c>
    </row>
    <row r="25" spans="2:10" ht="15" customHeight="1" x14ac:dyDescent="0.35">
      <c r="B25" s="40" t="s">
        <v>124</v>
      </c>
      <c r="C25" s="41" t="s">
        <v>113</v>
      </c>
      <c r="F25" s="49">
        <f>'Reported Financials'!F20-'Reported Financials'!F27-'Reported Financials'!F98</f>
        <v>151</v>
      </c>
      <c r="G25" s="49">
        <f>'Reported Financials'!G20-'Reported Financials'!G27-'Reported Financials'!G98</f>
        <v>176</v>
      </c>
      <c r="H25" s="49">
        <f>'Reported Financials'!H20-'Reported Financials'!H27-'Reported Financials'!H98</f>
        <v>176</v>
      </c>
      <c r="J25" s="43" t="s">
        <v>125</v>
      </c>
    </row>
    <row r="26" spans="2:10" ht="15" customHeight="1" x14ac:dyDescent="0.35">
      <c r="B26" s="40" t="s">
        <v>126</v>
      </c>
      <c r="C26" s="41" t="s">
        <v>113</v>
      </c>
      <c r="F26" s="49">
        <f>'Reported Financials'!F55+'Reported Financials'!F57+'Reported Financials'!F59+'Reported Financials'!F61+'Reported Financials'!F62+'Reported Financials'!F63+'Reported Financials'!F64</f>
        <v>-117</v>
      </c>
      <c r="G26" s="49">
        <f>'Reported Financials'!G55+'Reported Financials'!G57+'Reported Financials'!G59+'Reported Financials'!G61+'Reported Financials'!G62+'Reported Financials'!G63+'Reported Financials'!G64</f>
        <v>-114</v>
      </c>
      <c r="H26" s="49">
        <f>'Reported Financials'!H55+'Reported Financials'!H57+'Reported Financials'!H59+'Reported Financials'!H61+'Reported Financials'!H62+'Reported Financials'!H63+'Reported Financials'!H64</f>
        <v>-181</v>
      </c>
      <c r="J26" s="43" t="s">
        <v>127</v>
      </c>
    </row>
    <row r="27" spans="2:10" ht="15" customHeight="1" x14ac:dyDescent="0.35">
      <c r="B27" s="40" t="s">
        <v>128</v>
      </c>
      <c r="C27" s="41" t="s">
        <v>113</v>
      </c>
      <c r="F27" s="42">
        <f>'Reported Financials'!F68</f>
        <v>0</v>
      </c>
      <c r="G27" s="42">
        <f>'Reported Financials'!G68</f>
        <v>-1</v>
      </c>
      <c r="H27" s="42">
        <f>'Reported Financials'!H68</f>
        <v>-1</v>
      </c>
      <c r="J27" s="43" t="s">
        <v>129</v>
      </c>
    </row>
    <row r="28" spans="2:10" ht="15" customHeight="1" x14ac:dyDescent="0.35">
      <c r="B28" s="40" t="s">
        <v>130</v>
      </c>
      <c r="C28" s="41" t="s">
        <v>131</v>
      </c>
      <c r="F28" s="49">
        <f>'Reported Financials'!F35-'Reported Financials'!F96</f>
        <v>-2046</v>
      </c>
      <c r="G28" s="49">
        <f>'Reported Financials'!G35-'Reported Financials'!G96</f>
        <v>-1842</v>
      </c>
      <c r="H28" s="49">
        <f>'Reported Financials'!H35-'Reported Financials'!H96</f>
        <v>-2307</v>
      </c>
      <c r="J28" s="43" t="s">
        <v>132</v>
      </c>
    </row>
    <row r="29" spans="2:10" ht="15" customHeight="1" x14ac:dyDescent="0.35">
      <c r="B29" s="40" t="s">
        <v>133</v>
      </c>
      <c r="C29" s="41" t="s">
        <v>131</v>
      </c>
      <c r="F29" s="42">
        <f>'Reported Financials'!F51</f>
        <v>-74</v>
      </c>
      <c r="G29" s="42">
        <f>'Reported Financials'!G51</f>
        <v>-76</v>
      </c>
      <c r="H29" s="42">
        <f>'Reported Financials'!H51</f>
        <v>-97</v>
      </c>
      <c r="J29" s="43" t="s">
        <v>134</v>
      </c>
    </row>
    <row r="30" spans="2:10" ht="15" customHeight="1" x14ac:dyDescent="0.35">
      <c r="B30" s="50" t="s">
        <v>17</v>
      </c>
      <c r="C30" s="51"/>
      <c r="D30" s="51"/>
      <c r="E30" s="51"/>
      <c r="F30" s="52">
        <f>F22+F25+F26+F27+F28+F29</f>
        <v>1153</v>
      </c>
      <c r="G30" s="52">
        <f>G22+G25+G26+G27+G28+G29</f>
        <v>1602</v>
      </c>
      <c r="H30" s="52">
        <f>H22+H25+H26+H27+H28+H29</f>
        <v>1960</v>
      </c>
      <c r="J30" s="43" t="s">
        <v>135</v>
      </c>
    </row>
    <row r="31" spans="2:10" ht="15" customHeight="1" x14ac:dyDescent="0.35">
      <c r="B31" s="44" t="s">
        <v>136</v>
      </c>
      <c r="F31" s="45">
        <f>F30/F12</f>
        <v>0.16067447045707917</v>
      </c>
      <c r="G31" s="45">
        <f>G30/G12</f>
        <v>0.20764744005184704</v>
      </c>
      <c r="H31" s="45">
        <f>H30/H12</f>
        <v>0.19728233517866131</v>
      </c>
    </row>
    <row r="33" spans="2:10" ht="15" customHeight="1" x14ac:dyDescent="0.35">
      <c r="B33" s="40" t="s">
        <v>137</v>
      </c>
      <c r="C33" s="41" t="s">
        <v>131</v>
      </c>
      <c r="F33" s="42">
        <f>'Reported Financials'!F87</f>
        <v>-10</v>
      </c>
      <c r="G33" s="42">
        <f>'Reported Financials'!G87</f>
        <v>-12</v>
      </c>
      <c r="H33" s="42">
        <f>'Reported Financials'!H87</f>
        <v>-5</v>
      </c>
      <c r="J33" s="43" t="s">
        <v>138</v>
      </c>
    </row>
    <row r="34" spans="2:10" ht="15" customHeight="1" x14ac:dyDescent="0.35">
      <c r="B34" s="40" t="s">
        <v>139</v>
      </c>
      <c r="C34" s="41" t="s">
        <v>140</v>
      </c>
      <c r="F34" s="49">
        <f>'Reported Financials'!F41-'Reported Financials'!F86</f>
        <v>-302</v>
      </c>
      <c r="G34" s="49">
        <f>'Reported Financials'!G41-'Reported Financials'!G86</f>
        <v>-284</v>
      </c>
      <c r="H34" s="49">
        <f>'Reported Financials'!H41-'Reported Financials'!H86</f>
        <v>-389</v>
      </c>
      <c r="J34" s="43" t="s">
        <v>141</v>
      </c>
    </row>
    <row r="35" spans="2:10" ht="15" customHeight="1" x14ac:dyDescent="0.35">
      <c r="B35" s="40" t="s">
        <v>142</v>
      </c>
      <c r="F35" s="42">
        <f>'Reported Financials'!F85</f>
        <v>-47</v>
      </c>
      <c r="G35" s="42">
        <f>'Reported Financials'!G85</f>
        <v>-102</v>
      </c>
      <c r="H35" s="42">
        <f>'Reported Financials'!H85</f>
        <v>-139</v>
      </c>
      <c r="J35" s="43" t="s">
        <v>143</v>
      </c>
    </row>
    <row r="36" spans="2:10" ht="15" customHeight="1" x14ac:dyDescent="0.35">
      <c r="B36" s="50" t="s">
        <v>144</v>
      </c>
      <c r="C36" s="51"/>
      <c r="D36" s="51"/>
      <c r="E36" s="51"/>
      <c r="F36" s="52">
        <f>F30+F33+F34</f>
        <v>841</v>
      </c>
      <c r="G36" s="52">
        <f>G30+G33+G34</f>
        <v>1306</v>
      </c>
      <c r="H36" s="52">
        <f>H30+H33+H34</f>
        <v>1566</v>
      </c>
      <c r="J36" s="43" t="s">
        <v>145</v>
      </c>
    </row>
    <row r="37" spans="2:10" ht="15" customHeight="1" x14ac:dyDescent="0.35">
      <c r="B37" s="44" t="s">
        <v>146</v>
      </c>
      <c r="F37" s="45">
        <f>F36/F12</f>
        <v>0.11719620958751394</v>
      </c>
      <c r="G37" s="45">
        <f>G36/G12</f>
        <v>0.1692806221646144</v>
      </c>
      <c r="H37" s="45">
        <f>H36/H12</f>
        <v>0.15762455963764468</v>
      </c>
    </row>
    <row r="39" spans="2:10" ht="15" customHeight="1" x14ac:dyDescent="0.35">
      <c r="B39" s="40" t="s">
        <v>147</v>
      </c>
      <c r="C39" s="41" t="s">
        <v>148</v>
      </c>
      <c r="F39" s="49">
        <f>'Reported Financials'!F66-'Reported Financials'!F89-'Reported Financials'!F90</f>
        <v>4</v>
      </c>
      <c r="G39" s="49">
        <f>'Reported Financials'!G66-'Reported Financials'!G89-'Reported Financials'!G90</f>
        <v>-33</v>
      </c>
      <c r="H39" s="49">
        <f>'Reported Financials'!H66-'Reported Financials'!H89-'Reported Financials'!H90</f>
        <v>1</v>
      </c>
      <c r="J39" s="43" t="s">
        <v>149</v>
      </c>
    </row>
    <row r="40" spans="2:10" ht="15" customHeight="1" x14ac:dyDescent="0.35">
      <c r="B40" s="40" t="s">
        <v>150</v>
      </c>
      <c r="C40" s="41" t="s">
        <v>148</v>
      </c>
      <c r="F40" s="49">
        <f>'Reported Financials'!F67-'Reported Financials'!F91</f>
        <v>-11</v>
      </c>
      <c r="G40" s="49">
        <f>'Reported Financials'!G67-'Reported Financials'!G91</f>
        <v>-9</v>
      </c>
      <c r="H40" s="49">
        <f>'Reported Financials'!H67-'Reported Financials'!H91</f>
        <v>-22</v>
      </c>
      <c r="J40" s="43" t="s">
        <v>151</v>
      </c>
    </row>
    <row r="41" spans="2:10" ht="15" customHeight="1" x14ac:dyDescent="0.35">
      <c r="B41" s="46" t="s">
        <v>152</v>
      </c>
      <c r="C41" s="47"/>
      <c r="D41" s="47"/>
      <c r="E41" s="47"/>
      <c r="F41" s="48">
        <f>F39+F40</f>
        <v>-7</v>
      </c>
      <c r="G41" s="48">
        <f>G39+G40</f>
        <v>-42</v>
      </c>
      <c r="H41" s="48">
        <f>H39+H40</f>
        <v>-21</v>
      </c>
      <c r="J41" s="43" t="s">
        <v>153</v>
      </c>
    </row>
    <row r="43" spans="2:10" ht="15" customHeight="1" x14ac:dyDescent="0.35">
      <c r="B43" s="50" t="s">
        <v>154</v>
      </c>
      <c r="C43" s="51"/>
      <c r="D43" s="51"/>
      <c r="E43" s="51"/>
      <c r="F43" s="52">
        <f>F36+F41</f>
        <v>834</v>
      </c>
      <c r="G43" s="52">
        <f>G36+G41</f>
        <v>1264</v>
      </c>
      <c r="H43" s="52">
        <f>H36+H41</f>
        <v>1545</v>
      </c>
      <c r="J43" s="43" t="s">
        <v>155</v>
      </c>
    </row>
    <row r="44" spans="2:10" ht="15" customHeight="1" x14ac:dyDescent="0.35">
      <c r="B44" s="44" t="s">
        <v>156</v>
      </c>
      <c r="F44" s="45">
        <f>F43/F12</f>
        <v>0.11622073578595318</v>
      </c>
      <c r="G44" s="45">
        <f>G43/G12</f>
        <v>0.16383668178872327</v>
      </c>
      <c r="H44" s="45">
        <f>H43/H12</f>
        <v>0.15551082033215904</v>
      </c>
    </row>
    <row r="46" spans="2:10" ht="15" customHeight="1" x14ac:dyDescent="0.35">
      <c r="B46" s="40" t="s">
        <v>157</v>
      </c>
      <c r="C46" s="41" t="s">
        <v>158</v>
      </c>
      <c r="F46" s="42">
        <f>'Reported Financials'!F71</f>
        <v>29</v>
      </c>
      <c r="G46" s="42">
        <f>'Reported Financials'!G71</f>
        <v>14</v>
      </c>
      <c r="H46" s="42">
        <f>'Reported Financials'!H71</f>
        <v>4</v>
      </c>
      <c r="J46" s="43" t="s">
        <v>159</v>
      </c>
    </row>
    <row r="47" spans="2:10" ht="15" customHeight="1" x14ac:dyDescent="0.35">
      <c r="B47" s="40" t="s">
        <v>160</v>
      </c>
      <c r="C47" s="41" t="s">
        <v>158</v>
      </c>
      <c r="F47" s="49">
        <f>'Reported Financials'!F72-'Reported Financials'!F87</f>
        <v>-101</v>
      </c>
      <c r="G47" s="49">
        <f>'Reported Financials'!G72-'Reported Financials'!G87</f>
        <v>-104</v>
      </c>
      <c r="H47" s="49">
        <f>'Reported Financials'!H72-'Reported Financials'!H87</f>
        <v>-111</v>
      </c>
      <c r="J47" s="43" t="s">
        <v>161</v>
      </c>
    </row>
    <row r="48" spans="2:10" ht="15" customHeight="1" x14ac:dyDescent="0.35">
      <c r="B48" s="46" t="s">
        <v>162</v>
      </c>
      <c r="C48" s="47"/>
      <c r="D48" s="47"/>
      <c r="E48" s="47"/>
      <c r="F48" s="48">
        <f>F46+F47</f>
        <v>-72</v>
      </c>
      <c r="G48" s="48">
        <f>G46+G47</f>
        <v>-90</v>
      </c>
      <c r="H48" s="48">
        <f>H46+H47</f>
        <v>-107</v>
      </c>
      <c r="J48" s="43" t="s">
        <v>163</v>
      </c>
    </row>
    <row r="50" spans="2:10" ht="15" customHeight="1" x14ac:dyDescent="0.35">
      <c r="B50" s="50" t="s">
        <v>164</v>
      </c>
      <c r="C50" s="51"/>
      <c r="D50" s="51"/>
      <c r="E50" s="51"/>
      <c r="F50" s="52">
        <f>F43+F48</f>
        <v>762</v>
      </c>
      <c r="G50" s="52">
        <f>G43+G48</f>
        <v>1174</v>
      </c>
      <c r="H50" s="52">
        <f>H43+H48</f>
        <v>1438</v>
      </c>
      <c r="J50" s="43" t="s">
        <v>155</v>
      </c>
    </row>
    <row r="52" spans="2:10" ht="15" customHeight="1" x14ac:dyDescent="0.35">
      <c r="B52" s="53" t="s">
        <v>165</v>
      </c>
      <c r="C52" s="41" t="s">
        <v>21</v>
      </c>
      <c r="J52" s="43" t="s">
        <v>166</v>
      </c>
    </row>
    <row r="53" spans="2:10" ht="15" customHeight="1" x14ac:dyDescent="0.35">
      <c r="B53" s="53" t="s">
        <v>167</v>
      </c>
    </row>
    <row r="54" spans="2:10" ht="15" customHeight="1" x14ac:dyDescent="0.35">
      <c r="B54" s="40" t="s">
        <v>168</v>
      </c>
      <c r="C54" s="41" t="s">
        <v>21</v>
      </c>
      <c r="F54" s="42">
        <f>'Reported Financials'!F27</f>
        <v>2</v>
      </c>
      <c r="G54" s="42">
        <f>'Reported Financials'!G27</f>
        <v>2</v>
      </c>
      <c r="H54" s="42">
        <f>'Reported Financials'!H27</f>
        <v>0</v>
      </c>
      <c r="J54" s="43" t="s">
        <v>169</v>
      </c>
    </row>
    <row r="55" spans="2:10" ht="15" customHeight="1" x14ac:dyDescent="0.35">
      <c r="B55" s="40" t="s">
        <v>170</v>
      </c>
      <c r="C55" s="41" t="s">
        <v>21</v>
      </c>
      <c r="F55" s="42">
        <f>'Reported Financials'!F86</f>
        <v>-6</v>
      </c>
      <c r="G55" s="42">
        <f>'Reported Financials'!G86</f>
        <v>0</v>
      </c>
      <c r="H55" s="42">
        <f>'Reported Financials'!H86</f>
        <v>-17</v>
      </c>
      <c r="J55" s="43" t="s">
        <v>171</v>
      </c>
    </row>
    <row r="56" spans="2:10" ht="15" customHeight="1" x14ac:dyDescent="0.35">
      <c r="B56" s="40" t="s">
        <v>172</v>
      </c>
      <c r="C56" s="41" t="s">
        <v>21</v>
      </c>
      <c r="F56" s="49">
        <f>'Reported Financials'!F89+'Reported Financials'!F90</f>
        <v>53</v>
      </c>
      <c r="G56" s="49">
        <f>'Reported Financials'!G89+'Reported Financials'!G90</f>
        <v>0</v>
      </c>
      <c r="H56" s="49">
        <f>'Reported Financials'!H89+'Reported Financials'!H90</f>
        <v>46</v>
      </c>
      <c r="J56" s="43" t="s">
        <v>173</v>
      </c>
    </row>
    <row r="57" spans="2:10" ht="15" customHeight="1" x14ac:dyDescent="0.35">
      <c r="B57" s="40" t="s">
        <v>174</v>
      </c>
      <c r="C57" s="41" t="s">
        <v>21</v>
      </c>
      <c r="F57" s="42">
        <f>'Reported Financials'!F91</f>
        <v>5</v>
      </c>
      <c r="G57" s="42">
        <f>'Reported Financials'!G91</f>
        <v>0</v>
      </c>
      <c r="H57" s="42">
        <f>'Reported Financials'!H91</f>
        <v>15</v>
      </c>
      <c r="J57" s="43" t="s">
        <v>175</v>
      </c>
    </row>
    <row r="58" spans="2:10" ht="15" customHeight="1" x14ac:dyDescent="0.35">
      <c r="B58" s="40" t="s">
        <v>176</v>
      </c>
      <c r="C58" s="41" t="s">
        <v>21</v>
      </c>
      <c r="F58" s="42">
        <f>'Reported Financials'!F92</f>
        <v>0</v>
      </c>
      <c r="G58" s="42">
        <f>'Reported Financials'!G92</f>
        <v>-6</v>
      </c>
      <c r="H58" s="42">
        <f>'Reported Financials'!H92</f>
        <v>0</v>
      </c>
      <c r="J58" s="43" t="s">
        <v>177</v>
      </c>
    </row>
    <row r="59" spans="2:10" ht="15" customHeight="1" x14ac:dyDescent="0.35">
      <c r="B59" s="40" t="s">
        <v>178</v>
      </c>
      <c r="C59" s="41" t="s">
        <v>21</v>
      </c>
      <c r="F59" s="42">
        <f>'Reported Financials'!F96</f>
        <v>-1</v>
      </c>
      <c r="G59" s="42">
        <f>'Reported Financials'!G96</f>
        <v>-2</v>
      </c>
      <c r="H59" s="42">
        <f>'Reported Financials'!H96</f>
        <v>-7</v>
      </c>
      <c r="J59" s="43" t="s">
        <v>179</v>
      </c>
    </row>
    <row r="60" spans="2:10" ht="15" customHeight="1" x14ac:dyDescent="0.35">
      <c r="B60" s="40" t="s">
        <v>180</v>
      </c>
      <c r="C60" s="41" t="s">
        <v>21</v>
      </c>
      <c r="F60" s="42">
        <f>'Reported Financials'!F98</f>
        <v>0</v>
      </c>
      <c r="G60" s="42">
        <f>'Reported Financials'!G98</f>
        <v>0</v>
      </c>
      <c r="H60" s="42">
        <f>'Reported Financials'!H98</f>
        <v>97</v>
      </c>
      <c r="J60" s="43" t="s">
        <v>181</v>
      </c>
    </row>
    <row r="61" spans="2:10" ht="15" customHeight="1" x14ac:dyDescent="0.35">
      <c r="B61" s="40" t="s">
        <v>182</v>
      </c>
      <c r="C61" s="41" t="s">
        <v>21</v>
      </c>
      <c r="F61" s="42">
        <f>'Reported Financials'!F100</f>
        <v>-59</v>
      </c>
      <c r="G61" s="42">
        <f>'Reported Financials'!G100</f>
        <v>-17</v>
      </c>
      <c r="H61" s="42">
        <f>'Reported Financials'!H100</f>
        <v>-315</v>
      </c>
      <c r="J61" s="43" t="s">
        <v>183</v>
      </c>
    </row>
    <row r="62" spans="2:10" ht="15" customHeight="1" x14ac:dyDescent="0.35">
      <c r="B62" s="40" t="s">
        <v>184</v>
      </c>
      <c r="C62" s="41" t="s">
        <v>21</v>
      </c>
      <c r="F62" s="42">
        <f>'Reported Financials'!F93</f>
        <v>3</v>
      </c>
      <c r="G62" s="42">
        <f>'Reported Financials'!G93</f>
        <v>-1</v>
      </c>
      <c r="H62" s="42">
        <f>'Reported Financials'!H93</f>
        <v>-11</v>
      </c>
      <c r="J62" s="43" t="s">
        <v>185</v>
      </c>
    </row>
    <row r="63" spans="2:10" ht="15" customHeight="1" x14ac:dyDescent="0.35">
      <c r="B63" s="53" t="s">
        <v>186</v>
      </c>
    </row>
    <row r="64" spans="2:10" ht="15" customHeight="1" x14ac:dyDescent="0.35">
      <c r="B64" s="40" t="s">
        <v>187</v>
      </c>
      <c r="C64" s="41" t="s">
        <v>21</v>
      </c>
      <c r="F64" s="42">
        <f>'Reported Financials'!F102</f>
        <v>35</v>
      </c>
      <c r="G64" s="42">
        <f>'Reported Financials'!G102</f>
        <v>207</v>
      </c>
      <c r="H64" s="42">
        <f>'Reported Financials'!H102</f>
        <v>79</v>
      </c>
      <c r="J64" s="43" t="s">
        <v>188</v>
      </c>
    </row>
    <row r="65" spans="2:10" ht="15" customHeight="1" x14ac:dyDescent="0.35">
      <c r="B65" s="40" t="s">
        <v>189</v>
      </c>
      <c r="C65" s="41" t="s">
        <v>21</v>
      </c>
      <c r="F65" s="42">
        <f>'Reported Financials'!F104</f>
        <v>-25</v>
      </c>
      <c r="G65" s="42">
        <f>'Reported Financials'!G104</f>
        <v>16</v>
      </c>
      <c r="H65" s="42">
        <f>'Reported Financials'!H104</f>
        <v>43</v>
      </c>
      <c r="J65" s="43" t="s">
        <v>190</v>
      </c>
    </row>
    <row r="66" spans="2:10" ht="15" customHeight="1" x14ac:dyDescent="0.35">
      <c r="B66" s="40" t="s">
        <v>191</v>
      </c>
      <c r="C66" s="41" t="s">
        <v>21</v>
      </c>
      <c r="F66" s="42">
        <f>'Reported Financials'!F105</f>
        <v>7</v>
      </c>
      <c r="G66" s="42">
        <f>'Reported Financials'!G105</f>
        <v>12</v>
      </c>
      <c r="H66" s="42">
        <f>'Reported Financials'!H105</f>
        <v>-138</v>
      </c>
      <c r="J66" s="43" t="s">
        <v>192</v>
      </c>
    </row>
    <row r="67" spans="2:10" ht="15" customHeight="1" x14ac:dyDescent="0.35">
      <c r="B67" s="40" t="s">
        <v>193</v>
      </c>
      <c r="C67" s="41" t="s">
        <v>21</v>
      </c>
      <c r="F67" s="49">
        <f>'Reported Financials'!F103+'Reported Financials'!F106</f>
        <v>-8</v>
      </c>
      <c r="G67" s="49">
        <f>'Reported Financials'!G103+'Reported Financials'!G106</f>
        <v>2</v>
      </c>
      <c r="H67" s="49">
        <f>'Reported Financials'!H103+'Reported Financials'!H106</f>
        <v>6</v>
      </c>
      <c r="J67" s="43" t="s">
        <v>194</v>
      </c>
    </row>
    <row r="68" spans="2:10" ht="15" customHeight="1" x14ac:dyDescent="0.35">
      <c r="B68" s="40" t="s">
        <v>195</v>
      </c>
      <c r="C68" s="41" t="s">
        <v>21</v>
      </c>
      <c r="F68" s="49">
        <f>'Reported Financials'!F77-'Reported Financials'!F100-'Reported Financials'!F101</f>
        <v>0</v>
      </c>
      <c r="G68" s="49">
        <f>'Reported Financials'!G77-'Reported Financials'!G100-'Reported Financials'!G101</f>
        <v>-1</v>
      </c>
      <c r="H68" s="49">
        <f>'Reported Financials'!H77-'Reported Financials'!H100-'Reported Financials'!H101</f>
        <v>1</v>
      </c>
      <c r="J68" s="43" t="s">
        <v>196</v>
      </c>
    </row>
    <row r="69" spans="2:10" ht="15" customHeight="1" x14ac:dyDescent="0.35">
      <c r="B69" s="40" t="s">
        <v>197</v>
      </c>
      <c r="C69" s="41" t="s">
        <v>21</v>
      </c>
      <c r="F69" s="49">
        <f>'Reported Financials'!F119-SUM('Reported Financials'!F102:F106)-'Reported Financials'!F107</f>
        <v>0</v>
      </c>
      <c r="G69" s="49">
        <f>'Reported Financials'!G119-SUM('Reported Financials'!G102:G106)-'Reported Financials'!G107</f>
        <v>1</v>
      </c>
      <c r="H69" s="49">
        <f>'Reported Financials'!H119-SUM('Reported Financials'!H102:H106)-'Reported Financials'!H107</f>
        <v>-1</v>
      </c>
      <c r="J69" s="43" t="s">
        <v>198</v>
      </c>
    </row>
    <row r="70" spans="2:10" ht="15" customHeight="1" x14ac:dyDescent="0.35">
      <c r="B70" s="46" t="s">
        <v>199</v>
      </c>
      <c r="C70" s="47"/>
      <c r="D70" s="47"/>
      <c r="E70" s="47"/>
      <c r="F70" s="48">
        <f>SUM(F54:F69)</f>
        <v>6</v>
      </c>
      <c r="G70" s="48">
        <f>SUM(G54:G69)</f>
        <v>213</v>
      </c>
      <c r="H70" s="48">
        <f>SUM(H54:H69)</f>
        <v>-202</v>
      </c>
    </row>
    <row r="71" spans="2:10" ht="15" customHeight="1" x14ac:dyDescent="0.35">
      <c r="B71" s="44" t="s">
        <v>200</v>
      </c>
      <c r="F71" s="45">
        <f>F70/F12</f>
        <v>8.3612040133779263E-4</v>
      </c>
      <c r="G71" s="45">
        <f>G70/G12</f>
        <v>2.760855476344783E-2</v>
      </c>
      <c r="H71" s="45">
        <f>H70/H12</f>
        <v>-2.0332159033719176E-2</v>
      </c>
    </row>
    <row r="73" spans="2:10" ht="15" customHeight="1" x14ac:dyDescent="0.35">
      <c r="B73" s="46" t="s">
        <v>201</v>
      </c>
      <c r="C73" s="47"/>
      <c r="D73" s="47"/>
      <c r="E73" s="47"/>
      <c r="F73" s="48">
        <f>F50+F70</f>
        <v>768</v>
      </c>
      <c r="G73" s="48">
        <f>G50+G70</f>
        <v>1387</v>
      </c>
      <c r="H73" s="48">
        <f>H50+H70</f>
        <v>1236</v>
      </c>
      <c r="J73" s="43" t="s">
        <v>202</v>
      </c>
    </row>
    <row r="75" spans="2:10" ht="15" customHeight="1" x14ac:dyDescent="0.35">
      <c r="B75" s="40" t="s">
        <v>203</v>
      </c>
      <c r="C75" s="41" t="s">
        <v>204</v>
      </c>
      <c r="F75" s="49">
        <f>'Reported Financials'!F74-'Reported Financials'!F93</f>
        <v>-188</v>
      </c>
      <c r="G75" s="49">
        <f>'Reported Financials'!G74-'Reported Financials'!G93</f>
        <v>-327</v>
      </c>
      <c r="H75" s="49">
        <f>'Reported Financials'!H74-'Reported Financials'!H93</f>
        <v>-385</v>
      </c>
      <c r="J75" s="43" t="s">
        <v>205</v>
      </c>
    </row>
    <row r="76" spans="2:10" ht="15" customHeight="1" x14ac:dyDescent="0.35">
      <c r="B76" s="40" t="s">
        <v>206</v>
      </c>
      <c r="C76" s="41" t="s">
        <v>204</v>
      </c>
      <c r="F76" s="42">
        <f>'Reported Financials'!F101</f>
        <v>15</v>
      </c>
      <c r="G76" s="42">
        <f>'Reported Financials'!G101</f>
        <v>-14</v>
      </c>
      <c r="H76" s="42">
        <f>'Reported Financials'!H101</f>
        <v>-27</v>
      </c>
      <c r="J76" s="43" t="s">
        <v>207</v>
      </c>
    </row>
    <row r="77" spans="2:10" ht="15" customHeight="1" x14ac:dyDescent="0.35">
      <c r="B77" s="40" t="s">
        <v>208</v>
      </c>
      <c r="C77" s="41" t="s">
        <v>204</v>
      </c>
      <c r="F77" s="42">
        <f>'Reported Financials'!F107</f>
        <v>2</v>
      </c>
      <c r="G77" s="42">
        <f>'Reported Financials'!G107</f>
        <v>-47</v>
      </c>
      <c r="H77" s="42">
        <f>'Reported Financials'!H107</f>
        <v>-38</v>
      </c>
      <c r="J77" s="43" t="s">
        <v>209</v>
      </c>
    </row>
    <row r="78" spans="2:10" ht="15" customHeight="1" x14ac:dyDescent="0.35">
      <c r="B78" s="46" t="s">
        <v>210</v>
      </c>
      <c r="C78" s="54" t="s">
        <v>204</v>
      </c>
      <c r="D78" s="47"/>
      <c r="E78" s="47"/>
      <c r="F78" s="48">
        <f>F75+F76+F77</f>
        <v>-171</v>
      </c>
      <c r="G78" s="48">
        <f>G75+G76+G77</f>
        <v>-388</v>
      </c>
      <c r="H78" s="48">
        <f>H75+H76+H77</f>
        <v>-450</v>
      </c>
    </row>
    <row r="79" spans="2:10" ht="15" customHeight="1" x14ac:dyDescent="0.35">
      <c r="B79" s="44" t="s">
        <v>211</v>
      </c>
      <c r="F79" s="45">
        <f>-F78/F73</f>
        <v>0.22265625</v>
      </c>
      <c r="G79" s="45">
        <f>-G78/G73</f>
        <v>0.27974044700793077</v>
      </c>
      <c r="H79" s="45">
        <f>-H78/H73</f>
        <v>0.36407766990291263</v>
      </c>
    </row>
    <row r="81" spans="2:10" ht="15" customHeight="1" x14ac:dyDescent="0.35">
      <c r="B81" s="50" t="s">
        <v>212</v>
      </c>
      <c r="C81" s="51"/>
      <c r="D81" s="51"/>
      <c r="E81" s="51"/>
      <c r="F81" s="52">
        <f>F73+F78</f>
        <v>597</v>
      </c>
      <c r="G81" s="52">
        <f>G73+G78</f>
        <v>999</v>
      </c>
      <c r="H81" s="52">
        <f>H73+H78</f>
        <v>786</v>
      </c>
      <c r="J81" s="43" t="s">
        <v>213</v>
      </c>
    </row>
    <row r="82" spans="2:10" ht="15" customHeight="1" x14ac:dyDescent="0.35">
      <c r="B82" s="40" t="s">
        <v>214</v>
      </c>
      <c r="F82" s="42">
        <f>'Reported Financials'!F121</f>
        <v>39</v>
      </c>
      <c r="G82" s="42">
        <f>'Reported Financials'!G121</f>
        <v>98</v>
      </c>
      <c r="H82" s="42">
        <f>'Reported Financials'!H121</f>
        <v>150</v>
      </c>
      <c r="J82" s="43" t="s">
        <v>215</v>
      </c>
    </row>
    <row r="83" spans="2:10" ht="15" customHeight="1" x14ac:dyDescent="0.35">
      <c r="B83" s="40" t="s">
        <v>216</v>
      </c>
      <c r="F83" s="49">
        <f>F81-F82</f>
        <v>558</v>
      </c>
      <c r="G83" s="49">
        <f>G81-G82</f>
        <v>901</v>
      </c>
      <c r="H83" s="49">
        <f>H81-H82</f>
        <v>636</v>
      </c>
    </row>
    <row r="85" spans="2:10" ht="15" customHeight="1" x14ac:dyDescent="0.35">
      <c r="B85" s="40" t="s">
        <v>217</v>
      </c>
      <c r="F85" s="42">
        <f>'Reported Financials'!F78</f>
        <v>586</v>
      </c>
      <c r="G85" s="42">
        <f>'Reported Financials'!G78</f>
        <v>808</v>
      </c>
      <c r="H85" s="42">
        <f>'Reported Financials'!H78</f>
        <v>835</v>
      </c>
      <c r="J85" s="43" t="s">
        <v>218</v>
      </c>
    </row>
    <row r="87" spans="2:10" ht="15" customHeight="1" x14ac:dyDescent="0.35">
      <c r="B87" s="53" t="s">
        <v>219</v>
      </c>
      <c r="C87" s="41" t="s">
        <v>21</v>
      </c>
      <c r="J87" s="43" t="s">
        <v>220</v>
      </c>
    </row>
    <row r="88" spans="2:10" ht="15" customHeight="1" x14ac:dyDescent="0.35">
      <c r="B88" s="40" t="s">
        <v>221</v>
      </c>
      <c r="C88" s="41" t="s">
        <v>21</v>
      </c>
      <c r="F88" s="49">
        <f>'Reported Financials'!F23</f>
        <v>53</v>
      </c>
      <c r="G88" s="49">
        <f>'Reported Financials'!G23</f>
        <v>55</v>
      </c>
      <c r="H88" s="49">
        <f>'Reported Financials'!H23</f>
        <v>44</v>
      </c>
      <c r="J88" s="43" t="str">
        <f>IF(OR(AND(F88&gt;0,G88&gt;0,H88&gt;0),AND(F88&lt;0,G88&lt;0,H88&lt;0)),"Recurring: same sign in all 3 years → stays in [A]/[B]","Unusual: not present with the same sign in all 3 years → R9")&amp;""</f>
        <v>Recurring: same sign in all 3 years → stays in [A]/[B]</v>
      </c>
    </row>
    <row r="89" spans="2:10" ht="15" customHeight="1" x14ac:dyDescent="0.35">
      <c r="B89" s="40" t="s">
        <v>222</v>
      </c>
      <c r="C89" s="41" t="s">
        <v>21</v>
      </c>
      <c r="F89" s="49">
        <f>'Reported Financials'!F26+'Reported Financials'!F61</f>
        <v>-8</v>
      </c>
      <c r="G89" s="49">
        <f>'Reported Financials'!G26+'Reported Financials'!G61</f>
        <v>-19</v>
      </c>
      <c r="H89" s="49">
        <f>'Reported Financials'!H26+'Reported Financials'!H61</f>
        <v>-8</v>
      </c>
      <c r="J89" s="43" t="str">
        <f>IF(OR(AND(F89&gt;0,G89&gt;0,H89&gt;0),AND(F89&lt;0,G89&lt;0,H89&lt;0)),"Recurring: same sign in all 3 years → stays in [A]/[B]","Unusual: not present with the same sign in all 3 years → R9")&amp;""</f>
        <v>Recurring: same sign in all 3 years → stays in [A]/[B]</v>
      </c>
    </row>
    <row r="90" spans="2:10" ht="15" customHeight="1" x14ac:dyDescent="0.35">
      <c r="B90" s="40" t="s">
        <v>223</v>
      </c>
      <c r="C90" s="41" t="s">
        <v>21</v>
      </c>
      <c r="F90" s="49">
        <f>'Reported Financials'!F57</f>
        <v>-7</v>
      </c>
      <c r="G90" s="49">
        <f>'Reported Financials'!G57</f>
        <v>-2</v>
      </c>
      <c r="H90" s="49">
        <f>'Reported Financials'!H57</f>
        <v>-33</v>
      </c>
      <c r="J90" s="43" t="str">
        <f>IF(OR(AND(F90&gt;0,G90&gt;0,H90&gt;0),AND(F90&lt;0,G90&lt;0,H90&lt;0)),"Recurring: same sign in all 3 years → stays in [A]/[B]","Unusual: not present with the same sign in all 3 years → R9")&amp;" 2025 jump flagged in the trend analysis"</f>
        <v>Recurring: same sign in all 3 years → stays in [A]/[B] 2025 jump flagged in the trend analysis</v>
      </c>
    </row>
    <row r="91" spans="2:10" ht="15" customHeight="1" x14ac:dyDescent="0.35">
      <c r="B91" s="40" t="s">
        <v>224</v>
      </c>
      <c r="C91" s="41" t="s">
        <v>21</v>
      </c>
      <c r="F91" s="49">
        <f>'Reported Financials'!F86+'Reported Financials'!F27</f>
        <v>-4</v>
      </c>
      <c r="G91" s="49">
        <f>'Reported Financials'!G86+'Reported Financials'!G27</f>
        <v>2</v>
      </c>
      <c r="H91" s="49">
        <f>'Reported Financials'!H86+'Reported Financials'!H27</f>
        <v>-17</v>
      </c>
      <c r="J91" s="43" t="str">
        <f>IF(OR(AND(F91&gt;0,G91&gt;0,H91&gt;0),AND(F91&lt;0,G91&lt;0,H91&lt;0)),"Recurring: same sign in all 3 years → stays in [A]/[B]","Unusual: not present with the same sign in all 3 years → R9")&amp;""</f>
        <v>Unusual: not present with the same sign in all 3 years → R9</v>
      </c>
    </row>
    <row r="92" spans="2:10" ht="15" customHeight="1" x14ac:dyDescent="0.35">
      <c r="B92" s="40" t="s">
        <v>225</v>
      </c>
      <c r="C92" s="41" t="s">
        <v>21</v>
      </c>
      <c r="F92" s="49">
        <f>'Reported Financials'!F93</f>
        <v>3</v>
      </c>
      <c r="G92" s="49">
        <f>'Reported Financials'!G93</f>
        <v>-1</v>
      </c>
      <c r="H92" s="49">
        <f>'Reported Financials'!H93</f>
        <v>-11</v>
      </c>
      <c r="J92" s="43" t="str">
        <f>IF(OR(AND(F92&gt;0,G92&gt;0,H92&gt;0),AND(F92&lt;0,G92&lt;0,H92&lt;0)),"Recurring: same sign in all 3 years → stays in [A]/[B]","Unusual: not present with the same sign in all 3 years → R9")&amp;""</f>
        <v>Unusual: not present with the same sign in all 3 years → R9</v>
      </c>
    </row>
    <row r="93" spans="2:10" ht="15" customHeight="1" x14ac:dyDescent="0.35">
      <c r="B93" s="40" t="s">
        <v>226</v>
      </c>
      <c r="C93" s="41" t="s">
        <v>21</v>
      </c>
      <c r="F93" s="49">
        <f>'Reported Financials'!F96</f>
        <v>-1</v>
      </c>
      <c r="G93" s="49">
        <f>'Reported Financials'!G96</f>
        <v>-2</v>
      </c>
      <c r="H93" s="49">
        <f>'Reported Financials'!H96</f>
        <v>-7</v>
      </c>
      <c r="J93" s="43" t="s">
        <v>227</v>
      </c>
    </row>
    <row r="94" spans="2:10" ht="15" customHeight="1" x14ac:dyDescent="0.35">
      <c r="B94" s="40" t="s">
        <v>228</v>
      </c>
      <c r="C94" s="41" t="s">
        <v>21</v>
      </c>
      <c r="F94" s="49">
        <f>'Reported Financials'!F97</f>
        <v>-6</v>
      </c>
      <c r="G94" s="49">
        <f>'Reported Financials'!G97</f>
        <v>11</v>
      </c>
      <c r="H94" s="49">
        <f>'Reported Financials'!H97</f>
        <v>-1</v>
      </c>
      <c r="J94" s="43" t="str">
        <f>IF(OR(AND(F94&gt;0,G94&gt;0,H94&gt;0),AND(F94&lt;0,G94&lt;0,H94&lt;0)),"Recurring: same sign in all 3 years → stays in [A]/[B]","Unusual: not present with the same sign in all 3 years → R9")&amp;" — but line and content not disclosed: cannot be moved; logged (I-26)"</f>
        <v>Unusual: not present with the same sign in all 3 years → R9 — but line and content not disclosed: cannot be moved; logged (I-26)</v>
      </c>
    </row>
    <row r="96" spans="2:10" ht="15" customHeight="1" x14ac:dyDescent="0.35">
      <c r="B96" s="53" t="s">
        <v>229</v>
      </c>
      <c r="C96" s="41" t="s">
        <v>230</v>
      </c>
      <c r="J96" s="43" t="s">
        <v>231</v>
      </c>
    </row>
    <row r="97" spans="1:10" ht="15" customHeight="1" x14ac:dyDescent="0.35">
      <c r="B97" s="44" t="s">
        <v>232</v>
      </c>
      <c r="C97" s="41" t="s">
        <v>230</v>
      </c>
      <c r="G97" s="45">
        <f>G12/F12-1</f>
        <v>7.5111482720178424E-2</v>
      </c>
      <c r="H97" s="45">
        <f>H12/G12-1</f>
        <v>0.28775113415424491</v>
      </c>
      <c r="J97" s="43" t="str">
        <f>"CAGR 2023–25: "&amp;TEXT((H12/F12)^(1/2)-1,"0.0%")&amp;"   |   % of net revenues: "&amp;TEXT(F12/F12,"0.0%")&amp;" → "&amp;TEXT(G12/G12,"0.0%")&amp;" → "&amp;TEXT(H12/H12,"0.0%")</f>
        <v>CAGR 2023–25: 17.7%   |   % of net revenues: 100.0% → 100.0% → 100.0%</v>
      </c>
    </row>
    <row r="98" spans="1:10" ht="15" customHeight="1" x14ac:dyDescent="0.35">
      <c r="B98" s="44" t="s">
        <v>233</v>
      </c>
      <c r="C98" s="41" t="s">
        <v>230</v>
      </c>
      <c r="G98" s="45">
        <f>G16/F16-1</f>
        <v>-3.1758130081300795E-3</v>
      </c>
      <c r="H98" s="45">
        <f>H16/G16-1</f>
        <v>0.33248375175226208</v>
      </c>
      <c r="J98" s="43" t="str">
        <f>"CAGR 2023–25: "&amp;TEXT((H16/F16)^(1/2)-1,"0.0%")&amp;"   |   % of net revenues: "&amp;TEXT(F16/F12,"0.0%")&amp;" → "&amp;TEXT(G16/G12,"0.0%")&amp;" → "&amp;TEXT(H16/H12,"0.0%")</f>
        <v>CAGR 2023–25: 15.2%   |   % of net revenues: 109.7% → 101.7% → 105.2%</v>
      </c>
    </row>
    <row r="99" spans="1:10" ht="15" customHeight="1" x14ac:dyDescent="0.35">
      <c r="B99" s="44" t="s">
        <v>234</v>
      </c>
      <c r="C99" s="41" t="s">
        <v>230</v>
      </c>
      <c r="G99" s="45">
        <f t="shared" ref="G99:H101" si="0">G18/F18-1</f>
        <v>-0.15539368713146029</v>
      </c>
      <c r="H99" s="45">
        <f t="shared" si="0"/>
        <v>0.55400410677618073</v>
      </c>
      <c r="J99" s="43" t="str">
        <f>"CAGR 2023–25: "&amp;TEXT((H18/F18)^(1/2)-1,"0.0%")&amp;"   |   % of net revenues: "&amp;TEXT(F18/F12,"0.0%")&amp;" → "&amp;TEXT(G18/G12,"0.0%")&amp;" → "&amp;TEXT(H18/H12,"0.0%")</f>
        <v>CAGR 2023–25: 14.6%   |   % of net revenues: -40.2% → -31.6% → -38.1%</v>
      </c>
    </row>
    <row r="100" spans="1:10" ht="15" customHeight="1" x14ac:dyDescent="0.35">
      <c r="B100" s="44" t="s">
        <v>235</v>
      </c>
      <c r="C100" s="41" t="s">
        <v>230</v>
      </c>
      <c r="G100" s="45">
        <f t="shared" si="0"/>
        <v>0.19468186134852794</v>
      </c>
      <c r="H100" s="45">
        <f t="shared" si="0"/>
        <v>0.16772655007949133</v>
      </c>
      <c r="J100" s="43" t="str">
        <f>"CAGR 2023–25: "&amp;TEXT((H19/F19)^(1/2)-1,"0.0%")&amp;"   |   % of net revenues: "&amp;TEXT(F19/F12,"0.0%")&amp;" → "&amp;TEXT(G19/G12,"0.0%")&amp;" → "&amp;TEXT(H19/H12,"0.0%")</f>
        <v>CAGR 2023–25: 18.1%   |   % of net revenues: -14.7% → -16.3% → -14.8%</v>
      </c>
    </row>
    <row r="101" spans="1:10" ht="15" customHeight="1" x14ac:dyDescent="0.35">
      <c r="B101" s="44" t="s">
        <v>236</v>
      </c>
      <c r="C101" s="41" t="s">
        <v>230</v>
      </c>
      <c r="G101" s="45">
        <f t="shared" si="0"/>
        <v>-4.2979942693409656E-3</v>
      </c>
      <c r="H101" s="45">
        <f t="shared" si="0"/>
        <v>0.19999999999999996</v>
      </c>
      <c r="J101" s="43" t="str">
        <f>"CAGR 2023–25: "&amp;TEXT((H20/F20)^(1/2)-1,"0.0%")&amp;"   |   % of net revenues: "&amp;TEXT(F20/F12,"0.0%")&amp;" → "&amp;TEXT(G20/G12,"0.0%")&amp;" → "&amp;TEXT(H20/H12,"0.0%")</f>
        <v>CAGR 2023–25: 9.3%   |   % of net revenues: -9.7% → -9.0% → -8.4%</v>
      </c>
    </row>
    <row r="102" spans="1:10" ht="15" customHeight="1" x14ac:dyDescent="0.35">
      <c r="B102" s="44" t="s">
        <v>237</v>
      </c>
      <c r="C102" s="41" t="s">
        <v>230</v>
      </c>
      <c r="G102" s="45">
        <f>G26/F26-1</f>
        <v>-2.5641025641025661E-2</v>
      </c>
      <c r="H102" s="45">
        <f>H26/G26-1</f>
        <v>0.58771929824561409</v>
      </c>
      <c r="J102" s="43" t="str">
        <f>"CAGR 2023–25: "&amp;TEXT((H26/F26)^(1/2)-1,"0.0%")&amp;"   |   % of net revenues: "&amp;TEXT(F26/F12,"0.0%")&amp;" → "&amp;TEXT(G26/G12,"0.0%")&amp;" → "&amp;TEXT(H26/H12,"0.0%")</f>
        <v>CAGR 2023–25: 24.4%   |   % of net revenues: -1.6% → -1.5% → -1.8%</v>
      </c>
    </row>
    <row r="103" spans="1:10" ht="15" customHeight="1" x14ac:dyDescent="0.35">
      <c r="B103" s="44" t="s">
        <v>238</v>
      </c>
      <c r="C103" s="41" t="s">
        <v>230</v>
      </c>
      <c r="G103" s="45">
        <f>G25/F25-1</f>
        <v>0.16556291390728473</v>
      </c>
      <c r="H103" s="45">
        <f>H25/G25-1</f>
        <v>0</v>
      </c>
      <c r="J103" s="43" t="str">
        <f>"CAGR 2023–25: "&amp;TEXT((H25/F25)^(1/2)-1,"0.0%")&amp;"   |   % of net revenues: "&amp;TEXT(F25/F12,"0.0%")&amp;" → "&amp;TEXT(G25/G12,"0.0%")&amp;" → "&amp;TEXT(H25/H12,"0.0%")</f>
        <v>CAGR 2023–25: 8.0%   |   % of net revenues: 2.1% → 2.3% → 1.8%</v>
      </c>
    </row>
    <row r="104" spans="1:10" ht="15" customHeight="1" x14ac:dyDescent="0.35">
      <c r="B104" s="44" t="s">
        <v>239</v>
      </c>
      <c r="C104" s="41" t="s">
        <v>230</v>
      </c>
      <c r="G104" s="45">
        <f>G28/F28-1</f>
        <v>-9.9706744868035213E-2</v>
      </c>
      <c r="H104" s="45">
        <f>H28/G28-1</f>
        <v>0.2524429967426709</v>
      </c>
      <c r="J104" s="43" t="str">
        <f>"CAGR 2023–25: "&amp;TEXT((H28/F28)^(1/2)-1,"0.0%")&amp;"   |   % of net revenues: "&amp;TEXT(F28/F12,"0.0%")&amp;" → "&amp;TEXT(G28/G12,"0.0%")&amp;" → "&amp;TEXT(H28/H12,"0.0%")</f>
        <v>CAGR 2023–25: 6.2%   |   % of net revenues: -28.5% → -23.9% → -23.2%</v>
      </c>
    </row>
    <row r="105" spans="1:10" ht="15" customHeight="1" x14ac:dyDescent="0.35">
      <c r="B105" s="44" t="s">
        <v>240</v>
      </c>
      <c r="C105" s="41" t="s">
        <v>230</v>
      </c>
      <c r="G105" s="45">
        <f>G34/F34-1</f>
        <v>-5.9602649006622488E-2</v>
      </c>
      <c r="H105" s="45">
        <f>H34/G34-1</f>
        <v>0.36971830985915499</v>
      </c>
      <c r="J105" s="43" t="str">
        <f>"CAGR 2023–25: "&amp;TEXT((H34/F34)^(1/2)-1,"0.0%")&amp;"   |   % of net revenues: "&amp;TEXT(F34/F12,"0.0%")&amp;" → "&amp;TEXT(G34/G12,"0.0%")&amp;" → "&amp;TEXT(H34/H12,"0.0%")</f>
        <v>CAGR 2023–25: 13.5%   |   % of net revenues: -4.2% → -3.7% → -3.9%</v>
      </c>
    </row>
    <row r="106" spans="1:10" ht="15" customHeight="1" x14ac:dyDescent="0.35">
      <c r="B106" s="44" t="s">
        <v>241</v>
      </c>
      <c r="C106" s="41" t="s">
        <v>230</v>
      </c>
      <c r="G106" s="45">
        <f>G30/F30-1</f>
        <v>0.38941890719861227</v>
      </c>
      <c r="H106" s="45">
        <f>H30/G30-1</f>
        <v>0.22347066167290897</v>
      </c>
      <c r="J106" s="43" t="str">
        <f>"CAGR 2023–25: "&amp;TEXT((H30/F30)^(1/2)-1,"0.0%")&amp;"   |   % of net revenues: "&amp;TEXT(F30/F12,"0.0%")&amp;" → "&amp;TEXT(G30/G12,"0.0%")&amp;" → "&amp;TEXT(H30/H12,"0.0%")</f>
        <v>CAGR 2023–25: 30.4%   |   % of net revenues: 16.1% → 20.8% → 19.7%</v>
      </c>
    </row>
    <row r="107" spans="1:10" ht="15" customHeight="1" x14ac:dyDescent="0.35">
      <c r="B107" s="44" t="s">
        <v>242</v>
      </c>
      <c r="C107" s="41" t="s">
        <v>230</v>
      </c>
      <c r="G107" s="45">
        <f>G36/F36-1</f>
        <v>0.55291319857312726</v>
      </c>
      <c r="H107" s="45">
        <f>H36/G36-1</f>
        <v>0.1990811638591119</v>
      </c>
      <c r="J107" s="43" t="str">
        <f>"CAGR 2023–25: "&amp;TEXT((H36/F36)^(1/2)-1,"0.0%")&amp;"   |   % of net revenues: "&amp;TEXT(F36/F12,"0.0%")&amp;" → "&amp;TEXT(G36/G12,"0.0%")&amp;" → "&amp;TEXT(H36/H12,"0.0%")</f>
        <v>CAGR 2023–25: 36.5%   |   % of net revenues: 11.7% → 16.9% → 15.8%</v>
      </c>
    </row>
    <row r="108" spans="1:10" ht="15" customHeight="1" x14ac:dyDescent="0.35">
      <c r="B108" s="44" t="s">
        <v>243</v>
      </c>
      <c r="C108" s="41" t="s">
        <v>230</v>
      </c>
      <c r="G108" s="45">
        <f>G12/(F12-'Reported Financials'!F94)-1</f>
        <v>0.51422963689892054</v>
      </c>
      <c r="J108" s="43" t="s">
        <v>244</v>
      </c>
    </row>
    <row r="109" spans="1:10" ht="15" customHeight="1" x14ac:dyDescent="0.35">
      <c r="B109" s="44" t="s">
        <v>245</v>
      </c>
      <c r="C109" s="41" t="s">
        <v>230</v>
      </c>
      <c r="F109" s="45">
        <f>-'Reported Financials'!F108/F12</f>
        <v>3.02396878483835E-2</v>
      </c>
      <c r="G109" s="45">
        <f>-'Reported Financials'!G108/G12</f>
        <v>1.2832145171743357E-2</v>
      </c>
      <c r="H109" s="45">
        <f>-'Reported Financials'!H108/H12</f>
        <v>1.0568696527428284E-2</v>
      </c>
      <c r="J109" s="43" t="s">
        <v>246</v>
      </c>
    </row>
    <row r="110" spans="1:10" ht="15" customHeight="1" x14ac:dyDescent="0.35">
      <c r="B110" s="55" t="s">
        <v>247</v>
      </c>
      <c r="C110" s="41" t="s">
        <v>230</v>
      </c>
    </row>
    <row r="112" spans="1:10" ht="15" customHeight="1" x14ac:dyDescent="0.35">
      <c r="A112" s="38" t="s">
        <v>5</v>
      </c>
      <c r="B112" s="39" t="s">
        <v>248</v>
      </c>
      <c r="C112" s="27"/>
      <c r="D112" s="27"/>
      <c r="E112" s="27"/>
      <c r="F112" s="27"/>
      <c r="G112" s="27"/>
      <c r="H112" s="27"/>
      <c r="I112" s="15"/>
      <c r="J112" s="15"/>
    </row>
    <row r="114" spans="2:10" ht="15" customHeight="1" x14ac:dyDescent="0.35">
      <c r="B114" s="53" t="s">
        <v>249</v>
      </c>
      <c r="C114" s="41" t="s">
        <v>250</v>
      </c>
      <c r="J114" s="43" t="s">
        <v>251</v>
      </c>
    </row>
    <row r="115" spans="2:10" ht="15" customHeight="1" x14ac:dyDescent="0.35">
      <c r="B115" s="40" t="s">
        <v>252</v>
      </c>
      <c r="C115" s="41" t="s">
        <v>250</v>
      </c>
      <c r="F115" s="49">
        <f>F12</f>
        <v>7176</v>
      </c>
      <c r="G115" s="49">
        <f>G12</f>
        <v>7715</v>
      </c>
      <c r="H115" s="49">
        <f>H12</f>
        <v>9935</v>
      </c>
    </row>
    <row r="116" spans="2:10" ht="15" customHeight="1" x14ac:dyDescent="0.35">
      <c r="B116" s="40" t="s">
        <v>253</v>
      </c>
      <c r="C116" s="41" t="s">
        <v>250</v>
      </c>
      <c r="F116" s="56" t="s">
        <v>254</v>
      </c>
      <c r="G116" s="56" t="s">
        <v>254</v>
      </c>
      <c r="H116" s="56" t="s">
        <v>254</v>
      </c>
      <c r="J116" s="55" t="s">
        <v>255</v>
      </c>
    </row>
    <row r="117" spans="2:10" ht="15" customHeight="1" x14ac:dyDescent="0.35">
      <c r="B117" s="40" t="s">
        <v>256</v>
      </c>
      <c r="C117" s="41" t="s">
        <v>250</v>
      </c>
      <c r="F117" s="56" t="s">
        <v>254</v>
      </c>
      <c r="G117" s="56" t="s">
        <v>254</v>
      </c>
      <c r="H117" s="56" t="s">
        <v>254</v>
      </c>
    </row>
    <row r="118" spans="2:10" ht="15" customHeight="1" x14ac:dyDescent="0.35">
      <c r="B118" s="40" t="s">
        <v>257</v>
      </c>
      <c r="C118" s="41" t="s">
        <v>250</v>
      </c>
      <c r="F118" s="56" t="s">
        <v>254</v>
      </c>
      <c r="G118" s="56" t="s">
        <v>254</v>
      </c>
      <c r="H118" s="56" t="s">
        <v>254</v>
      </c>
    </row>
    <row r="119" spans="2:10" ht="15" customHeight="1" x14ac:dyDescent="0.35">
      <c r="B119" s="40" t="s">
        <v>258</v>
      </c>
      <c r="C119" s="41" t="s">
        <v>250</v>
      </c>
      <c r="F119" s="56" t="s">
        <v>254</v>
      </c>
      <c r="G119" s="56" t="s">
        <v>254</v>
      </c>
      <c r="H119" s="56" t="s">
        <v>254</v>
      </c>
    </row>
    <row r="120" spans="2:10" ht="15" customHeight="1" x14ac:dyDescent="0.35">
      <c r="B120" s="40" t="s">
        <v>259</v>
      </c>
      <c r="C120" s="41" t="s">
        <v>250</v>
      </c>
      <c r="F120" s="56" t="s">
        <v>254</v>
      </c>
      <c r="G120" s="56" t="s">
        <v>254</v>
      </c>
      <c r="H120" s="56" t="s">
        <v>254</v>
      </c>
    </row>
    <row r="121" spans="2:10" ht="15" customHeight="1" x14ac:dyDescent="0.35">
      <c r="B121" s="53" t="s">
        <v>260</v>
      </c>
      <c r="C121" s="41" t="s">
        <v>250</v>
      </c>
    </row>
    <row r="122" spans="2:10" ht="15" customHeight="1" x14ac:dyDescent="0.35">
      <c r="B122" s="40" t="s">
        <v>261</v>
      </c>
      <c r="C122" s="41" t="s">
        <v>250</v>
      </c>
      <c r="J122" s="43" t="s">
        <v>262</v>
      </c>
    </row>
    <row r="123" spans="2:10" ht="15" customHeight="1" x14ac:dyDescent="0.35">
      <c r="B123" s="40" t="s">
        <v>263</v>
      </c>
      <c r="C123" s="41" t="s">
        <v>250</v>
      </c>
      <c r="J123" s="43" t="s">
        <v>264</v>
      </c>
    </row>
    <row r="124" spans="2:10" ht="15" customHeight="1" x14ac:dyDescent="0.35">
      <c r="B124" s="40" t="s">
        <v>265</v>
      </c>
      <c r="C124" s="41" t="s">
        <v>250</v>
      </c>
      <c r="J124" s="43" t="s">
        <v>266</v>
      </c>
    </row>
    <row r="125" spans="2:10" ht="15" customHeight="1" x14ac:dyDescent="0.35">
      <c r="B125" s="40" t="s">
        <v>267</v>
      </c>
      <c r="C125" s="41" t="s">
        <v>250</v>
      </c>
      <c r="J125" s="43" t="s">
        <v>268</v>
      </c>
    </row>
    <row r="126" spans="2:10" ht="15" customHeight="1" x14ac:dyDescent="0.35">
      <c r="B126" s="40" t="s">
        <v>269</v>
      </c>
      <c r="C126" s="41" t="s">
        <v>250</v>
      </c>
      <c r="J126" s="43" t="s">
        <v>270</v>
      </c>
    </row>
    <row r="127" spans="2:10" ht="15" customHeight="1" x14ac:dyDescent="0.35">
      <c r="B127" s="40" t="s">
        <v>271</v>
      </c>
      <c r="C127" s="41" t="s">
        <v>250</v>
      </c>
      <c r="J127" s="43" t="s">
        <v>272</v>
      </c>
    </row>
    <row r="128" spans="2:10" ht="15" customHeight="1" x14ac:dyDescent="0.35">
      <c r="B128" s="40" t="s">
        <v>273</v>
      </c>
      <c r="C128" s="41" t="s">
        <v>250</v>
      </c>
      <c r="J128" s="43" t="s">
        <v>274</v>
      </c>
    </row>
    <row r="129" spans="2:10" ht="15" customHeight="1" x14ac:dyDescent="0.35">
      <c r="B129" s="40" t="s">
        <v>275</v>
      </c>
      <c r="C129" s="41" t="s">
        <v>250</v>
      </c>
      <c r="F129" s="42">
        <f>'Reported Financials'!F108</f>
        <v>-217</v>
      </c>
      <c r="G129" s="42">
        <f>'Reported Financials'!G108</f>
        <v>-99</v>
      </c>
      <c r="H129" s="42">
        <f>'Reported Financials'!H108</f>
        <v>-105</v>
      </c>
      <c r="J129" s="43" t="s">
        <v>276</v>
      </c>
    </row>
    <row r="130" spans="2:10" ht="15" customHeight="1" x14ac:dyDescent="0.35">
      <c r="B130" s="44" t="s">
        <v>277</v>
      </c>
      <c r="F130" s="45">
        <f>-F129/F12</f>
        <v>3.02396878483835E-2</v>
      </c>
      <c r="G130" s="45">
        <f>-G129/G12</f>
        <v>1.2832145171743357E-2</v>
      </c>
      <c r="H130" s="45">
        <f>-H129/H12</f>
        <v>1.0568696527428284E-2</v>
      </c>
    </row>
    <row r="132" spans="2:10" ht="15" customHeight="1" x14ac:dyDescent="0.35">
      <c r="B132" s="53" t="s">
        <v>278</v>
      </c>
      <c r="C132" s="41" t="s">
        <v>279</v>
      </c>
      <c r="J132" s="43" t="s">
        <v>280</v>
      </c>
    </row>
    <row r="133" spans="2:10" ht="15" customHeight="1" x14ac:dyDescent="0.35">
      <c r="B133" s="44" t="s">
        <v>281</v>
      </c>
      <c r="C133" s="41" t="s">
        <v>279</v>
      </c>
      <c r="F133" s="45">
        <f>F16/F16</f>
        <v>1</v>
      </c>
      <c r="G133" s="45">
        <f>G16/G16</f>
        <v>1</v>
      </c>
      <c r="H133" s="45">
        <f>H16/H16</f>
        <v>1</v>
      </c>
    </row>
    <row r="134" spans="2:10" ht="15" customHeight="1" x14ac:dyDescent="0.35">
      <c r="B134" s="44" t="s">
        <v>282</v>
      </c>
      <c r="C134" s="41" t="s">
        <v>279</v>
      </c>
      <c r="F134" s="45">
        <f>F18/F16</f>
        <v>-0.36623475609756095</v>
      </c>
      <c r="G134" s="45">
        <f>G18/G16</f>
        <v>-0.31030967248630048</v>
      </c>
      <c r="H134" s="45">
        <f>H18/H16</f>
        <v>-0.36189747513389442</v>
      </c>
    </row>
    <row r="135" spans="2:10" ht="15" customHeight="1" x14ac:dyDescent="0.35">
      <c r="B135" s="44" t="s">
        <v>283</v>
      </c>
      <c r="C135" s="41" t="s">
        <v>279</v>
      </c>
      <c r="F135" s="45">
        <f>F19/F16</f>
        <v>-0.13376524390243902</v>
      </c>
      <c r="G135" s="45">
        <f>G19/G16</f>
        <v>-0.16031604434815852</v>
      </c>
      <c r="H135" s="45">
        <f>H19/H16</f>
        <v>-0.14049349655700077</v>
      </c>
    </row>
    <row r="136" spans="2:10" ht="15" customHeight="1" x14ac:dyDescent="0.35">
      <c r="B136" s="44" t="s">
        <v>284</v>
      </c>
      <c r="C136" s="41" t="s">
        <v>279</v>
      </c>
      <c r="F136" s="45">
        <f>F20/F16</f>
        <v>-8.866869918699187E-2</v>
      </c>
      <c r="G136" s="45">
        <f>G20/G16</f>
        <v>-8.8568879826685362E-2</v>
      </c>
      <c r="H136" s="45">
        <f>H20/H16</f>
        <v>-7.9762815608263204E-2</v>
      </c>
    </row>
    <row r="137" spans="2:10" ht="15" customHeight="1" x14ac:dyDescent="0.35">
      <c r="B137" s="44" t="s">
        <v>285</v>
      </c>
      <c r="C137" s="41" t="s">
        <v>279</v>
      </c>
      <c r="F137" s="45">
        <f>F21/F16</f>
        <v>1.2703252032520327E-4</v>
      </c>
      <c r="G137" s="45">
        <f>G21/G16</f>
        <v>0</v>
      </c>
      <c r="H137" s="45">
        <f>H21/H16</f>
        <v>9.5638867635807189E-5</v>
      </c>
    </row>
    <row r="138" spans="2:10" ht="15" customHeight="1" x14ac:dyDescent="0.35">
      <c r="B138" s="44" t="s">
        <v>286</v>
      </c>
      <c r="C138" s="41" t="s">
        <v>279</v>
      </c>
      <c r="F138" s="45">
        <f>F22/F16</f>
        <v>0.41145833333333331</v>
      </c>
      <c r="G138" s="45">
        <f>G22/G16</f>
        <v>0.44080540333885559</v>
      </c>
      <c r="H138" s="45">
        <f>H22/H16</f>
        <v>0.41794185156847741</v>
      </c>
    </row>
    <row r="139" spans="2:10" ht="15" customHeight="1" x14ac:dyDescent="0.35">
      <c r="B139" s="44" t="s">
        <v>287</v>
      </c>
      <c r="C139" s="41" t="s">
        <v>279</v>
      </c>
      <c r="F139" s="45">
        <f>F25/F16</f>
        <v>1.918191056910569E-2</v>
      </c>
      <c r="G139" s="45">
        <f>G25/G16</f>
        <v>2.2428953740282909E-2</v>
      </c>
      <c r="H139" s="45">
        <f>H25/H16</f>
        <v>1.6832440703902066E-2</v>
      </c>
    </row>
    <row r="140" spans="2:10" ht="15" customHeight="1" x14ac:dyDescent="0.35">
      <c r="B140" s="44" t="s">
        <v>288</v>
      </c>
      <c r="C140" s="41" t="s">
        <v>279</v>
      </c>
      <c r="F140" s="45">
        <f>F26/F16</f>
        <v>-1.486280487804878E-2</v>
      </c>
      <c r="G140" s="45">
        <f>G26/G16</f>
        <v>-1.4527845036319613E-2</v>
      </c>
      <c r="H140" s="45">
        <f>H26/H16</f>
        <v>-1.73106350420811E-2</v>
      </c>
    </row>
    <row r="141" spans="2:10" ht="15" customHeight="1" x14ac:dyDescent="0.35">
      <c r="B141" s="44" t="s">
        <v>289</v>
      </c>
      <c r="C141" s="41" t="s">
        <v>279</v>
      </c>
      <c r="F141" s="45">
        <f>F27/F16</f>
        <v>0</v>
      </c>
      <c r="G141" s="45">
        <f>G27/G16</f>
        <v>-1.2743723716069835E-4</v>
      </c>
      <c r="H141" s="45">
        <f>H27/H16</f>
        <v>-9.5638867635807189E-5</v>
      </c>
    </row>
    <row r="142" spans="2:10" ht="15" customHeight="1" x14ac:dyDescent="0.35">
      <c r="B142" s="44" t="s">
        <v>290</v>
      </c>
      <c r="C142" s="41" t="s">
        <v>279</v>
      </c>
      <c r="F142" s="45">
        <f>F28/F16</f>
        <v>-0.25990853658536583</v>
      </c>
      <c r="G142" s="45">
        <f>G28/G16</f>
        <v>-0.23473939085000636</v>
      </c>
      <c r="H142" s="45">
        <f>H28/H16</f>
        <v>-0.2206388676358072</v>
      </c>
    </row>
    <row r="143" spans="2:10" ht="15" customHeight="1" x14ac:dyDescent="0.35">
      <c r="B143" s="44" t="s">
        <v>291</v>
      </c>
      <c r="C143" s="41" t="s">
        <v>279</v>
      </c>
      <c r="F143" s="45">
        <f>F29/F16</f>
        <v>-9.4004065040650415E-3</v>
      </c>
      <c r="G143" s="45">
        <f>G29/G16</f>
        <v>-9.6852300242130755E-3</v>
      </c>
      <c r="H143" s="45">
        <f>H29/H16</f>
        <v>-9.2769701606732983E-3</v>
      </c>
    </row>
    <row r="144" spans="2:10" ht="15" customHeight="1" x14ac:dyDescent="0.35">
      <c r="B144" s="44" t="s">
        <v>292</v>
      </c>
      <c r="C144" s="41" t="s">
        <v>279</v>
      </c>
      <c r="F144" s="45">
        <f>F30/F16</f>
        <v>0.14646849593495934</v>
      </c>
      <c r="G144" s="45">
        <f>G30/G16</f>
        <v>0.20415445393143877</v>
      </c>
      <c r="H144" s="45">
        <f>H30/H16</f>
        <v>0.1874521805661821</v>
      </c>
    </row>
    <row r="145" spans="2:10" ht="15" customHeight="1" x14ac:dyDescent="0.35">
      <c r="B145" s="44" t="s">
        <v>293</v>
      </c>
      <c r="C145" s="41" t="s">
        <v>279</v>
      </c>
      <c r="F145" s="45">
        <f>F33/F16</f>
        <v>-1.2703252032520325E-3</v>
      </c>
      <c r="G145" s="45">
        <f>G33/G16</f>
        <v>-1.5292468459283802E-3</v>
      </c>
      <c r="H145" s="45">
        <f>H33/H16</f>
        <v>-4.7819433817903597E-4</v>
      </c>
    </row>
    <row r="146" spans="2:10" ht="15" customHeight="1" x14ac:dyDescent="0.35">
      <c r="B146" s="44" t="s">
        <v>294</v>
      </c>
      <c r="C146" s="41" t="s">
        <v>279</v>
      </c>
      <c r="F146" s="45">
        <f>F34/F16</f>
        <v>-3.8363821138211379E-2</v>
      </c>
      <c r="G146" s="45">
        <f>G34/G16</f>
        <v>-3.6192175353638334E-2</v>
      </c>
      <c r="H146" s="45">
        <f>H34/H16</f>
        <v>-3.7203519510328999E-2</v>
      </c>
    </row>
    <row r="147" spans="2:10" ht="15" customHeight="1" x14ac:dyDescent="0.35">
      <c r="B147" s="44" t="s">
        <v>295</v>
      </c>
      <c r="C147" s="41" t="s">
        <v>279</v>
      </c>
      <c r="F147" s="45">
        <f>F36/F16</f>
        <v>0.10683434959349593</v>
      </c>
      <c r="G147" s="45">
        <f>G36/G16</f>
        <v>0.16643303173187204</v>
      </c>
      <c r="H147" s="45">
        <f>H36/H16</f>
        <v>0.14977046671767405</v>
      </c>
    </row>
    <row r="148" spans="2:10" ht="15" customHeight="1" x14ac:dyDescent="0.35">
      <c r="B148" s="44" t="s">
        <v>296</v>
      </c>
      <c r="C148" s="41" t="s">
        <v>279</v>
      </c>
      <c r="F148" s="45">
        <f>-(F18+F19+F20)/F16</f>
        <v>0.58866869918699183</v>
      </c>
      <c r="G148" s="45">
        <f>-(G18+G19+G20)/G16</f>
        <v>0.55919459666114435</v>
      </c>
      <c r="H148" s="45">
        <f>-(H18+H19+H20)/H16</f>
        <v>0.58215378729915834</v>
      </c>
      <c r="J148" s="43" t="s">
        <v>297</v>
      </c>
    </row>
    <row r="150" spans="2:10" ht="15" customHeight="1" x14ac:dyDescent="0.35">
      <c r="B150" s="53" t="s">
        <v>298</v>
      </c>
      <c r="C150" s="41" t="s">
        <v>299</v>
      </c>
      <c r="J150" s="43" t="s">
        <v>300</v>
      </c>
    </row>
    <row r="151" spans="2:10" ht="15" customHeight="1" x14ac:dyDescent="0.35">
      <c r="B151" s="40" t="s">
        <v>252</v>
      </c>
      <c r="C151" s="41" t="s">
        <v>299</v>
      </c>
      <c r="F151" s="49">
        <f>F12</f>
        <v>7176</v>
      </c>
      <c r="G151" s="49">
        <f>G12</f>
        <v>7715</v>
      </c>
      <c r="H151" s="49">
        <f>H12</f>
        <v>9935</v>
      </c>
    </row>
    <row r="152" spans="2:10" ht="15" customHeight="1" x14ac:dyDescent="0.35">
      <c r="B152" s="40" t="s">
        <v>301</v>
      </c>
      <c r="C152" s="41" t="s">
        <v>299</v>
      </c>
      <c r="F152" s="49">
        <f t="shared" ref="F152:H153" si="1">F18</f>
        <v>-2883</v>
      </c>
      <c r="G152" s="49">
        <f t="shared" si="1"/>
        <v>-2435</v>
      </c>
      <c r="H152" s="49">
        <f t="shared" si="1"/>
        <v>-3784</v>
      </c>
      <c r="J152" s="43" t="s">
        <v>302</v>
      </c>
    </row>
    <row r="153" spans="2:10" ht="15" customHeight="1" x14ac:dyDescent="0.35">
      <c r="B153" s="40" t="s">
        <v>303</v>
      </c>
      <c r="C153" s="41" t="s">
        <v>299</v>
      </c>
      <c r="F153" s="49">
        <f t="shared" si="1"/>
        <v>-1053</v>
      </c>
      <c r="G153" s="49">
        <f t="shared" si="1"/>
        <v>-1258</v>
      </c>
      <c r="H153" s="49">
        <f t="shared" si="1"/>
        <v>-1469</v>
      </c>
      <c r="J153" s="43" t="s">
        <v>304</v>
      </c>
    </row>
    <row r="154" spans="2:10" ht="15" customHeight="1" x14ac:dyDescent="0.35">
      <c r="B154" s="40" t="s">
        <v>305</v>
      </c>
      <c r="C154" s="41" t="s">
        <v>299</v>
      </c>
      <c r="F154" s="42">
        <f>'Reported Financials'!F59</f>
        <v>-13</v>
      </c>
      <c r="G154" s="42">
        <f>'Reported Financials'!G59</f>
        <v>-15</v>
      </c>
      <c r="H154" s="42">
        <f>'Reported Financials'!H59</f>
        <v>-20</v>
      </c>
      <c r="J154" s="43" t="s">
        <v>306</v>
      </c>
    </row>
    <row r="155" spans="2:10" ht="15" customHeight="1" x14ac:dyDescent="0.35">
      <c r="B155" s="40" t="s">
        <v>307</v>
      </c>
      <c r="C155" s="41" t="s">
        <v>299</v>
      </c>
      <c r="F155" s="42">
        <f>'Reported Financials'!F60</f>
        <v>-11</v>
      </c>
      <c r="G155" s="42">
        <f>'Reported Financials'!G60</f>
        <v>-14</v>
      </c>
      <c r="H155" s="42">
        <f>'Reported Financials'!H60</f>
        <v>-10</v>
      </c>
      <c r="J155" s="43" t="s">
        <v>308</v>
      </c>
    </row>
    <row r="156" spans="2:10" ht="15" customHeight="1" x14ac:dyDescent="0.35">
      <c r="B156" s="46" t="s">
        <v>309</v>
      </c>
      <c r="C156" s="54" t="s">
        <v>299</v>
      </c>
      <c r="D156" s="47"/>
      <c r="E156" s="47"/>
      <c r="F156" s="48">
        <f>SUM(F152:F155)</f>
        <v>-3960</v>
      </c>
      <c r="G156" s="48">
        <f>SUM(G152:G155)</f>
        <v>-3722</v>
      </c>
      <c r="H156" s="48">
        <f>SUM(H152:H155)</f>
        <v>-5283</v>
      </c>
    </row>
    <row r="157" spans="2:10" ht="15" customHeight="1" x14ac:dyDescent="0.35">
      <c r="B157" s="46" t="s">
        <v>310</v>
      </c>
      <c r="C157" s="54" t="s">
        <v>299</v>
      </c>
      <c r="D157" s="47"/>
      <c r="E157" s="47"/>
      <c r="F157" s="48">
        <f>F151+F156</f>
        <v>3216</v>
      </c>
      <c r="G157" s="48">
        <f>G151+G156</f>
        <v>3993</v>
      </c>
      <c r="H157" s="48">
        <f>H151+H156</f>
        <v>4652</v>
      </c>
      <c r="J157" s="43" t="s">
        <v>311</v>
      </c>
    </row>
    <row r="158" spans="2:10" ht="15" customHeight="1" x14ac:dyDescent="0.35">
      <c r="B158" s="44" t="s">
        <v>312</v>
      </c>
      <c r="F158" s="45">
        <f>F157/F151</f>
        <v>0.44816053511705684</v>
      </c>
      <c r="G158" s="45">
        <f>G157/G151</f>
        <v>0.51756318859364869</v>
      </c>
      <c r="H158" s="45">
        <f>H157/H151</f>
        <v>0.46824358329139404</v>
      </c>
    </row>
    <row r="159" spans="2:10" ht="15" customHeight="1" x14ac:dyDescent="0.35">
      <c r="B159" s="40" t="s">
        <v>313</v>
      </c>
      <c r="C159" s="41" t="s">
        <v>299</v>
      </c>
      <c r="F159" s="49">
        <f>F28+F29</f>
        <v>-2120</v>
      </c>
      <c r="G159" s="49">
        <f>G28+G29</f>
        <v>-1918</v>
      </c>
      <c r="H159" s="49">
        <f>H28+H29</f>
        <v>-2404</v>
      </c>
      <c r="J159" s="43" t="s">
        <v>314</v>
      </c>
    </row>
    <row r="160" spans="2:10" ht="15" customHeight="1" x14ac:dyDescent="0.35">
      <c r="B160" s="40" t="s">
        <v>315</v>
      </c>
      <c r="C160" s="41" t="s">
        <v>299</v>
      </c>
      <c r="F160" s="49">
        <f>F34</f>
        <v>-302</v>
      </c>
      <c r="G160" s="49">
        <f>G34</f>
        <v>-284</v>
      </c>
      <c r="H160" s="49">
        <f>H34</f>
        <v>-389</v>
      </c>
      <c r="J160" s="43" t="s">
        <v>311</v>
      </c>
    </row>
    <row r="161" spans="2:10" ht="15" customHeight="1" x14ac:dyDescent="0.35">
      <c r="B161" s="40" t="s">
        <v>316</v>
      </c>
      <c r="C161" s="41" t="s">
        <v>299</v>
      </c>
      <c r="F161" s="49">
        <f>F20-'Reported Financials'!F60</f>
        <v>-687</v>
      </c>
      <c r="G161" s="49">
        <f>G20-'Reported Financials'!G60</f>
        <v>-681</v>
      </c>
      <c r="H161" s="49">
        <f>H20-'Reported Financials'!H60</f>
        <v>-824</v>
      </c>
      <c r="J161" s="43" t="s">
        <v>317</v>
      </c>
    </row>
    <row r="162" spans="2:10" ht="15" customHeight="1" x14ac:dyDescent="0.35">
      <c r="B162" s="40" t="s">
        <v>318</v>
      </c>
      <c r="C162" s="41" t="s">
        <v>299</v>
      </c>
      <c r="F162" s="49">
        <f>F26-'Reported Financials'!F59</f>
        <v>-104</v>
      </c>
      <c r="G162" s="49">
        <f>G26-'Reported Financials'!G59</f>
        <v>-99</v>
      </c>
      <c r="H162" s="49">
        <f>H26-'Reported Financials'!H59</f>
        <v>-161</v>
      </c>
      <c r="J162" s="43" t="s">
        <v>319</v>
      </c>
    </row>
    <row r="163" spans="2:10" ht="15" customHeight="1" x14ac:dyDescent="0.35">
      <c r="B163" s="40" t="s">
        <v>320</v>
      </c>
      <c r="C163" s="41" t="s">
        <v>299</v>
      </c>
      <c r="F163" s="49">
        <f>F33</f>
        <v>-10</v>
      </c>
      <c r="G163" s="49">
        <f>G33</f>
        <v>-12</v>
      </c>
      <c r="H163" s="49">
        <f>H33</f>
        <v>-5</v>
      </c>
    </row>
    <row r="164" spans="2:10" ht="15" customHeight="1" x14ac:dyDescent="0.35">
      <c r="B164" s="46" t="s">
        <v>321</v>
      </c>
      <c r="C164" s="54" t="s">
        <v>299</v>
      </c>
      <c r="D164" s="47"/>
      <c r="E164" s="47"/>
      <c r="F164" s="48">
        <f>SUM(F159:F163)</f>
        <v>-3223</v>
      </c>
      <c r="G164" s="48">
        <f>SUM(G159:G163)</f>
        <v>-2994</v>
      </c>
      <c r="H164" s="48">
        <f>SUM(H159:H163)</f>
        <v>-3783</v>
      </c>
    </row>
    <row r="165" spans="2:10" ht="15" customHeight="1" x14ac:dyDescent="0.35">
      <c r="B165" s="53" t="s">
        <v>322</v>
      </c>
      <c r="C165" s="41" t="s">
        <v>299</v>
      </c>
    </row>
    <row r="166" spans="2:10" ht="15" customHeight="1" x14ac:dyDescent="0.35">
      <c r="B166" s="40" t="s">
        <v>323</v>
      </c>
      <c r="C166" s="41" t="s">
        <v>299</v>
      </c>
      <c r="F166" s="49">
        <f t="shared" ref="F166:H167" si="2">F14</f>
        <v>607</v>
      </c>
      <c r="G166" s="49">
        <f t="shared" si="2"/>
        <v>6</v>
      </c>
      <c r="H166" s="49">
        <f t="shared" si="2"/>
        <v>407</v>
      </c>
      <c r="J166" s="43" t="s">
        <v>324</v>
      </c>
    </row>
    <row r="167" spans="2:10" ht="15" customHeight="1" x14ac:dyDescent="0.35">
      <c r="B167" s="40" t="s">
        <v>325</v>
      </c>
      <c r="C167" s="41" t="s">
        <v>299</v>
      </c>
      <c r="F167" s="49">
        <f t="shared" si="2"/>
        <v>89</v>
      </c>
      <c r="G167" s="49">
        <f t="shared" si="2"/>
        <v>126</v>
      </c>
      <c r="H167" s="49">
        <f t="shared" si="2"/>
        <v>114</v>
      </c>
      <c r="J167" s="43" t="s">
        <v>326</v>
      </c>
    </row>
    <row r="168" spans="2:10" ht="15" customHeight="1" x14ac:dyDescent="0.35">
      <c r="B168" s="40" t="s">
        <v>327</v>
      </c>
      <c r="C168" s="41" t="s">
        <v>299</v>
      </c>
      <c r="F168" s="49">
        <f>F25</f>
        <v>151</v>
      </c>
      <c r="G168" s="49">
        <f>G25</f>
        <v>176</v>
      </c>
      <c r="H168" s="49">
        <f>H25</f>
        <v>176</v>
      </c>
      <c r="J168" s="43" t="s">
        <v>328</v>
      </c>
    </row>
    <row r="169" spans="2:10" ht="15" customHeight="1" x14ac:dyDescent="0.35">
      <c r="B169" s="40" t="s">
        <v>329</v>
      </c>
      <c r="C169" s="41" t="s">
        <v>299</v>
      </c>
      <c r="F169" s="49">
        <f>F27+F21</f>
        <v>1</v>
      </c>
      <c r="G169" s="49">
        <f>G27+G21</f>
        <v>-1</v>
      </c>
      <c r="H169" s="49">
        <f>H27+H21</f>
        <v>0</v>
      </c>
      <c r="J169" s="43" t="s">
        <v>330</v>
      </c>
    </row>
    <row r="170" spans="2:10" ht="15" customHeight="1" x14ac:dyDescent="0.35">
      <c r="B170" s="46" t="s">
        <v>331</v>
      </c>
      <c r="C170" s="54" t="s">
        <v>299</v>
      </c>
      <c r="D170" s="47"/>
      <c r="E170" s="47"/>
      <c r="F170" s="48">
        <f>SUM(F166:F169)</f>
        <v>848</v>
      </c>
      <c r="G170" s="48">
        <f>SUM(G166:G169)</f>
        <v>307</v>
      </c>
      <c r="H170" s="48">
        <f>SUM(H166:H169)</f>
        <v>697</v>
      </c>
    </row>
    <row r="171" spans="2:10" ht="15" customHeight="1" x14ac:dyDescent="0.35">
      <c r="B171" s="46" t="s">
        <v>332</v>
      </c>
      <c r="C171" s="54" t="s">
        <v>299</v>
      </c>
      <c r="D171" s="47"/>
      <c r="E171" s="47"/>
      <c r="F171" s="48">
        <f>F157+F164+F170</f>
        <v>841</v>
      </c>
      <c r="G171" s="48">
        <f>G157+G164+G170</f>
        <v>1306</v>
      </c>
      <c r="H171" s="48">
        <f>H157+H164+H170</f>
        <v>1566</v>
      </c>
      <c r="J171" s="43" t="s">
        <v>333</v>
      </c>
    </row>
    <row r="172" spans="2:10" ht="15" customHeight="1" x14ac:dyDescent="0.35">
      <c r="B172" s="40" t="s">
        <v>334</v>
      </c>
      <c r="C172" s="41" t="s">
        <v>299</v>
      </c>
      <c r="F172" s="57">
        <f>F157/F171</f>
        <v>3.8240190249702737</v>
      </c>
      <c r="G172" s="57">
        <f>G157/G171</f>
        <v>3.0574272588055131</v>
      </c>
      <c r="H172" s="57">
        <f>H157/H171</f>
        <v>2.970625798212005</v>
      </c>
      <c r="J172" s="43" t="s">
        <v>335</v>
      </c>
    </row>
    <row r="173" spans="2:10" ht="15" customHeight="1" x14ac:dyDescent="0.35">
      <c r="B173" s="44" t="s">
        <v>336</v>
      </c>
      <c r="C173" s="41" t="s">
        <v>299</v>
      </c>
      <c r="F173" s="45">
        <f>F171/F157</f>
        <v>0.26150497512437809</v>
      </c>
      <c r="G173" s="45">
        <f>G171/G157</f>
        <v>0.32707237665915351</v>
      </c>
      <c r="H173" s="45">
        <f>H171/H157</f>
        <v>0.33662940670679276</v>
      </c>
      <c r="J173" s="43" t="s">
        <v>337</v>
      </c>
    </row>
    <row r="174" spans="2:10" ht="15" customHeight="1" x14ac:dyDescent="0.35">
      <c r="B174" s="40" t="s">
        <v>338</v>
      </c>
      <c r="C174" s="41" t="s">
        <v>299</v>
      </c>
      <c r="F174" s="49">
        <f>-(F164+F170)/F158</f>
        <v>5299.440298507463</v>
      </c>
      <c r="G174" s="49">
        <f>-(G164+G170)/G158</f>
        <v>5191.6366140746313</v>
      </c>
      <c r="H174" s="49">
        <f>-(H164+H170)/H158</f>
        <v>6590.5868443680138</v>
      </c>
      <c r="J174" s="43" t="s">
        <v>339</v>
      </c>
    </row>
    <row r="175" spans="2:10" ht="15" customHeight="1" x14ac:dyDescent="0.35">
      <c r="B175" s="40" t="s">
        <v>340</v>
      </c>
      <c r="C175" s="41" t="s">
        <v>299</v>
      </c>
      <c r="G175" s="57">
        <f>IFERROR((G171/F171-1)/(G12/F12-1),"n.a.")</f>
        <v>7.3612339758084575</v>
      </c>
      <c r="H175" s="57">
        <f>IFERROR((H171/G171-1)/(H12/G12-1),"n.a.")</f>
        <v>0.69185188251038232</v>
      </c>
      <c r="J175" s="43" t="s">
        <v>341</v>
      </c>
    </row>
    <row r="176" spans="2:10" ht="15" customHeight="1" x14ac:dyDescent="0.35">
      <c r="B176" s="44" t="s">
        <v>342</v>
      </c>
      <c r="C176" s="41" t="s">
        <v>299</v>
      </c>
      <c r="G176" s="45">
        <f>F172*(G12/F12-1)</f>
        <v>0.28722773891568826</v>
      </c>
      <c r="H176" s="45">
        <f>G172*(H12/G12-1)</f>
        <v>0.87977816131539055</v>
      </c>
      <c r="J176" s="43" t="s">
        <v>343</v>
      </c>
    </row>
    <row r="177" spans="2:10" ht="15" customHeight="1" x14ac:dyDescent="0.35">
      <c r="B177" s="44" t="s">
        <v>344</v>
      </c>
      <c r="C177" s="41" t="s">
        <v>299</v>
      </c>
      <c r="G177" s="45">
        <f>G171/F171-1</f>
        <v>0.55291319857312726</v>
      </c>
      <c r="H177" s="45">
        <f>H171/G171-1</f>
        <v>0.1990811638591119</v>
      </c>
      <c r="J177" s="43" t="s">
        <v>345</v>
      </c>
    </row>
    <row r="179" spans="2:10" ht="15" customHeight="1" x14ac:dyDescent="0.35">
      <c r="B179" s="53" t="s">
        <v>346</v>
      </c>
      <c r="C179" s="41" t="s">
        <v>347</v>
      </c>
      <c r="J179" s="43" t="s">
        <v>348</v>
      </c>
    </row>
    <row r="180" spans="2:10" ht="15" customHeight="1" x14ac:dyDescent="0.35">
      <c r="B180" s="44" t="s">
        <v>281</v>
      </c>
      <c r="C180" s="41" t="s">
        <v>347</v>
      </c>
      <c r="F180" s="45">
        <f>F16/F12</f>
        <v>1.0969899665551839</v>
      </c>
      <c r="G180" s="45">
        <f>G16/G12</f>
        <v>1.0171095268956578</v>
      </c>
      <c r="H180" s="45">
        <f>H16/H12</f>
        <v>1.0524408656265727</v>
      </c>
    </row>
    <row r="181" spans="2:10" ht="15" customHeight="1" x14ac:dyDescent="0.35">
      <c r="B181" s="44" t="s">
        <v>282</v>
      </c>
      <c r="C181" s="41" t="s">
        <v>347</v>
      </c>
      <c r="F181" s="45">
        <f>F18/F12</f>
        <v>-0.40175585284280935</v>
      </c>
      <c r="G181" s="45">
        <f>G18/G12</f>
        <v>-0.31561892417368764</v>
      </c>
      <c r="H181" s="45">
        <f>H18/H12</f>
        <v>-0.38087569199798693</v>
      </c>
    </row>
    <row r="182" spans="2:10" ht="15" customHeight="1" x14ac:dyDescent="0.35">
      <c r="B182" s="44" t="s">
        <v>283</v>
      </c>
      <c r="C182" s="41" t="s">
        <v>347</v>
      </c>
      <c r="F182" s="45">
        <f>F19/F12</f>
        <v>-0.14673913043478262</v>
      </c>
      <c r="G182" s="45">
        <f>G19/G12</f>
        <v>-0.16305897602073882</v>
      </c>
      <c r="H182" s="45">
        <f>H19/H12</f>
        <v>-0.14786109713135379</v>
      </c>
    </row>
    <row r="183" spans="2:10" ht="15" customHeight="1" x14ac:dyDescent="0.35">
      <c r="B183" s="44" t="s">
        <v>284</v>
      </c>
      <c r="C183" s="41" t="s">
        <v>347</v>
      </c>
      <c r="F183" s="45">
        <f>F20/F12</f>
        <v>-9.7268673355629873E-2</v>
      </c>
      <c r="G183" s="45">
        <f>G20/G12</f>
        <v>-9.0084251458198317E-2</v>
      </c>
      <c r="H183" s="45">
        <f>H20/H12</f>
        <v>-8.3945646703573226E-2</v>
      </c>
    </row>
    <row r="184" spans="2:10" ht="15" customHeight="1" x14ac:dyDescent="0.35">
      <c r="B184" s="44" t="s">
        <v>286</v>
      </c>
      <c r="C184" s="41" t="s">
        <v>347</v>
      </c>
      <c r="F184" s="45">
        <f>F22/F12</f>
        <v>0.45136566332218508</v>
      </c>
      <c r="G184" s="45">
        <f>G22/G12</f>
        <v>0.44834737524303303</v>
      </c>
      <c r="H184" s="45">
        <f>H22/H12</f>
        <v>0.43985908404630097</v>
      </c>
    </row>
    <row r="185" spans="2:10" ht="15" customHeight="1" x14ac:dyDescent="0.35">
      <c r="B185" s="44" t="s">
        <v>287</v>
      </c>
      <c r="C185" s="41" t="s">
        <v>347</v>
      </c>
      <c r="F185" s="45">
        <f>F25/F12</f>
        <v>2.104236343366778E-2</v>
      </c>
      <c r="G185" s="45">
        <f>G25/G12</f>
        <v>2.2812702527543745E-2</v>
      </c>
      <c r="H185" s="45">
        <f>H25/H12</f>
        <v>1.7715148465022649E-2</v>
      </c>
    </row>
    <row r="186" spans="2:10" ht="15" customHeight="1" x14ac:dyDescent="0.35">
      <c r="B186" s="44" t="s">
        <v>288</v>
      </c>
      <c r="C186" s="41" t="s">
        <v>347</v>
      </c>
      <c r="F186" s="45">
        <f>F26/F12</f>
        <v>-1.6304347826086956E-2</v>
      </c>
      <c r="G186" s="45">
        <f>G26/G12</f>
        <v>-1.4776409591704473E-2</v>
      </c>
      <c r="H186" s="45">
        <f>H26/H12</f>
        <v>-1.8218419728233518E-2</v>
      </c>
    </row>
    <row r="187" spans="2:10" ht="15" customHeight="1" x14ac:dyDescent="0.35">
      <c r="B187" s="44" t="s">
        <v>290</v>
      </c>
      <c r="C187" s="41" t="s">
        <v>347</v>
      </c>
      <c r="F187" s="45">
        <f>F28/F12</f>
        <v>-0.28511705685618727</v>
      </c>
      <c r="G187" s="45">
        <f>G28/G12</f>
        <v>-0.23875567077122489</v>
      </c>
      <c r="H187" s="45">
        <f>H28/H12</f>
        <v>-0.23220936084549573</v>
      </c>
    </row>
    <row r="188" spans="2:10" ht="15" customHeight="1" x14ac:dyDescent="0.35">
      <c r="B188" s="44" t="s">
        <v>291</v>
      </c>
      <c r="C188" s="41" t="s">
        <v>347</v>
      </c>
      <c r="F188" s="45">
        <f>F29/F12</f>
        <v>-1.0312151616499442E-2</v>
      </c>
      <c r="G188" s="45">
        <f>G29/G12</f>
        <v>-9.8509397278029806E-3</v>
      </c>
      <c r="H188" s="45">
        <f>H29/H12</f>
        <v>-9.76346250629089E-3</v>
      </c>
    </row>
    <row r="189" spans="2:10" ht="15" customHeight="1" x14ac:dyDescent="0.35">
      <c r="B189" s="44" t="s">
        <v>292</v>
      </c>
      <c r="C189" s="41" t="s">
        <v>347</v>
      </c>
      <c r="F189" s="45">
        <f>F30/F12</f>
        <v>0.16067447045707917</v>
      </c>
      <c r="G189" s="45">
        <f>G30/G12</f>
        <v>0.20764744005184704</v>
      </c>
      <c r="H189" s="45">
        <f>H30/H12</f>
        <v>0.19728233517866131</v>
      </c>
    </row>
    <row r="190" spans="2:10" ht="15" customHeight="1" x14ac:dyDescent="0.35">
      <c r="B190" s="44" t="s">
        <v>293</v>
      </c>
      <c r="C190" s="41" t="s">
        <v>347</v>
      </c>
      <c r="F190" s="45">
        <f>F33/F12</f>
        <v>-1.3935340022296545E-3</v>
      </c>
      <c r="G190" s="45">
        <f>G33/G12</f>
        <v>-1.5554115359688917E-3</v>
      </c>
      <c r="H190" s="45">
        <f>H33/H12</f>
        <v>-5.0327126321087065E-4</v>
      </c>
    </row>
    <row r="191" spans="2:10" ht="15" customHeight="1" x14ac:dyDescent="0.35">
      <c r="B191" s="44" t="s">
        <v>294</v>
      </c>
      <c r="C191" s="41" t="s">
        <v>347</v>
      </c>
      <c r="F191" s="45">
        <f>F34/F12</f>
        <v>-4.208472686733556E-2</v>
      </c>
      <c r="G191" s="45">
        <f>G34/G12</f>
        <v>-3.6811406351263773E-2</v>
      </c>
      <c r="H191" s="45">
        <f>H34/H12</f>
        <v>-3.9154504277805736E-2</v>
      </c>
    </row>
    <row r="192" spans="2:10" ht="15" customHeight="1" x14ac:dyDescent="0.35">
      <c r="B192" s="44" t="s">
        <v>349</v>
      </c>
      <c r="C192" s="41" t="s">
        <v>347</v>
      </c>
      <c r="F192" s="45">
        <f>F36/F12</f>
        <v>0.11719620958751394</v>
      </c>
      <c r="G192" s="45">
        <f>G36/G12</f>
        <v>0.1692806221646144</v>
      </c>
      <c r="H192" s="45">
        <f>H36/H12</f>
        <v>0.15762455963764468</v>
      </c>
    </row>
    <row r="193" spans="2:10" ht="15" customHeight="1" x14ac:dyDescent="0.35">
      <c r="B193" s="40" t="s">
        <v>350</v>
      </c>
      <c r="C193" s="41" t="s">
        <v>347</v>
      </c>
      <c r="F193" s="26" t="s">
        <v>254</v>
      </c>
      <c r="G193" s="26" t="s">
        <v>254</v>
      </c>
      <c r="H193" s="26" t="s">
        <v>254</v>
      </c>
      <c r="J193" s="43" t="s">
        <v>351</v>
      </c>
    </row>
    <row r="194" spans="2:10" ht="15" customHeight="1" x14ac:dyDescent="0.35">
      <c r="B194" s="40" t="s">
        <v>352</v>
      </c>
      <c r="C194" s="41" t="s">
        <v>347</v>
      </c>
      <c r="F194" s="26" t="s">
        <v>254</v>
      </c>
      <c r="G194" s="26" t="s">
        <v>254</v>
      </c>
      <c r="H194" s="26" t="s">
        <v>254</v>
      </c>
      <c r="J194" s="43" t="s">
        <v>353</v>
      </c>
    </row>
    <row r="195" spans="2:10" ht="15" customHeight="1" x14ac:dyDescent="0.35">
      <c r="B195" s="43" t="s">
        <v>354</v>
      </c>
      <c r="C195" s="41" t="s">
        <v>347</v>
      </c>
    </row>
    <row r="197" spans="2:10" ht="15" customHeight="1" x14ac:dyDescent="0.35">
      <c r="B197" s="53" t="s">
        <v>355</v>
      </c>
      <c r="C197" s="41" t="s">
        <v>356</v>
      </c>
    </row>
    <row r="198" spans="2:10" ht="15" customHeight="1" x14ac:dyDescent="0.35">
      <c r="B198" s="40" t="s">
        <v>357</v>
      </c>
      <c r="C198" s="41" t="s">
        <v>356</v>
      </c>
      <c r="F198" s="49">
        <f>F36-F35</f>
        <v>888</v>
      </c>
      <c r="G198" s="49">
        <f>G36-G35</f>
        <v>1408</v>
      </c>
      <c r="H198" s="49">
        <f>H36-H35</f>
        <v>1705</v>
      </c>
      <c r="J198" s="43" t="s">
        <v>358</v>
      </c>
    </row>
    <row r="199" spans="2:10" ht="15" customHeight="1" x14ac:dyDescent="0.35">
      <c r="B199" s="40" t="s">
        <v>359</v>
      </c>
      <c r="C199" s="41" t="s">
        <v>356</v>
      </c>
      <c r="F199" s="49">
        <f>F30-'Reported Financials'!F58</f>
        <v>1184</v>
      </c>
      <c r="G199" s="49">
        <f>G30-'Reported Financials'!G58</f>
        <v>1623</v>
      </c>
      <c r="H199" s="49">
        <f>H30-'Reported Financials'!H58</f>
        <v>1989</v>
      </c>
      <c r="J199" s="43" t="s">
        <v>360</v>
      </c>
    </row>
    <row r="200" spans="2:10" ht="15" customHeight="1" x14ac:dyDescent="0.35">
      <c r="B200" s="40" t="s">
        <v>361</v>
      </c>
      <c r="C200" s="41" t="s">
        <v>356</v>
      </c>
      <c r="F200" s="49">
        <f>F30+'Reported Financials'!F43+'Reported Financials'!F88</f>
        <v>1096</v>
      </c>
      <c r="G200" s="49">
        <f>G30+'Reported Financials'!G43+'Reported Financials'!G88</f>
        <v>1551</v>
      </c>
      <c r="H200" s="49">
        <f>H30+'Reported Financials'!H43+'Reported Financials'!H88</f>
        <v>1895</v>
      </c>
      <c r="J200" s="43" t="s">
        <v>362</v>
      </c>
    </row>
    <row r="201" spans="2:10" ht="15" customHeight="1" x14ac:dyDescent="0.35">
      <c r="B201" s="44" t="s">
        <v>363</v>
      </c>
      <c r="C201" s="41" t="s">
        <v>356</v>
      </c>
      <c r="F201" s="56" t="s">
        <v>254</v>
      </c>
      <c r="G201" s="56" t="s">
        <v>254</v>
      </c>
      <c r="H201" s="56" t="s">
        <v>254</v>
      </c>
      <c r="J201" s="43" t="s">
        <v>364</v>
      </c>
    </row>
    <row r="202" spans="2:10" ht="15" customHeight="1" x14ac:dyDescent="0.35">
      <c r="B202" s="44" t="s">
        <v>123</v>
      </c>
      <c r="C202" s="41" t="s">
        <v>356</v>
      </c>
      <c r="F202" s="45">
        <f>F22/F16</f>
        <v>0.41145833333333331</v>
      </c>
      <c r="G202" s="45">
        <f>G22/G16</f>
        <v>0.44080540333885559</v>
      </c>
      <c r="H202" s="45">
        <f>H22/H16</f>
        <v>0.41794185156847741</v>
      </c>
    </row>
    <row r="203" spans="2:10" ht="15" customHeight="1" x14ac:dyDescent="0.35">
      <c r="B203" s="44" t="s">
        <v>365</v>
      </c>
      <c r="C203" s="41" t="s">
        <v>356</v>
      </c>
      <c r="F203" s="45">
        <f>F30/F16</f>
        <v>0.14646849593495934</v>
      </c>
      <c r="G203" s="45">
        <f>G30/G16</f>
        <v>0.20415445393143877</v>
      </c>
      <c r="H203" s="45">
        <f>H30/H16</f>
        <v>0.1874521805661821</v>
      </c>
    </row>
    <row r="204" spans="2:10" ht="15" customHeight="1" x14ac:dyDescent="0.35">
      <c r="B204" s="44" t="s">
        <v>366</v>
      </c>
      <c r="C204" s="41" t="s">
        <v>356</v>
      </c>
      <c r="F204" s="45">
        <f>F30/F22</f>
        <v>0.35597406606977461</v>
      </c>
      <c r="G204" s="45">
        <f>G30/G22</f>
        <v>0.46313963573287076</v>
      </c>
      <c r="H204" s="45">
        <f>H30/H22</f>
        <v>0.44851258581235698</v>
      </c>
      <c r="J204" s="43" t="s">
        <v>367</v>
      </c>
    </row>
    <row r="205" spans="2:10" ht="15" customHeight="1" x14ac:dyDescent="0.35">
      <c r="B205" s="44" t="s">
        <v>136</v>
      </c>
      <c r="C205" s="41" t="s">
        <v>356</v>
      </c>
      <c r="F205" s="45">
        <f>F30/F12</f>
        <v>0.16067447045707917</v>
      </c>
      <c r="G205" s="45">
        <f>G30/G12</f>
        <v>0.20764744005184704</v>
      </c>
      <c r="H205" s="45">
        <f>H30/H12</f>
        <v>0.19728233517866131</v>
      </c>
    </row>
    <row r="206" spans="2:10" ht="15" customHeight="1" x14ac:dyDescent="0.35">
      <c r="B206" s="44" t="s">
        <v>368</v>
      </c>
      <c r="C206" s="41" t="s">
        <v>356</v>
      </c>
      <c r="F206" s="45">
        <f>F199/F12</f>
        <v>0.16499442586399107</v>
      </c>
      <c r="G206" s="45">
        <f>G199/G12</f>
        <v>0.21036941023979261</v>
      </c>
      <c r="H206" s="45">
        <f>H199/H12</f>
        <v>0.20020130850528434</v>
      </c>
    </row>
    <row r="207" spans="2:10" ht="15" customHeight="1" x14ac:dyDescent="0.35">
      <c r="B207" s="44" t="s">
        <v>369</v>
      </c>
      <c r="C207" s="41" t="s">
        <v>356</v>
      </c>
      <c r="F207" s="45">
        <f>F200/F12</f>
        <v>0.15273132664437011</v>
      </c>
      <c r="G207" s="45">
        <f>G200/G12</f>
        <v>0.20103694102397926</v>
      </c>
      <c r="H207" s="45">
        <f>H200/H12</f>
        <v>0.19073980875691998</v>
      </c>
    </row>
    <row r="208" spans="2:10" ht="15" customHeight="1" x14ac:dyDescent="0.35">
      <c r="B208" s="44" t="s">
        <v>370</v>
      </c>
      <c r="C208" s="41" t="s">
        <v>356</v>
      </c>
      <c r="F208" s="45">
        <f>F198/F12</f>
        <v>0.12374581939799331</v>
      </c>
      <c r="G208" s="45">
        <f>G198/G12</f>
        <v>0.18250162022034996</v>
      </c>
      <c r="H208" s="45">
        <f>H198/H12</f>
        <v>0.17161550075490689</v>
      </c>
    </row>
    <row r="209" spans="1:10" ht="15" customHeight="1" x14ac:dyDescent="0.35">
      <c r="B209" s="44" t="s">
        <v>371</v>
      </c>
      <c r="C209" s="41" t="s">
        <v>356</v>
      </c>
      <c r="F209" s="45">
        <f>F43/F12</f>
        <v>0.11622073578595318</v>
      </c>
      <c r="G209" s="45">
        <f>G43/G12</f>
        <v>0.16383668178872327</v>
      </c>
      <c r="H209" s="45">
        <f>H43/H12</f>
        <v>0.15551082033215904</v>
      </c>
    </row>
    <row r="210" spans="1:10" ht="15" customHeight="1" x14ac:dyDescent="0.35">
      <c r="B210" s="40" t="s">
        <v>372</v>
      </c>
      <c r="C210" s="41" t="s">
        <v>356</v>
      </c>
      <c r="F210" s="57">
        <f>'Reported Financials'!F69/-'Reported Financials'!F72</f>
        <v>8.0810810810810807</v>
      </c>
      <c r="G210" s="57">
        <f>'Reported Financials'!G69/-'Reported Financials'!G72</f>
        <v>10.948275862068966</v>
      </c>
      <c r="H210" s="57">
        <f>'Reported Financials'!H69/-'Reported Financials'!H72</f>
        <v>14.517241379310345</v>
      </c>
      <c r="J210" s="43" t="s">
        <v>373</v>
      </c>
    </row>
    <row r="211" spans="1:10" ht="15" customHeight="1" x14ac:dyDescent="0.35">
      <c r="B211" s="40" t="s">
        <v>374</v>
      </c>
      <c r="C211" s="41" t="s">
        <v>356</v>
      </c>
      <c r="F211" s="57">
        <f>F30/-'Reported Financials'!F72</f>
        <v>10.387387387387387</v>
      </c>
      <c r="G211" s="57">
        <f>G30/-'Reported Financials'!G72</f>
        <v>13.810344827586206</v>
      </c>
      <c r="H211" s="57">
        <f>H30/-'Reported Financials'!H72</f>
        <v>16.896551724137932</v>
      </c>
    </row>
    <row r="212" spans="1:10" ht="15" customHeight="1" x14ac:dyDescent="0.35">
      <c r="B212" s="40" t="s">
        <v>375</v>
      </c>
      <c r="C212" s="41" t="s">
        <v>356</v>
      </c>
      <c r="F212" s="57">
        <f>('Reported Financials'!F69-'Reported Financials'!F58)/(-'Reported Financials'!F58-'Reported Financials'!F72)</f>
        <v>6.535211267605634</v>
      </c>
      <c r="G212" s="57">
        <f>('Reported Financials'!G69-'Reported Financials'!G58)/(-'Reported Financials'!G58-'Reported Financials'!G72)</f>
        <v>9.4233576642335759</v>
      </c>
      <c r="H212" s="57">
        <f>('Reported Financials'!H69-'Reported Financials'!H58)/(-'Reported Financials'!H58-'Reported Financials'!H72)</f>
        <v>11.813793103448276</v>
      </c>
      <c r="J212" s="43" t="s">
        <v>376</v>
      </c>
    </row>
    <row r="213" spans="1:10" ht="15" customHeight="1" x14ac:dyDescent="0.35">
      <c r="B213" s="40" t="s">
        <v>377</v>
      </c>
      <c r="C213" s="41" t="s">
        <v>356</v>
      </c>
      <c r="F213" s="57">
        <f t="shared" ref="F213:H214" si="3">F172</f>
        <v>3.8240190249702737</v>
      </c>
      <c r="G213" s="57">
        <f t="shared" si="3"/>
        <v>3.0574272588055131</v>
      </c>
      <c r="H213" s="57">
        <f t="shared" si="3"/>
        <v>2.970625798212005</v>
      </c>
    </row>
    <row r="214" spans="1:10" ht="15" customHeight="1" x14ac:dyDescent="0.35">
      <c r="B214" s="44" t="s">
        <v>378</v>
      </c>
      <c r="C214" s="41" t="s">
        <v>356</v>
      </c>
      <c r="F214" s="45">
        <f t="shared" si="3"/>
        <v>0.26150497512437809</v>
      </c>
      <c r="G214" s="45">
        <f t="shared" si="3"/>
        <v>0.32707237665915351</v>
      </c>
      <c r="H214" s="45">
        <f t="shared" si="3"/>
        <v>0.33662940670679276</v>
      </c>
    </row>
    <row r="215" spans="1:10" ht="15" customHeight="1" x14ac:dyDescent="0.35">
      <c r="B215" s="44" t="s">
        <v>379</v>
      </c>
      <c r="C215" s="41" t="s">
        <v>356</v>
      </c>
      <c r="F215" s="45">
        <f>F81/F73</f>
        <v>0.77734375</v>
      </c>
      <c r="G215" s="45">
        <f>G81/G73</f>
        <v>0.72025955299206923</v>
      </c>
      <c r="H215" s="45">
        <f>H81/H73</f>
        <v>0.63592233009708743</v>
      </c>
      <c r="J215" s="43" t="s">
        <v>380</v>
      </c>
    </row>
    <row r="216" spans="1:10" ht="15" customHeight="1" x14ac:dyDescent="0.35">
      <c r="B216" s="44" t="s">
        <v>381</v>
      </c>
      <c r="C216" s="41" t="s">
        <v>356</v>
      </c>
      <c r="F216" s="45">
        <f>-F78/F73</f>
        <v>0.22265625</v>
      </c>
      <c r="G216" s="45">
        <f>-G78/G73</f>
        <v>0.27974044700793077</v>
      </c>
      <c r="H216" s="45">
        <f>-H78/H73</f>
        <v>0.36407766990291263</v>
      </c>
      <c r="J216" s="43" t="s">
        <v>380</v>
      </c>
    </row>
    <row r="218" spans="1:10" ht="15" customHeight="1" x14ac:dyDescent="0.35">
      <c r="A218" s="38" t="s">
        <v>5</v>
      </c>
      <c r="B218" s="39" t="s">
        <v>382</v>
      </c>
      <c r="C218" s="27"/>
      <c r="D218" s="27"/>
      <c r="E218" s="27"/>
      <c r="F218" s="27"/>
      <c r="G218" s="27"/>
      <c r="H218" s="27"/>
      <c r="I218" s="15"/>
      <c r="J218" s="15"/>
    </row>
    <row r="220" spans="1:10" ht="15" customHeight="1" x14ac:dyDescent="0.35">
      <c r="B220" s="53" t="s">
        <v>383</v>
      </c>
      <c r="C220" s="41" t="s">
        <v>384</v>
      </c>
      <c r="J220" s="43" t="s">
        <v>385</v>
      </c>
    </row>
    <row r="221" spans="1:10" ht="15" customHeight="1" x14ac:dyDescent="0.35">
      <c r="B221" s="40" t="s">
        <v>386</v>
      </c>
      <c r="C221" s="41" t="s">
        <v>384</v>
      </c>
      <c r="E221" s="42">
        <f>'Reported Financials'!E136</f>
        <v>1976</v>
      </c>
      <c r="F221" s="42">
        <f>'Reported Financials'!F136</f>
        <v>3244</v>
      </c>
      <c r="G221" s="42">
        <f>'Reported Financials'!G136</f>
        <v>3989</v>
      </c>
      <c r="H221" s="42">
        <f>'Reported Financials'!H136</f>
        <v>4721</v>
      </c>
      <c r="J221" s="43" t="s">
        <v>387</v>
      </c>
    </row>
    <row r="222" spans="1:10" ht="15" customHeight="1" x14ac:dyDescent="0.35">
      <c r="B222" s="40" t="s">
        <v>388</v>
      </c>
      <c r="C222" s="41" t="s">
        <v>384</v>
      </c>
      <c r="E222" s="42">
        <f>'Reported Financials'!E137</f>
        <v>362</v>
      </c>
      <c r="F222" s="42">
        <f>'Reported Financials'!F137</f>
        <v>516</v>
      </c>
      <c r="G222" s="42">
        <f>'Reported Financials'!G137</f>
        <v>692</v>
      </c>
      <c r="H222" s="42">
        <f>'Reported Financials'!H137</f>
        <v>957</v>
      </c>
      <c r="J222" s="43" t="s">
        <v>389</v>
      </c>
    </row>
    <row r="223" spans="1:10" ht="15" customHeight="1" x14ac:dyDescent="0.35">
      <c r="B223" s="40" t="s">
        <v>390</v>
      </c>
      <c r="C223" s="41" t="s">
        <v>384</v>
      </c>
      <c r="E223" s="42">
        <f>'Reported Financials'!E138</f>
        <v>1548</v>
      </c>
      <c r="F223" s="42">
        <f>'Reported Financials'!F138</f>
        <v>2021</v>
      </c>
      <c r="G223" s="42">
        <f>'Reported Financials'!G138</f>
        <v>1959</v>
      </c>
      <c r="H223" s="42">
        <f>'Reported Financials'!H138</f>
        <v>1907</v>
      </c>
      <c r="J223" s="43" t="s">
        <v>387</v>
      </c>
    </row>
    <row r="224" spans="1:10" ht="15" customHeight="1" x14ac:dyDescent="0.35">
      <c r="B224" s="40" t="s">
        <v>391</v>
      </c>
      <c r="C224" s="41" t="s">
        <v>384</v>
      </c>
      <c r="E224" s="49">
        <f>'Reported Financials'!E139-'Reported Financials'!E184</f>
        <v>242</v>
      </c>
      <c r="F224" s="49">
        <f>'Reported Financials'!F139-'Reported Financials'!F184</f>
        <v>223</v>
      </c>
      <c r="G224" s="49">
        <f>'Reported Financials'!G139-'Reported Financials'!G184</f>
        <v>350</v>
      </c>
      <c r="H224" s="49">
        <f>'Reported Financials'!H139-'Reported Financials'!H184</f>
        <v>384</v>
      </c>
      <c r="J224" s="43" t="s">
        <v>392</v>
      </c>
    </row>
    <row r="225" spans="2:10" ht="15" customHeight="1" x14ac:dyDescent="0.35">
      <c r="B225" s="40" t="s">
        <v>393</v>
      </c>
      <c r="C225" s="41" t="s">
        <v>394</v>
      </c>
      <c r="E225" s="42">
        <f>'Reported Financials'!E140</f>
        <v>23</v>
      </c>
      <c r="F225" s="42">
        <f>'Reported Financials'!F140</f>
        <v>13</v>
      </c>
      <c r="G225" s="42">
        <f>'Reported Financials'!G140</f>
        <v>57</v>
      </c>
      <c r="H225" s="42">
        <f>'Reported Financials'!H140</f>
        <v>11</v>
      </c>
      <c r="J225" s="43" t="s">
        <v>395</v>
      </c>
    </row>
    <row r="226" spans="2:10" ht="15" customHeight="1" x14ac:dyDescent="0.35">
      <c r="B226" s="40" t="s">
        <v>396</v>
      </c>
      <c r="C226" s="41" t="s">
        <v>394</v>
      </c>
      <c r="E226" s="42">
        <f>'Reported Financials'!E133</f>
        <v>98</v>
      </c>
      <c r="F226" s="42">
        <f>'Reported Financials'!F133</f>
        <v>164</v>
      </c>
      <c r="G226" s="42">
        <f>'Reported Financials'!G133</f>
        <v>172</v>
      </c>
      <c r="H226" s="42">
        <f>'Reported Financials'!H133</f>
        <v>165</v>
      </c>
      <c r="J226" s="43" t="s">
        <v>397</v>
      </c>
    </row>
    <row r="227" spans="2:10" ht="15" customHeight="1" x14ac:dyDescent="0.35">
      <c r="B227" s="46" t="s">
        <v>383</v>
      </c>
      <c r="C227" s="47"/>
      <c r="D227" s="47"/>
      <c r="E227" s="48">
        <f>SUM(E221:E226)</f>
        <v>4249</v>
      </c>
      <c r="F227" s="48">
        <f>SUM(F221:F226)</f>
        <v>6181</v>
      </c>
      <c r="G227" s="48">
        <f>SUM(G221:G226)</f>
        <v>7219</v>
      </c>
      <c r="H227" s="48">
        <f>SUM(H221:H226)</f>
        <v>8145</v>
      </c>
      <c r="J227" s="58" t="s">
        <v>398</v>
      </c>
    </row>
    <row r="229" spans="2:10" ht="15" customHeight="1" x14ac:dyDescent="0.35">
      <c r="B229" s="53" t="s">
        <v>399</v>
      </c>
      <c r="C229" s="41" t="s">
        <v>400</v>
      </c>
      <c r="J229" s="43" t="s">
        <v>401</v>
      </c>
    </row>
    <row r="230" spans="2:10" ht="15" customHeight="1" x14ac:dyDescent="0.35">
      <c r="B230" s="40" t="s">
        <v>402</v>
      </c>
      <c r="C230" s="41" t="s">
        <v>400</v>
      </c>
      <c r="E230" s="42">
        <f>'Reported Financials'!E170</f>
        <v>931</v>
      </c>
      <c r="F230" s="42">
        <f>'Reported Financials'!F170</f>
        <v>1222</v>
      </c>
      <c r="G230" s="42">
        <f>'Reported Financials'!G170</f>
        <v>1151</v>
      </c>
      <c r="H230" s="42">
        <f>'Reported Financials'!H170</f>
        <v>1186</v>
      </c>
      <c r="J230" s="43" t="s">
        <v>387</v>
      </c>
    </row>
    <row r="231" spans="2:10" ht="15" customHeight="1" x14ac:dyDescent="0.35">
      <c r="B231" s="40" t="s">
        <v>403</v>
      </c>
      <c r="C231" s="41" t="s">
        <v>400</v>
      </c>
      <c r="E231" s="42">
        <f>'Reported Financials'!E169</f>
        <v>1120</v>
      </c>
      <c r="F231" s="42">
        <f>'Reported Financials'!F169</f>
        <v>2594</v>
      </c>
      <c r="G231" s="42">
        <f>'Reported Financials'!G169</f>
        <v>3866</v>
      </c>
      <c r="H231" s="42">
        <f>'Reported Financials'!H169</f>
        <v>5642</v>
      </c>
      <c r="J231" s="43" t="s">
        <v>404</v>
      </c>
    </row>
    <row r="232" spans="2:10" ht="15" customHeight="1" x14ac:dyDescent="0.35">
      <c r="B232" s="40" t="s">
        <v>405</v>
      </c>
      <c r="C232" s="41" t="s">
        <v>400</v>
      </c>
      <c r="E232" s="49">
        <f>'Reported Financials'!E167+'Reported Financials'!E161-'Reported Financials'!E99</f>
        <v>824</v>
      </c>
      <c r="F232" s="49">
        <f>'Reported Financials'!F167+'Reported Financials'!F161-'Reported Financials'!F99</f>
        <v>874</v>
      </c>
      <c r="G232" s="49">
        <f>'Reported Financials'!G167+'Reported Financials'!G161-'Reported Financials'!G99</f>
        <v>1040</v>
      </c>
      <c r="H232" s="49">
        <f>'Reported Financials'!H167+'Reported Financials'!H161-'Reported Financials'!H99</f>
        <v>1146</v>
      </c>
      <c r="J232" s="43" t="s">
        <v>406</v>
      </c>
    </row>
    <row r="233" spans="2:10" ht="15" customHeight="1" x14ac:dyDescent="0.35">
      <c r="B233" s="40" t="s">
        <v>407</v>
      </c>
      <c r="C233" s="41" t="s">
        <v>400</v>
      </c>
      <c r="E233" s="42">
        <f>'Reported Financials'!E160</f>
        <v>484</v>
      </c>
      <c r="F233" s="42">
        <f>'Reported Financials'!F160</f>
        <v>562</v>
      </c>
      <c r="G233" s="42">
        <f>'Reported Financials'!G160</f>
        <v>527</v>
      </c>
      <c r="H233" s="42">
        <f>'Reported Financials'!H160</f>
        <v>278</v>
      </c>
      <c r="J233" s="43" t="s">
        <v>408</v>
      </c>
    </row>
    <row r="234" spans="2:10" ht="15" customHeight="1" x14ac:dyDescent="0.35">
      <c r="B234" s="40" t="s">
        <v>409</v>
      </c>
      <c r="C234" s="41" t="s">
        <v>400</v>
      </c>
      <c r="E234" s="49">
        <f>'Reported Financials'!E171+'Reported Financials'!E163</f>
        <v>256</v>
      </c>
      <c r="F234" s="49">
        <f>'Reported Financials'!F171+'Reported Financials'!F163</f>
        <v>325</v>
      </c>
      <c r="G234" s="49">
        <f>'Reported Financials'!G171+'Reported Financials'!G163</f>
        <v>346</v>
      </c>
      <c r="H234" s="49">
        <f>'Reported Financials'!H171+'Reported Financials'!H163</f>
        <v>328</v>
      </c>
      <c r="J234" s="43" t="s">
        <v>410</v>
      </c>
    </row>
    <row r="235" spans="2:10" ht="15" customHeight="1" x14ac:dyDescent="0.35">
      <c r="B235" s="40" t="s">
        <v>411</v>
      </c>
      <c r="C235" s="41" t="s">
        <v>394</v>
      </c>
      <c r="E235" s="42">
        <f>'Reported Financials'!E172</f>
        <v>67</v>
      </c>
      <c r="F235" s="42">
        <f>'Reported Financials'!F172</f>
        <v>108</v>
      </c>
      <c r="G235" s="42">
        <f>'Reported Financials'!G172</f>
        <v>118</v>
      </c>
      <c r="H235" s="42">
        <f>'Reported Financials'!H172</f>
        <v>200</v>
      </c>
      <c r="J235" s="43" t="s">
        <v>397</v>
      </c>
    </row>
    <row r="236" spans="2:10" ht="15" customHeight="1" x14ac:dyDescent="0.35">
      <c r="B236" s="40" t="s">
        <v>412</v>
      </c>
      <c r="C236" s="41" t="s">
        <v>394</v>
      </c>
      <c r="E236" s="42">
        <f>'Reported Financials'!E164</f>
        <v>78</v>
      </c>
      <c r="F236" s="42">
        <f>'Reported Financials'!F164</f>
        <v>260</v>
      </c>
      <c r="G236" s="42">
        <f>'Reported Financials'!G164</f>
        <v>356</v>
      </c>
      <c r="H236" s="42">
        <f>'Reported Financials'!H164</f>
        <v>363</v>
      </c>
      <c r="J236" s="43" t="s">
        <v>397</v>
      </c>
    </row>
    <row r="237" spans="2:10" ht="15" customHeight="1" x14ac:dyDescent="0.35">
      <c r="B237" s="46" t="s">
        <v>413</v>
      </c>
      <c r="C237" s="47"/>
      <c r="D237" s="47"/>
      <c r="E237" s="48">
        <f>SUM(E230:E236)</f>
        <v>3760</v>
      </c>
      <c r="F237" s="48">
        <f>SUM(F230:F236)</f>
        <v>5945</v>
      </c>
      <c r="G237" s="48">
        <f>SUM(G230:G236)</f>
        <v>7404</v>
      </c>
      <c r="H237" s="48">
        <f>SUM(H230:H236)</f>
        <v>9143</v>
      </c>
      <c r="J237" s="58" t="s">
        <v>414</v>
      </c>
    </row>
    <row r="239" spans="2:10" ht="15" customHeight="1" x14ac:dyDescent="0.35">
      <c r="B239" s="50" t="s">
        <v>29</v>
      </c>
      <c r="C239" s="59" t="s">
        <v>30</v>
      </c>
      <c r="D239" s="51"/>
      <c r="E239" s="52">
        <f>E227-E237</f>
        <v>489</v>
      </c>
      <c r="F239" s="52">
        <f>F227-F237</f>
        <v>236</v>
      </c>
      <c r="G239" s="52">
        <f>G227-G237</f>
        <v>-185</v>
      </c>
      <c r="H239" s="52">
        <f>H227-H237</f>
        <v>-998</v>
      </c>
      <c r="J239" s="43" t="s">
        <v>415</v>
      </c>
    </row>
    <row r="241" spans="2:10" ht="15" customHeight="1" x14ac:dyDescent="0.35">
      <c r="B241" s="53" t="s">
        <v>416</v>
      </c>
      <c r="C241" s="41" t="s">
        <v>384</v>
      </c>
      <c r="J241" s="43" t="s">
        <v>417</v>
      </c>
    </row>
    <row r="242" spans="2:10" ht="15" customHeight="1" x14ac:dyDescent="0.35">
      <c r="B242" s="40" t="s">
        <v>418</v>
      </c>
      <c r="C242" s="41" t="s">
        <v>384</v>
      </c>
      <c r="E242" s="42">
        <f>'Reported Financials'!E126</f>
        <v>483</v>
      </c>
      <c r="F242" s="42">
        <f>'Reported Financials'!F126</f>
        <v>1125</v>
      </c>
      <c r="G242" s="42">
        <f>'Reported Financials'!G126</f>
        <v>1426</v>
      </c>
      <c r="H242" s="42">
        <f>'Reported Financials'!H126</f>
        <v>1354</v>
      </c>
      <c r="J242" s="43" t="s">
        <v>419</v>
      </c>
    </row>
    <row r="243" spans="2:10" ht="15" customHeight="1" x14ac:dyDescent="0.35">
      <c r="B243" s="40" t="s">
        <v>420</v>
      </c>
      <c r="C243" s="41" t="s">
        <v>384</v>
      </c>
      <c r="E243" s="42">
        <f>'Reported Financials'!E127</f>
        <v>338</v>
      </c>
      <c r="F243" s="42">
        <f>'Reported Financials'!F127</f>
        <v>952</v>
      </c>
      <c r="G243" s="42">
        <f>'Reported Financials'!G127</f>
        <v>1376</v>
      </c>
      <c r="H243" s="42">
        <f>'Reported Financials'!H127</f>
        <v>1244</v>
      </c>
      <c r="J243" s="43" t="s">
        <v>419</v>
      </c>
    </row>
    <row r="244" spans="2:10" ht="15" customHeight="1" x14ac:dyDescent="0.35">
      <c r="B244" s="40" t="s">
        <v>421</v>
      </c>
      <c r="C244" s="41" t="s">
        <v>384</v>
      </c>
      <c r="E244" s="42">
        <f>'Reported Financials'!E128</f>
        <v>209</v>
      </c>
      <c r="F244" s="42">
        <f>'Reported Financials'!F128</f>
        <v>271</v>
      </c>
      <c r="G244" s="42">
        <f>'Reported Financials'!G128</f>
        <v>334</v>
      </c>
      <c r="H244" s="42">
        <f>'Reported Financials'!H128</f>
        <v>338</v>
      </c>
      <c r="J244" s="43" t="s">
        <v>422</v>
      </c>
    </row>
    <row r="245" spans="2:10" ht="15" customHeight="1" x14ac:dyDescent="0.35">
      <c r="B245" s="40" t="s">
        <v>423</v>
      </c>
      <c r="C245" s="41" t="s">
        <v>384</v>
      </c>
      <c r="E245" s="42">
        <f>'Reported Financials'!E129</f>
        <v>1137</v>
      </c>
      <c r="F245" s="42">
        <f>'Reported Financials'!F129</f>
        <v>1370</v>
      </c>
      <c r="G245" s="42">
        <f>'Reported Financials'!G129</f>
        <v>1853</v>
      </c>
      <c r="H245" s="42">
        <f>'Reported Financials'!H129</f>
        <v>1962</v>
      </c>
      <c r="J245" s="43" t="s">
        <v>424</v>
      </c>
    </row>
    <row r="246" spans="2:10" ht="15" customHeight="1" x14ac:dyDescent="0.35">
      <c r="B246" s="40" t="s">
        <v>425</v>
      </c>
      <c r="C246" s="41" t="s">
        <v>384</v>
      </c>
      <c r="E246" s="42">
        <f>'Reported Financials'!E130</f>
        <v>24</v>
      </c>
      <c r="F246" s="42">
        <f>'Reported Financials'!F130</f>
        <v>22</v>
      </c>
      <c r="G246" s="42">
        <f>'Reported Financials'!G130</f>
        <v>20</v>
      </c>
      <c r="H246" s="42">
        <f>'Reported Financials'!H130</f>
        <v>2</v>
      </c>
      <c r="J246" s="43" t="s">
        <v>426</v>
      </c>
    </row>
    <row r="247" spans="2:10" ht="15" customHeight="1" x14ac:dyDescent="0.35">
      <c r="B247" s="40" t="s">
        <v>427</v>
      </c>
      <c r="C247" s="41" t="s">
        <v>384</v>
      </c>
      <c r="E247" s="49">
        <f>'Reported Financials'!E132-'Reported Financials'!E183</f>
        <v>176</v>
      </c>
      <c r="F247" s="49">
        <f>'Reported Financials'!F132-'Reported Financials'!F183</f>
        <v>328</v>
      </c>
      <c r="G247" s="49">
        <f>'Reported Financials'!G132-'Reported Financials'!G183</f>
        <v>566</v>
      </c>
      <c r="H247" s="49">
        <f>'Reported Financials'!H132-'Reported Financials'!H183</f>
        <v>566</v>
      </c>
      <c r="J247" s="43" t="s">
        <v>428</v>
      </c>
    </row>
    <row r="248" spans="2:10" ht="15" customHeight="1" x14ac:dyDescent="0.35">
      <c r="B248" s="46" t="s">
        <v>416</v>
      </c>
      <c r="C248" s="47"/>
      <c r="D248" s="47"/>
      <c r="E248" s="48">
        <f>SUM(E242:E247)</f>
        <v>2367</v>
      </c>
      <c r="F248" s="48">
        <f>SUM(F242:F247)</f>
        <v>4068</v>
      </c>
      <c r="G248" s="48">
        <f>SUM(G242:G247)</f>
        <v>5575</v>
      </c>
      <c r="H248" s="48">
        <f>SUM(H242:H247)</f>
        <v>5466</v>
      </c>
    </row>
    <row r="250" spans="2:10" ht="15" customHeight="1" x14ac:dyDescent="0.35">
      <c r="B250" s="50" t="s">
        <v>429</v>
      </c>
      <c r="C250" s="59" t="s">
        <v>30</v>
      </c>
      <c r="D250" s="51"/>
      <c r="E250" s="52">
        <f>E239+E248</f>
        <v>2856</v>
      </c>
      <c r="F250" s="52">
        <f>F239+F248</f>
        <v>4304</v>
      </c>
      <c r="G250" s="52">
        <f>G239+G248</f>
        <v>5390</v>
      </c>
      <c r="H250" s="52">
        <f>H239+H248</f>
        <v>4468</v>
      </c>
      <c r="J250" s="43" t="s">
        <v>430</v>
      </c>
    </row>
    <row r="252" spans="2:10" ht="15" customHeight="1" x14ac:dyDescent="0.35">
      <c r="B252" s="53" t="s">
        <v>431</v>
      </c>
      <c r="C252" s="41" t="s">
        <v>432</v>
      </c>
      <c r="J252" s="43" t="s">
        <v>433</v>
      </c>
    </row>
    <row r="253" spans="2:10" ht="15" customHeight="1" x14ac:dyDescent="0.35">
      <c r="B253" s="40" t="s">
        <v>434</v>
      </c>
      <c r="C253" s="41" t="s">
        <v>432</v>
      </c>
      <c r="E253" s="42">
        <f>'Reported Financials'!E131</f>
        <v>442</v>
      </c>
      <c r="F253" s="42">
        <f>'Reported Financials'!F131</f>
        <v>373</v>
      </c>
      <c r="G253" s="42">
        <f>'Reported Financials'!G131</f>
        <v>346</v>
      </c>
      <c r="H253" s="42">
        <f>'Reported Financials'!H131</f>
        <v>213</v>
      </c>
      <c r="J253" s="43" t="s">
        <v>435</v>
      </c>
    </row>
    <row r="254" spans="2:10" ht="15" customHeight="1" x14ac:dyDescent="0.35">
      <c r="B254" s="40" t="s">
        <v>436</v>
      </c>
      <c r="C254" s="41" t="s">
        <v>432</v>
      </c>
      <c r="E254" s="42">
        <f>'Reported Financials'!E184</f>
        <v>0</v>
      </c>
      <c r="F254" s="42">
        <f>'Reported Financials'!F184</f>
        <v>28</v>
      </c>
      <c r="G254" s="42">
        <f>'Reported Financials'!G184</f>
        <v>0</v>
      </c>
      <c r="H254" s="42">
        <f>'Reported Financials'!H184</f>
        <v>0</v>
      </c>
      <c r="J254" s="43" t="s">
        <v>437</v>
      </c>
    </row>
    <row r="255" spans="2:10" ht="15" customHeight="1" x14ac:dyDescent="0.35">
      <c r="B255" s="40" t="s">
        <v>438</v>
      </c>
      <c r="C255" s="41" t="s">
        <v>432</v>
      </c>
      <c r="E255" s="49">
        <f>-'Reported Financials'!E99</f>
        <v>-55</v>
      </c>
      <c r="F255" s="49">
        <f>-'Reported Financials'!F99</f>
        <v>-46</v>
      </c>
      <c r="G255" s="49">
        <f>-'Reported Financials'!G99</f>
        <v>-52</v>
      </c>
      <c r="H255" s="49">
        <f>-'Reported Financials'!H99</f>
        <v>-25</v>
      </c>
      <c r="J255" s="43" t="s">
        <v>439</v>
      </c>
    </row>
    <row r="256" spans="2:10" ht="15" customHeight="1" x14ac:dyDescent="0.35">
      <c r="B256" s="40" t="s">
        <v>440</v>
      </c>
      <c r="C256" s="41" t="s">
        <v>432</v>
      </c>
      <c r="E256" s="49">
        <f>'Reported Financials'!E143-'Reported Financials'!E173</f>
        <v>129</v>
      </c>
      <c r="F256" s="49">
        <f>'Reported Financials'!F143-'Reported Financials'!F173</f>
        <v>35</v>
      </c>
      <c r="G256" s="49">
        <f>'Reported Financials'!G143-'Reported Financials'!G173</f>
        <v>0</v>
      </c>
      <c r="H256" s="49">
        <f>'Reported Financials'!H143-'Reported Financials'!H173</f>
        <v>562</v>
      </c>
      <c r="J256" s="43" t="s">
        <v>441</v>
      </c>
    </row>
    <row r="257" spans="2:10" ht="15" customHeight="1" x14ac:dyDescent="0.35">
      <c r="B257" s="40" t="s">
        <v>442</v>
      </c>
      <c r="C257" s="41" t="s">
        <v>432</v>
      </c>
      <c r="E257" s="49">
        <f>SUM(E253:E256)</f>
        <v>516</v>
      </c>
      <c r="F257" s="49">
        <f>SUM(F253:F256)</f>
        <v>390</v>
      </c>
      <c r="G257" s="49">
        <f>SUM(G253:G256)</f>
        <v>294</v>
      </c>
      <c r="H257" s="49">
        <f>SUM(H253:H256)</f>
        <v>750</v>
      </c>
      <c r="J257" s="43" t="s">
        <v>443</v>
      </c>
    </row>
    <row r="258" spans="2:10" ht="15" customHeight="1" x14ac:dyDescent="0.35">
      <c r="B258" s="40" t="s">
        <v>444</v>
      </c>
      <c r="C258" s="41" t="s">
        <v>432</v>
      </c>
      <c r="E258" s="42">
        <f>'Reported Financials'!E183</f>
        <v>11</v>
      </c>
      <c r="F258" s="42">
        <f>'Reported Financials'!F183</f>
        <v>11</v>
      </c>
      <c r="G258" s="42">
        <f>'Reported Financials'!G183</f>
        <v>19</v>
      </c>
      <c r="H258" s="42">
        <f>'Reported Financials'!H183</f>
        <v>26</v>
      </c>
      <c r="J258" s="43" t="s">
        <v>445</v>
      </c>
    </row>
    <row r="259" spans="2:10" ht="15" customHeight="1" x14ac:dyDescent="0.35">
      <c r="B259" s="46" t="s">
        <v>446</v>
      </c>
      <c r="C259" s="47"/>
      <c r="D259" s="47"/>
      <c r="E259" s="48">
        <f>E257+E258</f>
        <v>527</v>
      </c>
      <c r="F259" s="48">
        <f>F257+F258</f>
        <v>401</v>
      </c>
      <c r="G259" s="48">
        <f>G257+G258</f>
        <v>313</v>
      </c>
      <c r="H259" s="48">
        <f>H257+H258</f>
        <v>776</v>
      </c>
    </row>
    <row r="261" spans="2:10" ht="15" customHeight="1" x14ac:dyDescent="0.35">
      <c r="B261" s="40" t="s">
        <v>447</v>
      </c>
      <c r="C261" s="41" t="s">
        <v>448</v>
      </c>
      <c r="E261" s="49">
        <f>'Reported Financials'!E134+'Reported Financials'!E144+'Reported Financials'!E146</f>
        <v>1</v>
      </c>
      <c r="F261" s="49">
        <f>'Reported Financials'!F134+'Reported Financials'!F144+'Reported Financials'!F146</f>
        <v>0</v>
      </c>
      <c r="G261" s="49">
        <f>'Reported Financials'!G134+'Reported Financials'!G144+'Reported Financials'!G146</f>
        <v>1</v>
      </c>
      <c r="H261" s="49">
        <f>'Reported Financials'!H134+'Reported Financials'!H144+'Reported Financials'!H146</f>
        <v>2</v>
      </c>
      <c r="J261" s="43" t="s">
        <v>449</v>
      </c>
    </row>
    <row r="262" spans="2:10" ht="15" customHeight="1" x14ac:dyDescent="0.35">
      <c r="B262" s="40" t="s">
        <v>450</v>
      </c>
      <c r="C262" s="41" t="s">
        <v>448</v>
      </c>
      <c r="E262" s="49">
        <f>-('Reported Financials'!E165+'Reported Financials'!E174+'Reported Financials'!E176)</f>
        <v>0</v>
      </c>
      <c r="F262" s="49">
        <f>-('Reported Financials'!F165+'Reported Financials'!F174+'Reported Financials'!F176)</f>
        <v>1</v>
      </c>
      <c r="G262" s="49">
        <f>-('Reported Financials'!G165+'Reported Financials'!G174+'Reported Financials'!G176)</f>
        <v>0</v>
      </c>
      <c r="H262" s="49">
        <f>-('Reported Financials'!H165+'Reported Financials'!H174+'Reported Financials'!H176)</f>
        <v>-1</v>
      </c>
      <c r="J262" s="43" t="s">
        <v>451</v>
      </c>
    </row>
    <row r="264" spans="2:10" ht="15" customHeight="1" x14ac:dyDescent="0.35">
      <c r="B264" s="46" t="s">
        <v>452</v>
      </c>
      <c r="C264" s="47"/>
      <c r="D264" s="47"/>
      <c r="E264" s="48">
        <f>E250+E259+E261+E262</f>
        <v>3384</v>
      </c>
      <c r="F264" s="48">
        <f>F250+F259+F261+F262</f>
        <v>4706</v>
      </c>
      <c r="G264" s="48">
        <f>G250+G259+G261+G262</f>
        <v>5704</v>
      </c>
      <c r="H264" s="48">
        <f>H250+H259+H261+H262</f>
        <v>5245</v>
      </c>
      <c r="J264" s="43" t="s">
        <v>453</v>
      </c>
    </row>
    <row r="266" spans="2:10" ht="15" customHeight="1" x14ac:dyDescent="0.35">
      <c r="B266" s="53" t="s">
        <v>454</v>
      </c>
      <c r="C266" s="41" t="s">
        <v>32</v>
      </c>
      <c r="J266" s="43" t="s">
        <v>455</v>
      </c>
    </row>
    <row r="267" spans="2:10" ht="15" customHeight="1" x14ac:dyDescent="0.35">
      <c r="B267" s="40" t="s">
        <v>456</v>
      </c>
      <c r="C267" s="41" t="s">
        <v>32</v>
      </c>
      <c r="E267" s="42">
        <f>'Reported Financials'!E162</f>
        <v>517</v>
      </c>
      <c r="F267" s="42">
        <f>'Reported Financials'!F162</f>
        <v>1503</v>
      </c>
      <c r="G267" s="42">
        <f>'Reported Financials'!G162</f>
        <v>1871</v>
      </c>
      <c r="H267" s="42">
        <f>'Reported Financials'!H162</f>
        <v>1155</v>
      </c>
      <c r="J267" s="43" t="s">
        <v>457</v>
      </c>
    </row>
    <row r="268" spans="2:10" ht="15" customHeight="1" x14ac:dyDescent="0.35">
      <c r="B268" s="40" t="s">
        <v>458</v>
      </c>
      <c r="C268" s="41" t="s">
        <v>32</v>
      </c>
      <c r="E268" s="42">
        <f>'Reported Financials'!E168</f>
        <v>454</v>
      </c>
      <c r="F268" s="42">
        <f>'Reported Financials'!F168</f>
        <v>410</v>
      </c>
      <c r="G268" s="42">
        <f>'Reported Financials'!G168</f>
        <v>552</v>
      </c>
      <c r="H268" s="42">
        <f>'Reported Financials'!H168</f>
        <v>126</v>
      </c>
      <c r="J268" s="43" t="s">
        <v>457</v>
      </c>
    </row>
    <row r="269" spans="2:10" ht="15" customHeight="1" x14ac:dyDescent="0.35">
      <c r="B269" s="40" t="s">
        <v>459</v>
      </c>
      <c r="C269" s="41" t="s">
        <v>32</v>
      </c>
      <c r="E269" s="42">
        <f>'Reported Financials'!E198</f>
        <v>211</v>
      </c>
      <c r="F269" s="42">
        <f>'Reported Financials'!F198</f>
        <v>272</v>
      </c>
      <c r="G269" s="42">
        <f>'Reported Financials'!G198</f>
        <v>327</v>
      </c>
      <c r="H269" s="42">
        <f>'Reported Financials'!H198</f>
        <v>306</v>
      </c>
      <c r="J269" s="43" t="s">
        <v>460</v>
      </c>
    </row>
    <row r="270" spans="2:10" ht="15" customHeight="1" x14ac:dyDescent="0.35">
      <c r="B270" s="40" t="s">
        <v>461</v>
      </c>
      <c r="C270" s="41" t="s">
        <v>32</v>
      </c>
      <c r="E270" s="49">
        <f>-'Reported Financials'!E142</f>
        <v>-545</v>
      </c>
      <c r="F270" s="49">
        <f>-'Reported Financials'!F142</f>
        <v>-850</v>
      </c>
      <c r="G270" s="49">
        <f>-'Reported Financials'!G142</f>
        <v>-1184</v>
      </c>
      <c r="H270" s="49">
        <f>-'Reported Financials'!H142</f>
        <v>-1650</v>
      </c>
      <c r="J270" s="43" t="s">
        <v>462</v>
      </c>
    </row>
    <row r="271" spans="2:10" ht="15" customHeight="1" x14ac:dyDescent="0.35">
      <c r="B271" s="40" t="s">
        <v>463</v>
      </c>
      <c r="C271" s="41" t="s">
        <v>32</v>
      </c>
      <c r="E271" s="49">
        <f>-'Reported Financials'!E141</f>
        <v>-132</v>
      </c>
      <c r="F271" s="49">
        <f>-'Reported Financials'!F141</f>
        <v>0</v>
      </c>
      <c r="G271" s="49">
        <f>-'Reported Financials'!G141</f>
        <v>0</v>
      </c>
      <c r="H271" s="49">
        <f>-'Reported Financials'!H141</f>
        <v>0</v>
      </c>
      <c r="J271" s="43" t="s">
        <v>464</v>
      </c>
    </row>
    <row r="272" spans="2:10" ht="15" customHeight="1" x14ac:dyDescent="0.35">
      <c r="B272" s="50" t="s">
        <v>31</v>
      </c>
      <c r="C272" s="59" t="s">
        <v>32</v>
      </c>
      <c r="D272" s="51"/>
      <c r="E272" s="52">
        <f>E267+E268+E270+E271</f>
        <v>294</v>
      </c>
      <c r="F272" s="52">
        <f>F267+F268+F270+F271</f>
        <v>1063</v>
      </c>
      <c r="G272" s="52">
        <f>G267+G268+G270+G271</f>
        <v>1239</v>
      </c>
      <c r="H272" s="52">
        <f>H267+H268+H270+H271</f>
        <v>-369</v>
      </c>
      <c r="J272" s="43" t="s">
        <v>465</v>
      </c>
    </row>
    <row r="274" spans="2:10" ht="15" customHeight="1" x14ac:dyDescent="0.35">
      <c r="B274" s="40" t="s">
        <v>466</v>
      </c>
      <c r="C274" s="41" t="s">
        <v>467</v>
      </c>
      <c r="E274" s="42">
        <f>'Reported Financials'!E156</f>
        <v>2819</v>
      </c>
      <c r="F274" s="42">
        <f>'Reported Financials'!F156</f>
        <v>3316</v>
      </c>
      <c r="G274" s="42">
        <f>'Reported Financials'!G156</f>
        <v>4050</v>
      </c>
      <c r="H274" s="42">
        <f>'Reported Financials'!H156</f>
        <v>5011</v>
      </c>
      <c r="J274" s="43" t="s">
        <v>468</v>
      </c>
    </row>
    <row r="275" spans="2:10" ht="15" customHeight="1" x14ac:dyDescent="0.35">
      <c r="B275" s="40" t="s">
        <v>469</v>
      </c>
      <c r="C275" s="41" t="s">
        <v>467</v>
      </c>
      <c r="E275" s="42">
        <f>'Reported Financials'!E157</f>
        <v>271</v>
      </c>
      <c r="F275" s="42">
        <f>'Reported Financials'!F157</f>
        <v>327</v>
      </c>
      <c r="G275" s="42">
        <f>'Reported Financials'!G157</f>
        <v>414</v>
      </c>
      <c r="H275" s="42">
        <f>'Reported Financials'!H157</f>
        <v>604</v>
      </c>
      <c r="J275" s="43" t="s">
        <v>470</v>
      </c>
    </row>
    <row r="276" spans="2:10" ht="15" customHeight="1" x14ac:dyDescent="0.35">
      <c r="B276" s="50" t="s">
        <v>471</v>
      </c>
      <c r="C276" s="51"/>
      <c r="D276" s="51"/>
      <c r="E276" s="52">
        <f>E274+E275+'Reported Financials'!E158</f>
        <v>3090</v>
      </c>
      <c r="F276" s="52">
        <f>F274+F275+'Reported Financials'!F158</f>
        <v>3643</v>
      </c>
      <c r="G276" s="52">
        <f>G274+G275+'Reported Financials'!G158</f>
        <v>4465</v>
      </c>
      <c r="H276" s="52">
        <f>H274+H275+'Reported Financials'!H158</f>
        <v>5614</v>
      </c>
    </row>
    <row r="278" spans="2:10" ht="15" customHeight="1" x14ac:dyDescent="0.35">
      <c r="B278" s="46" t="s">
        <v>472</v>
      </c>
      <c r="C278" s="47"/>
      <c r="D278" s="47"/>
      <c r="E278" s="48">
        <f>E272+E276</f>
        <v>3384</v>
      </c>
      <c r="F278" s="48">
        <f>F272+F276</f>
        <v>4706</v>
      </c>
      <c r="G278" s="48">
        <f>G272+G276</f>
        <v>5704</v>
      </c>
      <c r="H278" s="48">
        <f>H272+H276</f>
        <v>5245</v>
      </c>
      <c r="J278" s="43" t="s">
        <v>473</v>
      </c>
    </row>
    <row r="280" spans="2:10" ht="15" customHeight="1" x14ac:dyDescent="0.35">
      <c r="B280" s="53" t="s">
        <v>474</v>
      </c>
      <c r="C280" s="41" t="s">
        <v>475</v>
      </c>
    </row>
    <row r="281" spans="2:10" ht="15" customHeight="1" x14ac:dyDescent="0.35">
      <c r="B281" s="40" t="s">
        <v>476</v>
      </c>
      <c r="C281" s="41" t="s">
        <v>475</v>
      </c>
      <c r="E281" s="49">
        <f>E227+E248</f>
        <v>6616</v>
      </c>
      <c r="F281" s="49">
        <f>F227+F248</f>
        <v>10249</v>
      </c>
      <c r="G281" s="49">
        <f>G227+G248</f>
        <v>12794</v>
      </c>
      <c r="H281" s="49">
        <f>H227+H248</f>
        <v>13611</v>
      </c>
      <c r="J281" s="43" t="s">
        <v>477</v>
      </c>
    </row>
    <row r="282" spans="2:10" ht="15" customHeight="1" x14ac:dyDescent="0.35">
      <c r="B282" s="44" t="s">
        <v>478</v>
      </c>
      <c r="C282" s="41" t="s">
        <v>475</v>
      </c>
      <c r="E282" s="45">
        <f>E237/E281</f>
        <v>0.56831922611850061</v>
      </c>
      <c r="F282" s="45">
        <f>F237/F281</f>
        <v>0.58005659088691575</v>
      </c>
      <c r="G282" s="45">
        <f>G237/G281</f>
        <v>0.57870876973581364</v>
      </c>
      <c r="H282" s="45">
        <f>H237/H281</f>
        <v>0.67173609580486371</v>
      </c>
      <c r="J282" s="43" t="s">
        <v>479</v>
      </c>
    </row>
    <row r="283" spans="2:10" ht="15" customHeight="1" x14ac:dyDescent="0.35">
      <c r="B283" s="40" t="s">
        <v>480</v>
      </c>
      <c r="C283" s="41" t="s">
        <v>475</v>
      </c>
      <c r="E283" s="49">
        <f>E272-E258</f>
        <v>283</v>
      </c>
      <c r="F283" s="49">
        <f>F272-F258</f>
        <v>1052</v>
      </c>
      <c r="G283" s="49">
        <f>G272-G258</f>
        <v>1220</v>
      </c>
      <c r="H283" s="49">
        <f>H272-H258</f>
        <v>-395</v>
      </c>
      <c r="J283" s="43" t="s">
        <v>481</v>
      </c>
    </row>
    <row r="284" spans="2:10" ht="15" customHeight="1" x14ac:dyDescent="0.35">
      <c r="B284" s="40" t="s">
        <v>482</v>
      </c>
      <c r="C284" s="41" t="s">
        <v>475</v>
      </c>
      <c r="E284" s="49">
        <f>E250+E257</f>
        <v>3372</v>
      </c>
      <c r="F284" s="49">
        <f>F250+F257</f>
        <v>4694</v>
      </c>
      <c r="G284" s="49">
        <f>G250+G257</f>
        <v>5684</v>
      </c>
      <c r="H284" s="49">
        <f>H250+H257</f>
        <v>5218</v>
      </c>
      <c r="J284" s="43" t="s">
        <v>483</v>
      </c>
    </row>
    <row r="285" spans="2:10" ht="15" customHeight="1" x14ac:dyDescent="0.35">
      <c r="B285" s="40" t="s">
        <v>484</v>
      </c>
      <c r="C285" s="41" t="s">
        <v>475</v>
      </c>
      <c r="E285" s="49">
        <f>E284+E261+E262-E283-E276</f>
        <v>0</v>
      </c>
      <c r="F285" s="49">
        <f>F284+F261+F262-F283-F276</f>
        <v>0</v>
      </c>
      <c r="G285" s="49">
        <f>G284+G261+G262-G283-G276</f>
        <v>0</v>
      </c>
      <c r="H285" s="49">
        <f>H284+H261+H262-H283-H276</f>
        <v>0</v>
      </c>
    </row>
    <row r="286" spans="2:10" ht="15" customHeight="1" x14ac:dyDescent="0.35">
      <c r="B286" s="40" t="s">
        <v>485</v>
      </c>
      <c r="C286" s="41" t="s">
        <v>475</v>
      </c>
      <c r="E286" s="49">
        <f>E268+E270+E271</f>
        <v>-223</v>
      </c>
      <c r="F286" s="49">
        <f>F268+F270+F271</f>
        <v>-440</v>
      </c>
      <c r="G286" s="49">
        <f>G268+G270+G271</f>
        <v>-632</v>
      </c>
      <c r="H286" s="49">
        <f>H268+H270+H271</f>
        <v>-1524</v>
      </c>
      <c r="J286" s="43" t="s">
        <v>311</v>
      </c>
    </row>
    <row r="287" spans="2:10" ht="15" customHeight="1" x14ac:dyDescent="0.35">
      <c r="B287" s="44" t="s">
        <v>486</v>
      </c>
      <c r="C287" s="41" t="s">
        <v>475</v>
      </c>
      <c r="F287" s="45">
        <f>F239/F12</f>
        <v>3.2887402452619841E-2</v>
      </c>
      <c r="G287" s="45">
        <f>G239/G12</f>
        <v>-2.3979261179520414E-2</v>
      </c>
      <c r="H287" s="45">
        <f>H239/H12</f>
        <v>-0.10045294413688978</v>
      </c>
      <c r="J287" s="43" t="s">
        <v>487</v>
      </c>
    </row>
    <row r="288" spans="2:10" ht="15" customHeight="1" x14ac:dyDescent="0.35">
      <c r="B288" s="44" t="s">
        <v>488</v>
      </c>
      <c r="C288" s="41" t="s">
        <v>475</v>
      </c>
      <c r="G288" s="45">
        <f>IFERROR((G239-F239)/(G12-F12),"n.a.")</f>
        <v>-0.78107606679035246</v>
      </c>
      <c r="H288" s="45">
        <f>IFERROR((H239-G239)/(H12-G12),"n.a.")</f>
        <v>-0.36621621621621619</v>
      </c>
      <c r="J288" s="43" t="s">
        <v>489</v>
      </c>
    </row>
    <row r="289" spans="1:10" ht="15" customHeight="1" x14ac:dyDescent="0.35">
      <c r="B289" s="40" t="s">
        <v>490</v>
      </c>
      <c r="C289" s="41" t="s">
        <v>475</v>
      </c>
      <c r="E289" s="57">
        <f>(E237+E267+E268)/E276</f>
        <v>1.5310679611650486</v>
      </c>
      <c r="F289" s="57">
        <f>(F237+F267+F268)/F276</f>
        <v>2.1570134504529235</v>
      </c>
      <c r="G289" s="57">
        <f>(G237+G267+G268)/G276</f>
        <v>2.200895856662934</v>
      </c>
      <c r="H289" s="57">
        <f>(H237+H267+H268)/H276</f>
        <v>1.8567866049162807</v>
      </c>
      <c r="J289" s="43" t="s">
        <v>491</v>
      </c>
    </row>
    <row r="290" spans="1:10" ht="15" customHeight="1" x14ac:dyDescent="0.35">
      <c r="B290" s="40" t="s">
        <v>492</v>
      </c>
      <c r="C290" s="41" t="s">
        <v>475</v>
      </c>
      <c r="E290" s="57">
        <f>('Reported Financials'!E147-E276)/E276</f>
        <v>1.6200647249190938</v>
      </c>
      <c r="F290" s="57">
        <f>('Reported Financials'!F147-F276)/F276</f>
        <v>2.213560252539116</v>
      </c>
      <c r="G290" s="57">
        <f>('Reported Financials'!G147-G276)/G276</f>
        <v>2.212541993281075</v>
      </c>
      <c r="H290" s="57">
        <f>('Reported Financials'!H147-H276)/H276</f>
        <v>1.9875311720698254</v>
      </c>
      <c r="J290" s="43" t="s">
        <v>493</v>
      </c>
    </row>
    <row r="291" spans="1:10" ht="15" customHeight="1" x14ac:dyDescent="0.35">
      <c r="B291" s="40" t="s">
        <v>494</v>
      </c>
      <c r="C291" s="41" t="s">
        <v>475</v>
      </c>
      <c r="E291" s="57">
        <f>(E267+E268)/E276</f>
        <v>0.31423948220064724</v>
      </c>
      <c r="F291" s="57">
        <f>(F267+F268)/F276</f>
        <v>0.52511666209168273</v>
      </c>
      <c r="G291" s="57">
        <f>(G267+G268)/G276</f>
        <v>0.54266517357222843</v>
      </c>
      <c r="H291" s="57">
        <f>(H267+H268)/H276</f>
        <v>0.22817955112219451</v>
      </c>
      <c r="J291" s="43" t="s">
        <v>495</v>
      </c>
    </row>
    <row r="292" spans="1:10" ht="15" customHeight="1" x14ac:dyDescent="0.35">
      <c r="B292" s="44" t="s">
        <v>496</v>
      </c>
      <c r="C292" s="41" t="s">
        <v>475</v>
      </c>
      <c r="E292" s="45">
        <f>('Reported Financials'!E147-E276)/'Reported Financials'!E147</f>
        <v>0.61833003952569165</v>
      </c>
      <c r="F292" s="45">
        <f>('Reported Financials'!F147-F276)/'Reported Financials'!F147</f>
        <v>0.68881865550525323</v>
      </c>
      <c r="G292" s="45">
        <f>('Reported Financials'!G147-G276)/'Reported Financials'!G147</f>
        <v>0.68872002230897933</v>
      </c>
      <c r="H292" s="45">
        <f>('Reported Financials'!H147-H276)/'Reported Financials'!H147</f>
        <v>0.6652754590984975</v>
      </c>
      <c r="J292" s="43" t="s">
        <v>497</v>
      </c>
    </row>
    <row r="293" spans="1:10" ht="15" customHeight="1" x14ac:dyDescent="0.35">
      <c r="B293" s="40" t="s">
        <v>498</v>
      </c>
      <c r="C293" s="41" t="s">
        <v>475</v>
      </c>
      <c r="E293" s="57">
        <f>E272/E276</f>
        <v>9.5145631067961159E-2</v>
      </c>
      <c r="F293" s="57">
        <f>F272/F276</f>
        <v>0.29179247872632447</v>
      </c>
      <c r="G293" s="57">
        <f>G272/G276</f>
        <v>0.27749160134378498</v>
      </c>
      <c r="H293" s="57">
        <f>H272/H276</f>
        <v>-6.5728535803348767E-2</v>
      </c>
      <c r="J293" s="43" t="s">
        <v>499</v>
      </c>
    </row>
    <row r="294" spans="1:10" ht="15" customHeight="1" x14ac:dyDescent="0.35">
      <c r="B294" s="40" t="s">
        <v>500</v>
      </c>
      <c r="C294" s="41" t="s">
        <v>475</v>
      </c>
      <c r="E294" s="57">
        <f>E283/E276</f>
        <v>9.1585760517799347E-2</v>
      </c>
      <c r="F294" s="57">
        <f>F283/F276</f>
        <v>0.28877298929453749</v>
      </c>
      <c r="G294" s="57">
        <f>G283/G276</f>
        <v>0.2732362821948488</v>
      </c>
      <c r="H294" s="57">
        <f>H283/H276</f>
        <v>-7.0359814748842175E-2</v>
      </c>
      <c r="J294" s="43" t="s">
        <v>501</v>
      </c>
    </row>
    <row r="295" spans="1:10" ht="15" customHeight="1" x14ac:dyDescent="0.35">
      <c r="B295" s="40" t="s">
        <v>502</v>
      </c>
      <c r="C295" s="41" t="s">
        <v>475</v>
      </c>
      <c r="F295" s="57">
        <f>F272/F30</f>
        <v>0.92194275802254988</v>
      </c>
      <c r="G295" s="57">
        <f>G272/G30</f>
        <v>0.77340823970037453</v>
      </c>
      <c r="H295" s="57">
        <f>H272/H30</f>
        <v>-0.18826530612244899</v>
      </c>
      <c r="J295" s="43" t="s">
        <v>503</v>
      </c>
    </row>
    <row r="296" spans="1:10" ht="15" customHeight="1" x14ac:dyDescent="0.35">
      <c r="B296" s="40" t="s">
        <v>504</v>
      </c>
      <c r="C296" s="41" t="s">
        <v>475</v>
      </c>
      <c r="E296" s="57">
        <f>(E267+E268)/E274</f>
        <v>0.34444838595246541</v>
      </c>
      <c r="F296" s="57">
        <f>(F267+F268)/F274</f>
        <v>0.57689987937273823</v>
      </c>
      <c r="G296" s="57">
        <f>(G267+G268)/G274</f>
        <v>0.59827160493827158</v>
      </c>
      <c r="H296" s="57">
        <f>(H267+H268)/H274</f>
        <v>0.25563759728597085</v>
      </c>
      <c r="J296" s="43" t="s">
        <v>505</v>
      </c>
    </row>
    <row r="297" spans="1:10" ht="15" customHeight="1" x14ac:dyDescent="0.35">
      <c r="B297" s="44" t="s">
        <v>506</v>
      </c>
      <c r="C297" s="41" t="s">
        <v>475</v>
      </c>
      <c r="E297" s="45">
        <f>E275/E274</f>
        <v>9.613338063142958E-2</v>
      </c>
      <c r="F297" s="45">
        <f>F275/F274</f>
        <v>9.8612786489746682E-2</v>
      </c>
      <c r="G297" s="45">
        <f>G275/G274</f>
        <v>0.10222222222222223</v>
      </c>
      <c r="H297" s="45">
        <f>H275/H274</f>
        <v>0.1205348233885452</v>
      </c>
      <c r="J297" s="43" t="s">
        <v>505</v>
      </c>
    </row>
    <row r="298" spans="1:10" ht="15" customHeight="1" x14ac:dyDescent="0.35">
      <c r="B298" s="40" t="s">
        <v>507</v>
      </c>
      <c r="C298" s="41" t="s">
        <v>475</v>
      </c>
      <c r="E298" s="49">
        <f>'Reported Financials'!E147-E242</f>
        <v>7613</v>
      </c>
      <c r="F298" s="49">
        <f>'Reported Financials'!F147-F242</f>
        <v>10582</v>
      </c>
      <c r="G298" s="49">
        <f>'Reported Financials'!G147-G242</f>
        <v>12918</v>
      </c>
      <c r="H298" s="49">
        <f>'Reported Financials'!H147-H242</f>
        <v>15418</v>
      </c>
      <c r="J298" s="43" t="s">
        <v>508</v>
      </c>
    </row>
    <row r="299" spans="1:10" ht="15" customHeight="1" x14ac:dyDescent="0.35">
      <c r="B299" s="40" t="s">
        <v>509</v>
      </c>
      <c r="C299" s="41" t="s">
        <v>475</v>
      </c>
      <c r="E299" s="49">
        <f>E276-E242</f>
        <v>2607</v>
      </c>
      <c r="F299" s="49">
        <f>F276-F242</f>
        <v>2518</v>
      </c>
      <c r="G299" s="49">
        <f>G276-G242</f>
        <v>3039</v>
      </c>
      <c r="H299" s="49">
        <f>H276-H242</f>
        <v>4260</v>
      </c>
      <c r="J299" s="43" t="s">
        <v>508</v>
      </c>
    </row>
    <row r="301" spans="1:10" ht="15" customHeight="1" x14ac:dyDescent="0.35">
      <c r="A301" s="38" t="s">
        <v>5</v>
      </c>
      <c r="B301" s="39" t="s">
        <v>510</v>
      </c>
      <c r="C301" s="27"/>
      <c r="D301" s="27"/>
      <c r="E301" s="27"/>
      <c r="F301" s="27"/>
      <c r="G301" s="27"/>
      <c r="H301" s="27"/>
      <c r="I301" s="15"/>
      <c r="J301" s="15"/>
    </row>
    <row r="303" spans="1:10" ht="15" customHeight="1" x14ac:dyDescent="0.35">
      <c r="B303" s="34" t="s">
        <v>511</v>
      </c>
      <c r="C303" s="41" t="s">
        <v>512</v>
      </c>
      <c r="H303" s="60" t="s">
        <v>93</v>
      </c>
      <c r="J303" s="43" t="s">
        <v>513</v>
      </c>
    </row>
    <row r="305" spans="2:10" ht="15" customHeight="1" x14ac:dyDescent="0.35">
      <c r="B305" s="53" t="s">
        <v>514</v>
      </c>
      <c r="C305" s="41" t="s">
        <v>512</v>
      </c>
      <c r="J305" s="43" t="s">
        <v>515</v>
      </c>
    </row>
    <row r="306" spans="2:10" ht="15" customHeight="1" x14ac:dyDescent="0.35">
      <c r="B306" s="40" t="s">
        <v>516</v>
      </c>
      <c r="C306" s="41" t="s">
        <v>512</v>
      </c>
      <c r="F306" s="49">
        <f>IF($H$303="AVG",(('Reported Financials'!F147)+('Reported Financials'!E147))/2,'Reported Financials'!F147)</f>
        <v>11707</v>
      </c>
      <c r="G306" s="49">
        <f>IF($H$303="AVG",(('Reported Financials'!G147)+('Reported Financials'!F147))/2,'Reported Financials'!G147)</f>
        <v>14344</v>
      </c>
      <c r="H306" s="49">
        <f>IF($H$303="AVG",(('Reported Financials'!H147)+('Reported Financials'!G147))/2,'Reported Financials'!H147)</f>
        <v>16772</v>
      </c>
      <c r="J306" s="43" t="s">
        <v>517</v>
      </c>
    </row>
    <row r="307" spans="2:10" ht="15" customHeight="1" x14ac:dyDescent="0.35">
      <c r="B307" s="40" t="s">
        <v>518</v>
      </c>
      <c r="C307" s="41" t="s">
        <v>512</v>
      </c>
      <c r="F307" s="49">
        <f>IF($H$303="AVG",(('Reported Financials'!F147-F276)+('Reported Financials'!E147-E276))/2,'Reported Financials'!F147-F276)</f>
        <v>8064</v>
      </c>
      <c r="G307" s="49">
        <f>IF($H$303="AVG",(('Reported Financials'!G147-G276)+('Reported Financials'!F147-F276))/2,'Reported Financials'!G147-G276)</f>
        <v>9879</v>
      </c>
      <c r="H307" s="49">
        <f>IF($H$303="AVG",(('Reported Financials'!H147-H276)+('Reported Financials'!G147-G276))/2,'Reported Financials'!H147-H276)</f>
        <v>11158</v>
      </c>
      <c r="J307" s="43" t="s">
        <v>519</v>
      </c>
    </row>
    <row r="308" spans="2:10" ht="15" customHeight="1" x14ac:dyDescent="0.35">
      <c r="B308" s="40" t="s">
        <v>520</v>
      </c>
      <c r="C308" s="41" t="s">
        <v>512</v>
      </c>
      <c r="F308" s="49">
        <f>IF($H$303="AVG",((F276)+(E276))/2,F276)</f>
        <v>3643</v>
      </c>
      <c r="G308" s="49">
        <f>IF($H$303="AVG",((G276)+(F276))/2,G276)</f>
        <v>4465</v>
      </c>
      <c r="H308" s="49">
        <f>IF($H$303="AVG",((H276)+(G276))/2,H276)</f>
        <v>5614</v>
      </c>
      <c r="J308" s="43" t="s">
        <v>467</v>
      </c>
    </row>
    <row r="309" spans="2:10" ht="15" customHeight="1" x14ac:dyDescent="0.35">
      <c r="B309" s="40" t="s">
        <v>521</v>
      </c>
      <c r="C309" s="41" t="s">
        <v>512</v>
      </c>
      <c r="F309" s="49">
        <f>IF($H$303="AVG",((F281)+(E281))/2,F281)</f>
        <v>10249</v>
      </c>
      <c r="G309" s="49">
        <f>IF($H$303="AVG",((G281)+(F281))/2,G281)</f>
        <v>12794</v>
      </c>
      <c r="H309" s="49">
        <f>IF($H$303="AVG",((H281)+(G281))/2,H281)</f>
        <v>13611</v>
      </c>
      <c r="J309" s="43" t="s">
        <v>522</v>
      </c>
    </row>
    <row r="310" spans="2:10" ht="15" customHeight="1" x14ac:dyDescent="0.35">
      <c r="B310" s="40" t="s">
        <v>523</v>
      </c>
      <c r="C310" s="41" t="s">
        <v>512</v>
      </c>
      <c r="F310" s="49">
        <f>IF($H$303="AVG",((F237)+(E237))/2,F237)</f>
        <v>5945</v>
      </c>
      <c r="G310" s="49">
        <f>IF($H$303="AVG",((G237)+(F237))/2,G237)</f>
        <v>7404</v>
      </c>
      <c r="H310" s="49">
        <f>IF($H$303="AVG",((H237)+(G237))/2,H237)</f>
        <v>9143</v>
      </c>
      <c r="J310" s="43" t="s">
        <v>400</v>
      </c>
    </row>
    <row r="311" spans="2:10" ht="15" customHeight="1" x14ac:dyDescent="0.35">
      <c r="B311" s="40" t="s">
        <v>524</v>
      </c>
      <c r="C311" s="41" t="s">
        <v>512</v>
      </c>
      <c r="F311" s="49">
        <f>IF($H$303="AVG",((F250)+(E250))/2,F250)</f>
        <v>4304</v>
      </c>
      <c r="G311" s="49">
        <f>IF($H$303="AVG",((G250)+(F250))/2,G250)</f>
        <v>5390</v>
      </c>
      <c r="H311" s="49">
        <f>IF($H$303="AVG",((H250)+(G250))/2,H250)</f>
        <v>4468</v>
      </c>
      <c r="J311" s="43" t="s">
        <v>30</v>
      </c>
    </row>
    <row r="312" spans="2:10" ht="15" customHeight="1" x14ac:dyDescent="0.35">
      <c r="B312" s="40" t="s">
        <v>525</v>
      </c>
      <c r="C312" s="41" t="s">
        <v>512</v>
      </c>
      <c r="F312" s="49">
        <f>IF($H$303="AVG",((F259)+(E259))/2,F259)</f>
        <v>401</v>
      </c>
      <c r="G312" s="49">
        <f>IF($H$303="AVG",((G259)+(F259))/2,G259)</f>
        <v>313</v>
      </c>
      <c r="H312" s="49">
        <f>IF($H$303="AVG",((H259)+(G259))/2,H259)</f>
        <v>776</v>
      </c>
      <c r="J312" s="43" t="s">
        <v>432</v>
      </c>
    </row>
    <row r="313" spans="2:10" ht="15" customHeight="1" x14ac:dyDescent="0.35">
      <c r="B313" s="40" t="s">
        <v>526</v>
      </c>
      <c r="C313" s="41" t="s">
        <v>512</v>
      </c>
      <c r="F313" s="49">
        <f>IF($H$303="AVG",((F264)+(E264))/2,F264)</f>
        <v>4706</v>
      </c>
      <c r="G313" s="49">
        <f>IF($H$303="AVG",((G264)+(F264))/2,G264)</f>
        <v>5704</v>
      </c>
      <c r="H313" s="49">
        <f>IF($H$303="AVG",((H264)+(G264))/2,H264)</f>
        <v>5245</v>
      </c>
      <c r="J313" s="43" t="s">
        <v>527</v>
      </c>
    </row>
    <row r="314" spans="2:10" ht="15" customHeight="1" x14ac:dyDescent="0.35">
      <c r="B314" s="40" t="s">
        <v>528</v>
      </c>
      <c r="C314" s="41" t="s">
        <v>512</v>
      </c>
      <c r="F314" s="49">
        <f>IF($H$303="AVG",((F253+F254+F258)+(E253+E254+E258))/2,F253+F254+F258)</f>
        <v>412</v>
      </c>
      <c r="G314" s="49">
        <f>IF($H$303="AVG",((G253+G254+G258)+(F253+F254+F258))/2,G253+G254+G258)</f>
        <v>365</v>
      </c>
      <c r="H314" s="49">
        <f>IF($H$303="AVG",((H253+H254+H258)+(G253+G254+G258))/2,H253+H254+H258)</f>
        <v>239</v>
      </c>
      <c r="J314" s="43" t="s">
        <v>529</v>
      </c>
    </row>
    <row r="315" spans="2:10" ht="15" customHeight="1" x14ac:dyDescent="0.35">
      <c r="B315" s="40" t="s">
        <v>530</v>
      </c>
      <c r="C315" s="41" t="s">
        <v>512</v>
      </c>
      <c r="F315" s="49">
        <f>IF($H$303="AVG",((F267+F268)+(E267+E268))/2,F267+F268)</f>
        <v>1913</v>
      </c>
      <c r="G315" s="49">
        <f>IF($H$303="AVG",((G267+G268)+(F267+F268))/2,G267+G268)</f>
        <v>2423</v>
      </c>
      <c r="H315" s="49">
        <f>IF($H$303="AVG",((H267+H268)+(G267+G268))/2,H267+H268)</f>
        <v>1281</v>
      </c>
      <c r="J315" s="43" t="s">
        <v>531</v>
      </c>
    </row>
    <row r="316" spans="2:10" ht="15" customHeight="1" x14ac:dyDescent="0.35">
      <c r="B316" s="40" t="s">
        <v>532</v>
      </c>
      <c r="C316" s="41" t="s">
        <v>512</v>
      </c>
      <c r="F316" s="49">
        <f>IF($H$303="AVG",((-F270-F271)+(-E270-E271))/2,-F270-F271)</f>
        <v>850</v>
      </c>
      <c r="G316" s="49">
        <f>IF($H$303="AVG",((-G270-G271)+(-F270-F271))/2,-G270-G271)</f>
        <v>1184</v>
      </c>
      <c r="H316" s="49">
        <f>IF($H$303="AVG",((-H270-H271)+(-G270-G271))/2,-H270-H271)</f>
        <v>1650</v>
      </c>
      <c r="J316" s="43" t="s">
        <v>32</v>
      </c>
    </row>
    <row r="317" spans="2:10" ht="15" customHeight="1" x14ac:dyDescent="0.35">
      <c r="B317" s="40" t="s">
        <v>533</v>
      </c>
      <c r="C317" s="41" t="s">
        <v>512</v>
      </c>
      <c r="F317" s="49">
        <f>IF($H$303="AVG",((F272)+(E272))/2,F272)</f>
        <v>1063</v>
      </c>
      <c r="G317" s="49">
        <f>IF($H$303="AVG",((G272)+(F272))/2,G272)</f>
        <v>1239</v>
      </c>
      <c r="H317" s="49">
        <f>IF($H$303="AVG",((H272)+(G272))/2,H272)</f>
        <v>-369</v>
      </c>
      <c r="J317" s="43" t="s">
        <v>32</v>
      </c>
    </row>
    <row r="318" spans="2:10" ht="15" customHeight="1" x14ac:dyDescent="0.35">
      <c r="B318" s="40" t="s">
        <v>534</v>
      </c>
      <c r="C318" s="41" t="s">
        <v>512</v>
      </c>
      <c r="F318" s="49">
        <f>IF($H$303="AVG",((F283)+(E283))/2,F283)</f>
        <v>1052</v>
      </c>
      <c r="G318" s="49">
        <f>IF($H$303="AVG",((G283)+(F283))/2,G283)</f>
        <v>1220</v>
      </c>
      <c r="H318" s="49">
        <f>IF($H$303="AVG",((H283)+(G283))/2,H283)</f>
        <v>-395</v>
      </c>
      <c r="J318" s="43" t="s">
        <v>535</v>
      </c>
    </row>
    <row r="319" spans="2:10" ht="15" customHeight="1" x14ac:dyDescent="0.35">
      <c r="B319" s="40" t="s">
        <v>536</v>
      </c>
      <c r="C319" s="41" t="s">
        <v>512</v>
      </c>
      <c r="F319" s="49">
        <f>IF($H$303="AVG",((F257)+(E257))/2,F257)</f>
        <v>390</v>
      </c>
      <c r="G319" s="49">
        <f>IF($H$303="AVG",((G257)+(F257))/2,G257)</f>
        <v>294</v>
      </c>
      <c r="H319" s="49">
        <f>IF($H$303="AVG",((H257)+(G257))/2,H257)</f>
        <v>750</v>
      </c>
      <c r="J319" s="43" t="s">
        <v>537</v>
      </c>
    </row>
    <row r="320" spans="2:10" ht="15" customHeight="1" x14ac:dyDescent="0.35">
      <c r="B320" s="40" t="s">
        <v>538</v>
      </c>
      <c r="C320" s="41" t="s">
        <v>512</v>
      </c>
      <c r="F320" s="49">
        <f>IF($H$303="AVG",((F284)+(E284))/2,F284)</f>
        <v>4694</v>
      </c>
      <c r="G320" s="49">
        <f>IF($H$303="AVG",((G284)+(F284))/2,G284)</f>
        <v>5684</v>
      </c>
      <c r="H320" s="49">
        <f>IF($H$303="AVG",((H284)+(G284))/2,H284)</f>
        <v>5218</v>
      </c>
      <c r="J320" s="43" t="s">
        <v>539</v>
      </c>
    </row>
    <row r="321" spans="2:10" ht="15" customHeight="1" x14ac:dyDescent="0.35">
      <c r="B321" s="40" t="s">
        <v>540</v>
      </c>
      <c r="C321" s="41" t="s">
        <v>512</v>
      </c>
      <c r="F321" s="49">
        <f>IF($H$303="AVG",((F239)+(E239))/2,F239)</f>
        <v>236</v>
      </c>
      <c r="G321" s="49">
        <f>IF($H$303="AVG",((G239)+(F239))/2,G239)</f>
        <v>-185</v>
      </c>
      <c r="H321" s="49">
        <f>IF($H$303="AVG",((H239)+(G239))/2,H239)</f>
        <v>-998</v>
      </c>
      <c r="J321" s="43" t="s">
        <v>30</v>
      </c>
    </row>
    <row r="322" spans="2:10" ht="15" customHeight="1" x14ac:dyDescent="0.35">
      <c r="B322" s="40" t="s">
        <v>390</v>
      </c>
      <c r="C322" s="41" t="s">
        <v>512</v>
      </c>
      <c r="F322" s="49">
        <f>IF($H$303="AVG",((F223)+(E223))/2,F223)</f>
        <v>2021</v>
      </c>
      <c r="G322" s="49">
        <f>IF($H$303="AVG",((G223)+(F223))/2,G223)</f>
        <v>1959</v>
      </c>
      <c r="H322" s="49">
        <f>IF($H$303="AVG",((H223)+(G223))/2,H223)</f>
        <v>1907</v>
      </c>
      <c r="J322" s="43" t="s">
        <v>384</v>
      </c>
    </row>
    <row r="323" spans="2:10" ht="15" customHeight="1" x14ac:dyDescent="0.35">
      <c r="B323" s="40" t="s">
        <v>386</v>
      </c>
      <c r="C323" s="41" t="s">
        <v>512</v>
      </c>
      <c r="F323" s="49">
        <f>IF($H$303="AVG",((F221)+(E221))/2,F221)</f>
        <v>3244</v>
      </c>
      <c r="G323" s="49">
        <f>IF($H$303="AVG",((G221)+(F221))/2,G221)</f>
        <v>3989</v>
      </c>
      <c r="H323" s="49">
        <f>IF($H$303="AVG",((H221)+(G221))/2,H221)</f>
        <v>4721</v>
      </c>
      <c r="J323" s="43" t="s">
        <v>384</v>
      </c>
    </row>
    <row r="324" spans="2:10" ht="15" customHeight="1" x14ac:dyDescent="0.35">
      <c r="B324" s="40" t="s">
        <v>402</v>
      </c>
      <c r="C324" s="41" t="s">
        <v>512</v>
      </c>
      <c r="F324" s="49">
        <f>IF($H$303="AVG",((F230)+(E230))/2,F230)</f>
        <v>1222</v>
      </c>
      <c r="G324" s="49">
        <f>IF($H$303="AVG",((G230)+(F230))/2,G230)</f>
        <v>1151</v>
      </c>
      <c r="H324" s="49">
        <f>IF($H$303="AVG",((H230)+(G230))/2,H230)</f>
        <v>1186</v>
      </c>
      <c r="J324" s="43" t="s">
        <v>400</v>
      </c>
    </row>
    <row r="325" spans="2:10" ht="15" customHeight="1" x14ac:dyDescent="0.35">
      <c r="B325" s="40" t="s">
        <v>541</v>
      </c>
      <c r="C325" s="41" t="s">
        <v>512</v>
      </c>
      <c r="F325" s="49">
        <f>IF($H$303="AVG",((F245+F244)+(E245+E244))/2,F245+F244)</f>
        <v>1641</v>
      </c>
      <c r="G325" s="49">
        <f>IF($H$303="AVG",((G245+G244)+(F245+F244))/2,G245+G244)</f>
        <v>2187</v>
      </c>
      <c r="H325" s="49">
        <f>IF($H$303="AVG",((H245+H244)+(G245+G244))/2,H245+H244)</f>
        <v>2300</v>
      </c>
      <c r="J325" s="43" t="s">
        <v>542</v>
      </c>
    </row>
    <row r="326" spans="2:10" ht="15" customHeight="1" x14ac:dyDescent="0.35">
      <c r="B326" s="40" t="s">
        <v>543</v>
      </c>
      <c r="C326" s="41" t="s">
        <v>512</v>
      </c>
      <c r="F326" s="49">
        <f>IF($H$303="AVG",((F245+F244+F242+F243)+(E245+E244+E242+E243))/2,F245+F244+F242+F243)</f>
        <v>3718</v>
      </c>
      <c r="G326" s="49">
        <f>IF($H$303="AVG",((G245+G244+G242+G243)+(F245+F244+F242+F243))/2,G245+G244+G242+G243)</f>
        <v>4989</v>
      </c>
      <c r="H326" s="49">
        <f>IF($H$303="AVG",((H245+H244+H242+H243)+(G245+G244+G242+G243))/2,H245+H244+H242+H243)</f>
        <v>4898</v>
      </c>
      <c r="J326" s="43" t="s">
        <v>544</v>
      </c>
    </row>
    <row r="327" spans="2:10" ht="15" customHeight="1" x14ac:dyDescent="0.35">
      <c r="B327" s="40" t="s">
        <v>418</v>
      </c>
      <c r="C327" s="41" t="s">
        <v>512</v>
      </c>
      <c r="F327" s="49">
        <f>IF($H$303="AVG",((F242)+(E242))/2,F242)</f>
        <v>1125</v>
      </c>
      <c r="G327" s="49">
        <f>IF($H$303="AVG",((G242)+(F242))/2,G242)</f>
        <v>1426</v>
      </c>
      <c r="H327" s="49">
        <f>IF($H$303="AVG",((H242)+(G242))/2,H242)</f>
        <v>1354</v>
      </c>
      <c r="J327" s="43" t="s">
        <v>545</v>
      </c>
    </row>
    <row r="328" spans="2:10" ht="15" customHeight="1" x14ac:dyDescent="0.35">
      <c r="B328" s="40" t="s">
        <v>546</v>
      </c>
      <c r="C328" s="41" t="s">
        <v>512</v>
      </c>
      <c r="F328" s="49">
        <f>IF($H$303="AVG",(('Reported Financials'!F211)+('Reported Financials'!E211))/2,'Reported Financials'!F211)</f>
        <v>3936</v>
      </c>
      <c r="G328" s="49">
        <f>IF($H$303="AVG",(('Reported Financials'!G211)+('Reported Financials'!F211))/2,'Reported Financials'!G211)</f>
        <v>4351</v>
      </c>
      <c r="H328" s="49">
        <f>IF($H$303="AVG",(('Reported Financials'!H211)+('Reported Financials'!G211))/2,'Reported Financials'!H211)</f>
        <v>3015</v>
      </c>
      <c r="J328" s="43" t="s">
        <v>547</v>
      </c>
    </row>
    <row r="329" spans="2:10" ht="15" customHeight="1" x14ac:dyDescent="0.35">
      <c r="B329" s="40" t="s">
        <v>548</v>
      </c>
      <c r="C329" s="41" t="s">
        <v>512</v>
      </c>
      <c r="F329" s="49">
        <f>F309+F314</f>
        <v>10661</v>
      </c>
      <c r="G329" s="49">
        <f>G309+G314</f>
        <v>13159</v>
      </c>
      <c r="H329" s="49">
        <f>H309+H314</f>
        <v>13850</v>
      </c>
      <c r="J329" s="43" t="s">
        <v>549</v>
      </c>
    </row>
    <row r="330" spans="2:10" ht="15" customHeight="1" x14ac:dyDescent="0.35">
      <c r="B330" s="40" t="s">
        <v>550</v>
      </c>
      <c r="C330" s="41" t="s">
        <v>512</v>
      </c>
      <c r="F330" s="49">
        <f>F311+F314</f>
        <v>4716</v>
      </c>
      <c r="G330" s="49">
        <f>G311+G314</f>
        <v>5755</v>
      </c>
      <c r="H330" s="49">
        <f>H311+H314</f>
        <v>4707</v>
      </c>
      <c r="J330" s="43" t="s">
        <v>551</v>
      </c>
    </row>
    <row r="332" spans="2:10" ht="15" customHeight="1" x14ac:dyDescent="0.35">
      <c r="B332" s="53" t="s">
        <v>552</v>
      </c>
    </row>
    <row r="334" spans="2:10" ht="15" customHeight="1" x14ac:dyDescent="0.35">
      <c r="B334" s="61" t="s">
        <v>553</v>
      </c>
      <c r="C334" s="54" t="s">
        <v>554</v>
      </c>
      <c r="D334" s="47"/>
      <c r="E334" s="47"/>
      <c r="F334" s="62">
        <f>'Reported Financials'!F78/F306</f>
        <v>5.0055522337063292E-2</v>
      </c>
      <c r="G334" s="62">
        <f>'Reported Financials'!G78/G306</f>
        <v>5.6330172894590073E-2</v>
      </c>
      <c r="H334" s="62">
        <f>'Reported Financials'!H78/H306</f>
        <v>4.9785356546625331E-2</v>
      </c>
      <c r="J334" s="43" t="s">
        <v>555</v>
      </c>
    </row>
    <row r="336" spans="2:10" ht="15" customHeight="1" x14ac:dyDescent="0.35">
      <c r="B336" s="53" t="s">
        <v>556</v>
      </c>
      <c r="C336" s="41" t="s">
        <v>557</v>
      </c>
      <c r="J336" s="43" t="s">
        <v>558</v>
      </c>
    </row>
    <row r="337" spans="2:10" ht="15" customHeight="1" x14ac:dyDescent="0.35">
      <c r="B337" s="44" t="s">
        <v>559</v>
      </c>
      <c r="C337" s="41" t="s">
        <v>557</v>
      </c>
      <c r="F337" s="45">
        <f>F36/F309</f>
        <v>8.2056786027905157E-2</v>
      </c>
      <c r="G337" s="45">
        <f>G36/G309</f>
        <v>0.10207909957792716</v>
      </c>
      <c r="H337" s="45">
        <f>H36/H309</f>
        <v>0.11505400044081993</v>
      </c>
      <c r="J337" s="43" t="s">
        <v>560</v>
      </c>
    </row>
    <row r="338" spans="2:10" ht="15" customHeight="1" x14ac:dyDescent="0.35">
      <c r="B338" s="44" t="s">
        <v>561</v>
      </c>
      <c r="C338" s="41" t="s">
        <v>557</v>
      </c>
      <c r="F338" s="45">
        <f>F309/F329</f>
        <v>0.96135446956195481</v>
      </c>
      <c r="G338" s="45">
        <f>G309/G329</f>
        <v>0.97226232996428297</v>
      </c>
      <c r="H338" s="45">
        <f>H309/H329</f>
        <v>0.98274368231046927</v>
      </c>
    </row>
    <row r="339" spans="2:10" ht="15" customHeight="1" x14ac:dyDescent="0.35">
      <c r="B339" s="44" t="s">
        <v>562</v>
      </c>
      <c r="C339" s="41" t="s">
        <v>557</v>
      </c>
      <c r="F339" s="45">
        <f>F41/F314</f>
        <v>-1.6990291262135922E-2</v>
      </c>
      <c r="G339" s="45">
        <f>G41/G314</f>
        <v>-0.11506849315068493</v>
      </c>
      <c r="H339" s="45">
        <f>H41/H314</f>
        <v>-8.7866108786610872E-2</v>
      </c>
      <c r="J339" s="43" t="s">
        <v>563</v>
      </c>
    </row>
    <row r="340" spans="2:10" ht="15" customHeight="1" x14ac:dyDescent="0.35">
      <c r="B340" s="44" t="s">
        <v>564</v>
      </c>
      <c r="C340" s="41" t="s">
        <v>557</v>
      </c>
      <c r="F340" s="45">
        <f>F314/F329</f>
        <v>3.8645530438045209E-2</v>
      </c>
      <c r="G340" s="45">
        <f>G314/G329</f>
        <v>2.7737670035717001E-2</v>
      </c>
      <c r="H340" s="45">
        <f>H314/H329</f>
        <v>1.7256317689530686E-2</v>
      </c>
    </row>
    <row r="341" spans="2:10" ht="15" customHeight="1" x14ac:dyDescent="0.35">
      <c r="B341" s="63" t="s">
        <v>565</v>
      </c>
      <c r="C341" s="59" t="s">
        <v>557</v>
      </c>
      <c r="D341" s="51"/>
      <c r="E341" s="51"/>
      <c r="F341" s="64">
        <f>F43/F329</f>
        <v>7.8229059187693462E-2</v>
      </c>
      <c r="G341" s="64">
        <f>G43/G329</f>
        <v>9.6055931301770647E-2</v>
      </c>
      <c r="H341" s="64">
        <f>H43/H329</f>
        <v>0.11155234657039712</v>
      </c>
      <c r="J341" s="43" t="s">
        <v>566</v>
      </c>
    </row>
    <row r="342" spans="2:10" ht="15" customHeight="1" x14ac:dyDescent="0.35">
      <c r="B342" s="44" t="s">
        <v>567</v>
      </c>
      <c r="C342" s="41" t="s">
        <v>557</v>
      </c>
      <c r="F342" s="45">
        <f>(F43+F46)/F306</f>
        <v>7.3716579824036899E-2</v>
      </c>
      <c r="G342" s="45">
        <f>(G43+G46)/G306</f>
        <v>8.9096486335750139E-2</v>
      </c>
      <c r="H342" s="45">
        <f>(H43+H46)/H306</f>
        <v>9.2356308132601955E-2</v>
      </c>
      <c r="J342" s="43" t="s">
        <v>568</v>
      </c>
    </row>
    <row r="343" spans="2:10" ht="52.5" customHeight="1" x14ac:dyDescent="0.35">
      <c r="B343" s="134" t="s">
        <v>569</v>
      </c>
      <c r="C343" s="135"/>
      <c r="D343" s="135"/>
      <c r="E343" s="135"/>
      <c r="F343" s="135"/>
      <c r="G343" s="135"/>
      <c r="H343" s="135"/>
      <c r="I343" s="135"/>
      <c r="J343" s="135"/>
    </row>
    <row r="345" spans="2:10" ht="15" customHeight="1" x14ac:dyDescent="0.35">
      <c r="B345" s="53" t="s">
        <v>570</v>
      </c>
      <c r="C345" s="41" t="s">
        <v>571</v>
      </c>
      <c r="J345" s="43" t="s">
        <v>572</v>
      </c>
    </row>
    <row r="346" spans="2:10" ht="15" customHeight="1" x14ac:dyDescent="0.35">
      <c r="B346" s="44" t="s">
        <v>573</v>
      </c>
      <c r="C346" s="41" t="s">
        <v>571</v>
      </c>
      <c r="F346" s="45">
        <f>F36/F311</f>
        <v>0.19539962825278812</v>
      </c>
      <c r="G346" s="45">
        <f>G36/G311</f>
        <v>0.24230055658627087</v>
      </c>
      <c r="H346" s="45">
        <f>H36/H311</f>
        <v>0.35049239033124441</v>
      </c>
      <c r="J346" s="43" t="s">
        <v>574</v>
      </c>
    </row>
    <row r="347" spans="2:10" ht="15" customHeight="1" x14ac:dyDescent="0.35">
      <c r="B347" s="44" t="s">
        <v>575</v>
      </c>
      <c r="C347" s="41" t="s">
        <v>571</v>
      </c>
      <c r="F347" s="45">
        <f>F311/F330</f>
        <v>0.91263782866836307</v>
      </c>
      <c r="G347" s="45">
        <f>G311/G330</f>
        <v>0.93657688966116426</v>
      </c>
      <c r="H347" s="45">
        <f>H311/H330</f>
        <v>0.94922455916719783</v>
      </c>
    </row>
    <row r="348" spans="2:10" ht="15" customHeight="1" x14ac:dyDescent="0.35">
      <c r="B348" s="44" t="s">
        <v>562</v>
      </c>
      <c r="C348" s="41" t="s">
        <v>571</v>
      </c>
      <c r="F348" s="45">
        <f>F41/F314</f>
        <v>-1.6990291262135922E-2</v>
      </c>
      <c r="G348" s="45">
        <f>G41/G314</f>
        <v>-0.11506849315068493</v>
      </c>
      <c r="H348" s="45">
        <f>H41/H314</f>
        <v>-8.7866108786610872E-2</v>
      </c>
      <c r="J348" s="43" t="s">
        <v>576</v>
      </c>
    </row>
    <row r="349" spans="2:10" ht="15" customHeight="1" x14ac:dyDescent="0.35">
      <c r="B349" s="44" t="s">
        <v>577</v>
      </c>
      <c r="C349" s="41" t="s">
        <v>571</v>
      </c>
      <c r="F349" s="45">
        <f>F314/F330</f>
        <v>8.7362171331636984E-2</v>
      </c>
      <c r="G349" s="45">
        <f>G314/G330</f>
        <v>6.3423110338835798E-2</v>
      </c>
      <c r="H349" s="45">
        <f>H314/H330</f>
        <v>5.0775440832802207E-2</v>
      </c>
    </row>
    <row r="350" spans="2:10" ht="15" customHeight="1" x14ac:dyDescent="0.35">
      <c r="B350" s="63" t="s">
        <v>578</v>
      </c>
      <c r="C350" s="59" t="s">
        <v>571</v>
      </c>
      <c r="D350" s="51"/>
      <c r="E350" s="51"/>
      <c r="F350" s="64">
        <f>F43/F330</f>
        <v>0.17684478371501272</v>
      </c>
      <c r="G350" s="64">
        <f>G43/G330</f>
        <v>0.21963509991311903</v>
      </c>
      <c r="H350" s="64">
        <f>H43/H330</f>
        <v>0.32823454429572979</v>
      </c>
      <c r="J350" s="43" t="s">
        <v>579</v>
      </c>
    </row>
    <row r="351" spans="2:10" ht="40.5" customHeight="1" x14ac:dyDescent="0.35">
      <c r="B351" s="134" t="s">
        <v>580</v>
      </c>
      <c r="C351" s="135"/>
      <c r="D351" s="135"/>
      <c r="E351" s="135"/>
      <c r="F351" s="135"/>
      <c r="G351" s="135"/>
      <c r="H351" s="135"/>
      <c r="I351" s="135"/>
      <c r="J351" s="135"/>
    </row>
    <row r="353" spans="2:10" ht="15" customHeight="1" x14ac:dyDescent="0.35">
      <c r="B353" s="53" t="s">
        <v>581</v>
      </c>
      <c r="C353" s="41" t="s">
        <v>582</v>
      </c>
      <c r="J353" s="43" t="s">
        <v>583</v>
      </c>
    </row>
    <row r="354" spans="2:10" ht="15" customHeight="1" x14ac:dyDescent="0.35">
      <c r="B354" s="44" t="s">
        <v>584</v>
      </c>
      <c r="C354" s="41" t="s">
        <v>582</v>
      </c>
      <c r="F354" s="45">
        <f>F36/F12</f>
        <v>0.11719620958751394</v>
      </c>
      <c r="G354" s="45">
        <f>G36/G12</f>
        <v>0.1692806221646144</v>
      </c>
      <c r="H354" s="45">
        <f>H36/H12</f>
        <v>0.15762455963764468</v>
      </c>
      <c r="J354" s="43" t="s">
        <v>585</v>
      </c>
    </row>
    <row r="355" spans="2:10" ht="15" customHeight="1" x14ac:dyDescent="0.35">
      <c r="B355" s="40" t="s">
        <v>586</v>
      </c>
      <c r="C355" s="41" t="s">
        <v>582</v>
      </c>
      <c r="F355" s="57">
        <f>F12/F309</f>
        <v>0.70016586984096008</v>
      </c>
      <c r="G355" s="57">
        <f>G12/G309</f>
        <v>0.60301703923714245</v>
      </c>
      <c r="H355" s="57">
        <f>H12/H309</f>
        <v>0.7299243259128646</v>
      </c>
      <c r="J355" s="43" t="s">
        <v>587</v>
      </c>
    </row>
    <row r="356" spans="2:10" ht="15" customHeight="1" x14ac:dyDescent="0.35">
      <c r="B356" s="40" t="s">
        <v>588</v>
      </c>
      <c r="C356" s="41" t="s">
        <v>582</v>
      </c>
      <c r="F356" s="57">
        <f>F309/F311</f>
        <v>2.3812732342007434</v>
      </c>
      <c r="G356" s="57">
        <f>G309/G311</f>
        <v>2.3736549165120593</v>
      </c>
      <c r="H356" s="57">
        <f>H309/H311</f>
        <v>3.0463294538943599</v>
      </c>
      <c r="J356" s="43" t="s">
        <v>589</v>
      </c>
    </row>
    <row r="357" spans="2:10" ht="15" customHeight="1" x14ac:dyDescent="0.35">
      <c r="B357" s="44" t="s">
        <v>590</v>
      </c>
      <c r="C357" s="41" t="s">
        <v>582</v>
      </c>
      <c r="F357" s="45">
        <f>F310/F309</f>
        <v>0.58005659088691575</v>
      </c>
      <c r="G357" s="45">
        <f>G310/G309</f>
        <v>0.57870876973581364</v>
      </c>
      <c r="H357" s="45">
        <f>H310/H309</f>
        <v>0.67173609580486371</v>
      </c>
      <c r="J357" s="43" t="s">
        <v>591</v>
      </c>
    </row>
    <row r="358" spans="2:10" ht="15" customHeight="1" x14ac:dyDescent="0.35">
      <c r="B358" s="40" t="s">
        <v>592</v>
      </c>
      <c r="C358" s="41" t="s">
        <v>582</v>
      </c>
      <c r="F358" s="57">
        <f>1/(1-F357)</f>
        <v>2.381273234200743</v>
      </c>
      <c r="G358" s="57">
        <f>1/(1-G357)</f>
        <v>2.3736549165120593</v>
      </c>
      <c r="H358" s="57">
        <f>1/(1-H357)</f>
        <v>3.0463294538943599</v>
      </c>
      <c r="J358" s="43" t="s">
        <v>593</v>
      </c>
    </row>
    <row r="359" spans="2:10" ht="15" customHeight="1" x14ac:dyDescent="0.35">
      <c r="B359" s="63" t="s">
        <v>594</v>
      </c>
      <c r="C359" s="59" t="s">
        <v>582</v>
      </c>
      <c r="D359" s="51"/>
      <c r="E359" s="51"/>
      <c r="F359" s="64">
        <f>F354*F355*F356</f>
        <v>0.19539962825278809</v>
      </c>
      <c r="G359" s="64">
        <f>G354*G355*G356</f>
        <v>0.24230055658627089</v>
      </c>
      <c r="H359" s="64">
        <f>H354*H355*H356</f>
        <v>0.35049239033124441</v>
      </c>
      <c r="J359" s="43" t="s">
        <v>595</v>
      </c>
    </row>
    <row r="360" spans="2:10" ht="15" customHeight="1" x14ac:dyDescent="0.35">
      <c r="B360" s="44" t="s">
        <v>596</v>
      </c>
      <c r="C360" s="41" t="s">
        <v>582</v>
      </c>
      <c r="F360" s="45">
        <f>F354*F355</f>
        <v>8.2056786027905157E-2</v>
      </c>
      <c r="G360" s="45">
        <f>G354*G355</f>
        <v>0.10207909957792717</v>
      </c>
      <c r="H360" s="45">
        <f>H354*H355</f>
        <v>0.11505400044081993</v>
      </c>
      <c r="J360" s="43" t="s">
        <v>597</v>
      </c>
    </row>
    <row r="362" spans="2:10" ht="15" customHeight="1" x14ac:dyDescent="0.35">
      <c r="B362" s="44" t="s">
        <v>598</v>
      </c>
      <c r="C362" s="41" t="s">
        <v>582</v>
      </c>
      <c r="G362" s="45">
        <f>(G36+'Reported Financials'!G95)/G311</f>
        <v>0.25621521335807051</v>
      </c>
      <c r="J362" s="43" t="s">
        <v>599</v>
      </c>
    </row>
    <row r="363" spans="2:10" ht="15" customHeight="1" x14ac:dyDescent="0.35">
      <c r="B363" s="40" t="s">
        <v>600</v>
      </c>
      <c r="C363" s="41" t="s">
        <v>582</v>
      </c>
      <c r="G363" s="57">
        <f>(G12+'Reported Financials'!G94)/G309</f>
        <v>0.76184148819759268</v>
      </c>
      <c r="J363" s="43" t="s">
        <v>601</v>
      </c>
    </row>
    <row r="364" spans="2:10" ht="15" customHeight="1" x14ac:dyDescent="0.35">
      <c r="B364" s="44" t="s">
        <v>602</v>
      </c>
      <c r="C364" s="41" t="s">
        <v>582</v>
      </c>
      <c r="G364" s="45">
        <f>(G43+'Reported Financials'!G95)/G329</f>
        <v>0.10175545254198648</v>
      </c>
      <c r="J364" s="43" t="s">
        <v>603</v>
      </c>
    </row>
    <row r="365" spans="2:10" ht="15" customHeight="1" x14ac:dyDescent="0.35">
      <c r="B365" s="44" t="s">
        <v>604</v>
      </c>
      <c r="C365" s="41" t="s">
        <v>582</v>
      </c>
      <c r="G365" s="45">
        <f>(G43+'Reported Financials'!G95)/G330</f>
        <v>0.23266724587315377</v>
      </c>
      <c r="J365" s="43" t="s">
        <v>603</v>
      </c>
    </row>
    <row r="366" spans="2:10" ht="52.5" customHeight="1" x14ac:dyDescent="0.35">
      <c r="B366" s="134" t="s">
        <v>605</v>
      </c>
      <c r="C366" s="135"/>
      <c r="D366" s="135"/>
      <c r="E366" s="135"/>
      <c r="F366" s="135"/>
      <c r="G366" s="135"/>
      <c r="H366" s="135"/>
      <c r="I366" s="135"/>
      <c r="J366" s="135"/>
    </row>
    <row r="367" spans="2:10" ht="27.75" customHeight="1" x14ac:dyDescent="0.35">
      <c r="B367" s="134" t="e">
        <f>"Reading (RONA): operating liabilities fund "&amp;TEXT(H357,"0%")&amp;" of gross operating assets in 2025, and customer advances alone are "&amp;TEXT('Reported Financials'!H169,"#,##0")&amp;". Treating them as operating liabilities is the course rule (Session 4 slide 8), but the RONA jump ("&amp;TEXT(G359,"0.0%")&amp;" → "&amp;TEXT(H359,"0.0%")&amp;") comes from customers pre-financing Rheinmetall (gross/net "&amp;TEXT(G356,"0.00x")&amp;" → "&amp;TEXT(H356,"0.00x")&amp;"), not from higher margins: ROS "&amp;TEXT(G354,"0.0%")&amp;" → "&amp;TEXT(H354,"0.0%")&amp;"."</f>
        <v>#VALUE!</v>
      </c>
      <c r="C367" s="135"/>
      <c r="D367" s="135"/>
      <c r="E367" s="135"/>
      <c r="F367" s="135"/>
      <c r="G367" s="135"/>
      <c r="H367" s="135"/>
      <c r="I367" s="135"/>
      <c r="J367" s="135"/>
    </row>
    <row r="368" spans="2:10" ht="27.75" customHeight="1" x14ac:dyDescent="0.35">
      <c r="B368" s="134" t="s">
        <v>606</v>
      </c>
      <c r="C368" s="135"/>
      <c r="D368" s="135"/>
      <c r="E368" s="135"/>
      <c r="F368" s="135"/>
      <c r="G368" s="135"/>
      <c r="H368" s="135"/>
      <c r="I368" s="135"/>
      <c r="J368" s="135"/>
    </row>
    <row r="369" spans="2:10" ht="15" customHeight="1" x14ac:dyDescent="0.35">
      <c r="B369" s="53" t="s">
        <v>607</v>
      </c>
      <c r="C369" s="41" t="s">
        <v>608</v>
      </c>
    </row>
    <row r="370" spans="2:10" ht="15" customHeight="1" x14ac:dyDescent="0.35">
      <c r="B370" s="44" t="s">
        <v>486</v>
      </c>
      <c r="C370" s="41" t="s">
        <v>608</v>
      </c>
      <c r="F370" s="45">
        <f>F321/F12</f>
        <v>3.2887402452619841E-2</v>
      </c>
      <c r="G370" s="45">
        <f>G321/G12</f>
        <v>-2.3979261179520414E-2</v>
      </c>
      <c r="H370" s="45">
        <f>H321/H12</f>
        <v>-0.10045294413688978</v>
      </c>
      <c r="J370" s="43" t="s">
        <v>609</v>
      </c>
    </row>
    <row r="371" spans="2:10" ht="15" customHeight="1" x14ac:dyDescent="0.35">
      <c r="B371" s="40" t="s">
        <v>610</v>
      </c>
      <c r="C371" s="41" t="s">
        <v>608</v>
      </c>
      <c r="F371" s="65">
        <f>F322/(F12/360)</f>
        <v>101.38795986622074</v>
      </c>
      <c r="G371" s="65">
        <f>G322/(G12/360)</f>
        <v>91.411535968891769</v>
      </c>
      <c r="H371" s="65">
        <f>H322/(H12/360)</f>
        <v>69.101157523905385</v>
      </c>
      <c r="J371" s="43" t="s">
        <v>611</v>
      </c>
    </row>
    <row r="372" spans="2:10" ht="15" customHeight="1" x14ac:dyDescent="0.35">
      <c r="B372" s="40" t="s">
        <v>612</v>
      </c>
      <c r="C372" s="41" t="s">
        <v>608</v>
      </c>
      <c r="F372" s="65">
        <f>F323/((-F18-F19-F14)/360)</f>
        <v>350.80805046560528</v>
      </c>
      <c r="G372" s="65">
        <f>G323/((-G18-G19-G14)/360)</f>
        <v>389.48738812042308</v>
      </c>
      <c r="H372" s="65">
        <f>H323/((-H18-H19-H14)/360)</f>
        <v>350.7139909203467</v>
      </c>
      <c r="J372" s="43" t="s">
        <v>613</v>
      </c>
    </row>
    <row r="373" spans="2:10" ht="15" customHeight="1" x14ac:dyDescent="0.35">
      <c r="B373" s="40" t="s">
        <v>614</v>
      </c>
      <c r="C373" s="41" t="s">
        <v>608</v>
      </c>
      <c r="F373" s="65">
        <f>F324/((-F18-F19)/360)</f>
        <v>111.76829268292683</v>
      </c>
      <c r="G373" s="65">
        <f>G324/((-G18-G19)/360)</f>
        <v>112.20146222583266</v>
      </c>
      <c r="H373" s="65">
        <f>H324/((-H18-H19)/360)</f>
        <v>81.27926898914906</v>
      </c>
      <c r="J373" s="43" t="s">
        <v>615</v>
      </c>
    </row>
    <row r="374" spans="2:10" ht="15" customHeight="1" x14ac:dyDescent="0.35">
      <c r="B374" s="46" t="s">
        <v>616</v>
      </c>
      <c r="C374" s="54" t="s">
        <v>608</v>
      </c>
      <c r="D374" s="47"/>
      <c r="E374" s="47"/>
      <c r="F374" s="66">
        <f>F371+F372-F373</f>
        <v>340.4277176488992</v>
      </c>
      <c r="G374" s="66">
        <f>G371+G372-G373</f>
        <v>368.6974618634822</v>
      </c>
      <c r="H374" s="66">
        <f>H371+H372-H373</f>
        <v>338.53587945510304</v>
      </c>
      <c r="J374" s="43" t="s">
        <v>617</v>
      </c>
    </row>
    <row r="375" spans="2:10" ht="52.5" customHeight="1" x14ac:dyDescent="0.35">
      <c r="B375" s="134" t="s">
        <v>618</v>
      </c>
      <c r="C375" s="135"/>
      <c r="D375" s="135"/>
      <c r="E375" s="135"/>
      <c r="F375" s="135"/>
      <c r="G375" s="135"/>
      <c r="H375" s="135"/>
      <c r="I375" s="135"/>
      <c r="J375" s="135"/>
    </row>
    <row r="376" spans="2:10" ht="15" customHeight="1" x14ac:dyDescent="0.35">
      <c r="B376" s="40" t="s">
        <v>619</v>
      </c>
      <c r="C376" s="41" t="s">
        <v>608</v>
      </c>
      <c r="F376" s="57">
        <f>F12/F325</f>
        <v>4.3729433272394882</v>
      </c>
      <c r="G376" s="57">
        <f>G12/G325</f>
        <v>3.527663465935071</v>
      </c>
      <c r="H376" s="57">
        <f>H12/H325</f>
        <v>4.3195652173913039</v>
      </c>
      <c r="J376" s="43" t="s">
        <v>620</v>
      </c>
    </row>
    <row r="377" spans="2:10" ht="15" customHeight="1" x14ac:dyDescent="0.35">
      <c r="B377" s="40" t="s">
        <v>621</v>
      </c>
      <c r="C377" s="41" t="s">
        <v>608</v>
      </c>
      <c r="F377" s="57">
        <f>F12/F326</f>
        <v>1.93006993006993</v>
      </c>
      <c r="G377" s="57">
        <f>G12/G326</f>
        <v>1.5464020845860893</v>
      </c>
      <c r="H377" s="57">
        <f>H12/H326</f>
        <v>2.0283789301755819</v>
      </c>
      <c r="J377" s="43" t="s">
        <v>622</v>
      </c>
    </row>
    <row r="378" spans="2:10" ht="15" customHeight="1" x14ac:dyDescent="0.35">
      <c r="B378" s="40" t="s">
        <v>623</v>
      </c>
      <c r="C378" s="41" t="s">
        <v>608</v>
      </c>
      <c r="F378" s="49">
        <f>-('Reported Financials'!F221+'Reported Financials'!F222)</f>
        <v>396</v>
      </c>
      <c r="G378" s="49">
        <f>-('Reported Financials'!G221+'Reported Financials'!G222)</f>
        <v>722</v>
      </c>
      <c r="H378" s="49">
        <f>-('Reported Financials'!H221+'Reported Financials'!H222)</f>
        <v>862</v>
      </c>
      <c r="J378" s="43" t="s">
        <v>624</v>
      </c>
    </row>
    <row r="379" spans="2:10" ht="15" customHeight="1" x14ac:dyDescent="0.35">
      <c r="B379" s="44" t="s">
        <v>625</v>
      </c>
      <c r="C379" s="41" t="s">
        <v>608</v>
      </c>
      <c r="F379" s="45">
        <f>F378/F12</f>
        <v>5.5183946488294312E-2</v>
      </c>
      <c r="G379" s="45">
        <f>G378/G12</f>
        <v>9.3583927414128326E-2</v>
      </c>
      <c r="H379" s="45">
        <f>H378/H12</f>
        <v>8.6763965777554103E-2</v>
      </c>
      <c r="J379" s="43" t="s">
        <v>626</v>
      </c>
    </row>
    <row r="380" spans="2:10" ht="15" customHeight="1" x14ac:dyDescent="0.35">
      <c r="B380" s="40" t="s">
        <v>627</v>
      </c>
      <c r="C380" s="41" t="s">
        <v>608</v>
      </c>
      <c r="F380" s="57">
        <f>F378/'Reported Financials'!F220</f>
        <v>1.2857142857142858</v>
      </c>
      <c r="G380" s="57">
        <f>G378/'Reported Financials'!G220</f>
        <v>1.7915632754342432</v>
      </c>
      <c r="H380" s="57">
        <f>H378/'Reported Financials'!H220</f>
        <v>1.7205588822355289</v>
      </c>
      <c r="J380" s="43" t="s">
        <v>628</v>
      </c>
    </row>
    <row r="381" spans="2:10" ht="15" customHeight="1" x14ac:dyDescent="0.35">
      <c r="B381" s="40" t="s">
        <v>629</v>
      </c>
      <c r="C381" s="41" t="s">
        <v>608</v>
      </c>
      <c r="F381" s="57">
        <f>F378/-F34</f>
        <v>1.3112582781456954</v>
      </c>
      <c r="G381" s="57">
        <f>G378/-G34</f>
        <v>2.5422535211267605</v>
      </c>
      <c r="H381" s="57">
        <f>H378/-H34</f>
        <v>2.2159383033419022</v>
      </c>
      <c r="J381" s="43" t="s">
        <v>630</v>
      </c>
    </row>
    <row r="383" spans="2:10" ht="15" customHeight="1" x14ac:dyDescent="0.35">
      <c r="B383" s="53" t="s">
        <v>631</v>
      </c>
    </row>
    <row r="384" spans="2:10" ht="15" customHeight="1" x14ac:dyDescent="0.35">
      <c r="B384" s="40" t="s">
        <v>632</v>
      </c>
      <c r="C384" s="41" t="s">
        <v>633</v>
      </c>
      <c r="F384" s="49">
        <f>F311-F327</f>
        <v>3179</v>
      </c>
      <c r="G384" s="49">
        <f>G311-G327</f>
        <v>3964</v>
      </c>
      <c r="H384" s="49">
        <f>H311-H327</f>
        <v>3114</v>
      </c>
      <c r="J384" s="43" t="s">
        <v>634</v>
      </c>
    </row>
    <row r="385" spans="2:10" ht="15" customHeight="1" x14ac:dyDescent="0.35">
      <c r="B385" s="61" t="s">
        <v>635</v>
      </c>
      <c r="C385" s="54" t="s">
        <v>633</v>
      </c>
      <c r="D385" s="47"/>
      <c r="E385" s="47"/>
      <c r="F385" s="62">
        <f>F36/F384</f>
        <v>0.2645486001887386</v>
      </c>
      <c r="G385" s="62">
        <f>G36/G384</f>
        <v>0.32946518668012109</v>
      </c>
      <c r="H385" s="62">
        <f>H36/H384</f>
        <v>0.50289017341040465</v>
      </c>
      <c r="J385" s="43" t="s">
        <v>636</v>
      </c>
    </row>
    <row r="386" spans="2:10" ht="15" customHeight="1" x14ac:dyDescent="0.35">
      <c r="B386" s="40" t="s">
        <v>637</v>
      </c>
      <c r="C386" s="41" t="s">
        <v>638</v>
      </c>
      <c r="F386" s="49">
        <f>F309+F328</f>
        <v>14185</v>
      </c>
      <c r="G386" s="49">
        <f>G309+G328</f>
        <v>17145</v>
      </c>
      <c r="H386" s="49">
        <f>H309+H328</f>
        <v>16626</v>
      </c>
      <c r="J386" s="43" t="s">
        <v>639</v>
      </c>
    </row>
    <row r="387" spans="2:10" ht="15" customHeight="1" x14ac:dyDescent="0.35">
      <c r="B387" s="61" t="s">
        <v>640</v>
      </c>
      <c r="C387" s="54" t="s">
        <v>638</v>
      </c>
      <c r="D387" s="47"/>
      <c r="E387" s="47"/>
      <c r="F387" s="62">
        <f>F36/F386</f>
        <v>5.9287980260838917E-2</v>
      </c>
      <c r="G387" s="62">
        <f>G36/G386</f>
        <v>7.6173811606882469E-2</v>
      </c>
      <c r="H387" s="62">
        <f>H36/H386</f>
        <v>9.4189823168531223E-2</v>
      </c>
      <c r="J387" s="43" t="s">
        <v>641</v>
      </c>
    </row>
    <row r="388" spans="2:10" ht="15" customHeight="1" x14ac:dyDescent="0.35">
      <c r="B388" s="40" t="s">
        <v>642</v>
      </c>
      <c r="C388" s="41" t="s">
        <v>643</v>
      </c>
      <c r="F388" s="56" t="s">
        <v>644</v>
      </c>
      <c r="G388" s="56" t="s">
        <v>644</v>
      </c>
      <c r="H388" s="56" t="s">
        <v>644</v>
      </c>
      <c r="J388" s="43" t="s">
        <v>645</v>
      </c>
    </row>
    <row r="390" spans="2:10" ht="15" customHeight="1" x14ac:dyDescent="0.35">
      <c r="B390" s="53" t="s">
        <v>646</v>
      </c>
    </row>
    <row r="392" spans="2:10" ht="15" customHeight="1" x14ac:dyDescent="0.35">
      <c r="B392" s="63" t="s">
        <v>647</v>
      </c>
      <c r="C392" s="59" t="s">
        <v>648</v>
      </c>
      <c r="D392" s="51"/>
      <c r="E392" s="51"/>
      <c r="F392" s="64">
        <f>F81/F308</f>
        <v>0.16387592643425747</v>
      </c>
      <c r="G392" s="64">
        <f>G81/G308</f>
        <v>0.22374020156774915</v>
      </c>
      <c r="H392" s="64">
        <f>H81/H308</f>
        <v>0.14000712504453153</v>
      </c>
      <c r="J392" s="43" t="s">
        <v>649</v>
      </c>
    </row>
    <row r="393" spans="2:10" ht="15" customHeight="1" x14ac:dyDescent="0.35">
      <c r="B393" s="44" t="s">
        <v>650</v>
      </c>
      <c r="C393" s="41" t="s">
        <v>648</v>
      </c>
      <c r="F393" s="45">
        <f>'Reported Financials'!F78/F308</f>
        <v>0.16085643700247049</v>
      </c>
      <c r="G393" s="45">
        <f>'Reported Financials'!G78/G308</f>
        <v>0.18096304591265397</v>
      </c>
      <c r="H393" s="45">
        <f>'Reported Financials'!H78/H308</f>
        <v>0.14873530459565373</v>
      </c>
      <c r="J393" s="43" t="s">
        <v>651</v>
      </c>
    </row>
    <row r="394" spans="2:10" ht="15" customHeight="1" x14ac:dyDescent="0.35">
      <c r="B394" s="44" t="s">
        <v>652</v>
      </c>
      <c r="C394" s="41" t="s">
        <v>648</v>
      </c>
      <c r="F394" s="45">
        <f>'Reported Financials'!F119/F308</f>
        <v>3.0194894317869887E-3</v>
      </c>
      <c r="G394" s="45">
        <f>'Reported Financials'!G119/G308</f>
        <v>4.2777155655095184E-2</v>
      </c>
      <c r="H394" s="45">
        <f>'Reported Financials'!H119/H308</f>
        <v>-8.7281795511221939E-3</v>
      </c>
      <c r="J394" s="43" t="s">
        <v>653</v>
      </c>
    </row>
    <row r="395" spans="2:10" ht="52.5" customHeight="1" x14ac:dyDescent="0.35">
      <c r="B395" s="134" t="s">
        <v>654</v>
      </c>
      <c r="C395" s="135"/>
      <c r="D395" s="135"/>
      <c r="E395" s="135"/>
      <c r="F395" s="135"/>
      <c r="G395" s="135"/>
      <c r="H395" s="135"/>
      <c r="I395" s="135"/>
      <c r="J395" s="135"/>
    </row>
    <row r="397" spans="2:10" ht="15" customHeight="1" x14ac:dyDescent="0.35">
      <c r="B397" s="53" t="s">
        <v>655</v>
      </c>
      <c r="C397" s="41" t="s">
        <v>656</v>
      </c>
      <c r="J397" s="43" t="s">
        <v>657</v>
      </c>
    </row>
    <row r="398" spans="2:10" ht="15" customHeight="1" x14ac:dyDescent="0.35">
      <c r="B398" s="44" t="s">
        <v>658</v>
      </c>
      <c r="C398" s="41" t="s">
        <v>656</v>
      </c>
      <c r="F398" s="45">
        <f>'Reported Financials'!F78/F12</f>
        <v>8.1661092530657745E-2</v>
      </c>
      <c r="G398" s="45">
        <f>'Reported Financials'!G78/G12</f>
        <v>0.10473104342190538</v>
      </c>
      <c r="H398" s="45">
        <f>'Reported Financials'!H78/H12</f>
        <v>8.4046300956215403E-2</v>
      </c>
    </row>
    <row r="399" spans="2:10" ht="15" customHeight="1" x14ac:dyDescent="0.35">
      <c r="B399" s="40" t="s">
        <v>659</v>
      </c>
      <c r="C399" s="41" t="s">
        <v>656</v>
      </c>
      <c r="F399" s="57">
        <f>F12/F306</f>
        <v>0.61296660117878188</v>
      </c>
      <c r="G399" s="57">
        <f>G12/G306</f>
        <v>0.53785554935861679</v>
      </c>
      <c r="H399" s="57">
        <f>H12/H306</f>
        <v>0.59235630813260198</v>
      </c>
    </row>
    <row r="400" spans="2:10" ht="15" customHeight="1" x14ac:dyDescent="0.35">
      <c r="B400" s="40" t="s">
        <v>660</v>
      </c>
      <c r="C400" s="41" t="s">
        <v>656</v>
      </c>
      <c r="F400" s="57">
        <f>F306/F308</f>
        <v>3.213560252539116</v>
      </c>
      <c r="G400" s="57">
        <f>G306/G308</f>
        <v>3.212541993281075</v>
      </c>
      <c r="H400" s="57">
        <f>H306/H308</f>
        <v>2.9875311720698257</v>
      </c>
    </row>
    <row r="401" spans="2:10" ht="15" customHeight="1" x14ac:dyDescent="0.35">
      <c r="B401" s="40" t="s">
        <v>661</v>
      </c>
      <c r="C401" s="41" t="s">
        <v>656</v>
      </c>
      <c r="F401" s="57">
        <f>1+F307/F308</f>
        <v>3.213560252539116</v>
      </c>
      <c r="G401" s="57">
        <f>1+G307/G308</f>
        <v>3.212541993281075</v>
      </c>
      <c r="H401" s="57">
        <f>1+H307/H308</f>
        <v>2.9875311720698257</v>
      </c>
      <c r="J401" s="43" t="s">
        <v>662</v>
      </c>
    </row>
    <row r="402" spans="2:10" ht="15" customHeight="1" x14ac:dyDescent="0.35">
      <c r="B402" s="61" t="s">
        <v>663</v>
      </c>
      <c r="C402" s="54" t="s">
        <v>656</v>
      </c>
      <c r="D402" s="47"/>
      <c r="E402" s="47"/>
      <c r="F402" s="62">
        <f>F398*F399*F400</f>
        <v>0.16085643700247049</v>
      </c>
      <c r="G402" s="62">
        <f>G398*G399*G400</f>
        <v>0.18096304591265397</v>
      </c>
      <c r="H402" s="62">
        <f>H398*H399*H400</f>
        <v>0.14873530459565373</v>
      </c>
      <c r="J402" s="43" t="s">
        <v>664</v>
      </c>
    </row>
    <row r="404" spans="2:10" ht="15" customHeight="1" x14ac:dyDescent="0.35">
      <c r="B404" s="53" t="s">
        <v>665</v>
      </c>
      <c r="C404" s="41" t="s">
        <v>666</v>
      </c>
      <c r="J404" s="43" t="s">
        <v>667</v>
      </c>
    </row>
    <row r="405" spans="2:10" ht="15" customHeight="1" x14ac:dyDescent="0.35">
      <c r="B405" s="40" t="s">
        <v>668</v>
      </c>
      <c r="C405" s="41" t="s">
        <v>666</v>
      </c>
      <c r="F405" s="57">
        <f>'Reported Financials'!F78/'Reported Financials'!F73</f>
        <v>0.71901840490797542</v>
      </c>
      <c r="G405" s="57">
        <f>'Reported Financials'!G78/'Reported Financials'!G73</f>
        <v>0.69178082191780821</v>
      </c>
      <c r="H405" s="57">
        <f>'Reported Financials'!H78/'Reported Financials'!H73</f>
        <v>0.53117048346055984</v>
      </c>
      <c r="J405" s="43" t="s">
        <v>669</v>
      </c>
    </row>
    <row r="406" spans="2:10" ht="15" customHeight="1" x14ac:dyDescent="0.35">
      <c r="B406" s="40" t="s">
        <v>670</v>
      </c>
      <c r="C406" s="41" t="s">
        <v>666</v>
      </c>
      <c r="F406" s="57">
        <f>'Reported Financials'!F73/'Reported Financials'!F69</f>
        <v>0.90858416945373466</v>
      </c>
      <c r="G406" s="57">
        <f>'Reported Financials'!G73/'Reported Financials'!G69</f>
        <v>0.91968503937007873</v>
      </c>
      <c r="H406" s="57">
        <f>'Reported Financials'!H73/'Reported Financials'!H69</f>
        <v>0.9334916864608076</v>
      </c>
      <c r="J406" s="43" t="s">
        <v>671</v>
      </c>
    </row>
    <row r="407" spans="2:10" ht="15" customHeight="1" x14ac:dyDescent="0.35">
      <c r="B407" s="44" t="s">
        <v>672</v>
      </c>
      <c r="C407" s="41" t="s">
        <v>666</v>
      </c>
      <c r="F407" s="45">
        <f>'Reported Financials'!F69/F12</f>
        <v>0.125</v>
      </c>
      <c r="G407" s="45">
        <f>'Reported Financials'!G69/G12</f>
        <v>0.16461438755670771</v>
      </c>
      <c r="H407" s="45">
        <f>'Reported Financials'!H69/H12</f>
        <v>0.16950176144942125</v>
      </c>
      <c r="J407" s="43" t="s">
        <v>673</v>
      </c>
    </row>
    <row r="408" spans="2:10" ht="15" customHeight="1" x14ac:dyDescent="0.35">
      <c r="B408" s="40" t="s">
        <v>674</v>
      </c>
      <c r="C408" s="41" t="s">
        <v>666</v>
      </c>
      <c r="F408" s="57">
        <f>F12/F306</f>
        <v>0.61296660117878188</v>
      </c>
      <c r="G408" s="57">
        <f>G12/G306</f>
        <v>0.53785554935861679</v>
      </c>
      <c r="H408" s="57">
        <f>H12/H306</f>
        <v>0.59235630813260198</v>
      </c>
      <c r="J408" s="43" t="s">
        <v>675</v>
      </c>
    </row>
    <row r="409" spans="2:10" ht="15" customHeight="1" x14ac:dyDescent="0.35">
      <c r="B409" s="40" t="s">
        <v>676</v>
      </c>
      <c r="C409" s="41" t="s">
        <v>666</v>
      </c>
      <c r="F409" s="57">
        <f>F306/F308</f>
        <v>3.213560252539116</v>
      </c>
      <c r="G409" s="57">
        <f>G306/G308</f>
        <v>3.212541993281075</v>
      </c>
      <c r="H409" s="57">
        <f>H306/H308</f>
        <v>2.9875311720698257</v>
      </c>
      <c r="J409" s="43" t="s">
        <v>677</v>
      </c>
    </row>
    <row r="410" spans="2:10" ht="27.75" customHeight="1" x14ac:dyDescent="0.35">
      <c r="B410" s="134" t="s">
        <v>678</v>
      </c>
      <c r="C410" s="135"/>
      <c r="D410" s="135"/>
      <c r="E410" s="135"/>
      <c r="F410" s="135"/>
      <c r="G410" s="135"/>
      <c r="H410" s="135"/>
      <c r="I410" s="135"/>
      <c r="J410" s="135"/>
    </row>
    <row r="411" spans="2:10" ht="15" customHeight="1" x14ac:dyDescent="0.35">
      <c r="B411" s="61" t="s">
        <v>679</v>
      </c>
      <c r="C411" s="54" t="s">
        <v>666</v>
      </c>
      <c r="D411" s="47"/>
      <c r="E411" s="47"/>
      <c r="F411" s="62">
        <f>F405*F406*F407*F408*F409</f>
        <v>0.16085643700247049</v>
      </c>
      <c r="G411" s="62">
        <f>G405*G406*G407*G408*G409</f>
        <v>0.18096304591265394</v>
      </c>
      <c r="H411" s="62">
        <f>H405*H406*H407*H408*H409</f>
        <v>0.14873530459565376</v>
      </c>
      <c r="J411" s="43" t="s">
        <v>664</v>
      </c>
    </row>
    <row r="413" spans="2:10" ht="15" customHeight="1" x14ac:dyDescent="0.35">
      <c r="B413" s="53" t="s">
        <v>680</v>
      </c>
      <c r="C413" s="41" t="s">
        <v>681</v>
      </c>
      <c r="J413" s="43" t="s">
        <v>682</v>
      </c>
    </row>
    <row r="414" spans="2:10" ht="15" customHeight="1" x14ac:dyDescent="0.35">
      <c r="B414" s="40" t="s">
        <v>683</v>
      </c>
      <c r="C414" s="41" t="s">
        <v>681</v>
      </c>
      <c r="F414" s="49">
        <f>F43+F46</f>
        <v>863</v>
      </c>
      <c r="G414" s="49">
        <f>G43+G46</f>
        <v>1278</v>
      </c>
      <c r="H414" s="49">
        <f>H43+H46</f>
        <v>1549</v>
      </c>
      <c r="J414" s="43" t="s">
        <v>684</v>
      </c>
    </row>
    <row r="415" spans="2:10" ht="15" customHeight="1" x14ac:dyDescent="0.35">
      <c r="B415" s="40" t="s">
        <v>685</v>
      </c>
      <c r="C415" s="41" t="s">
        <v>681</v>
      </c>
      <c r="F415" s="49">
        <f>-F47</f>
        <v>101</v>
      </c>
      <c r="G415" s="49">
        <f>-G47</f>
        <v>104</v>
      </c>
      <c r="H415" s="49">
        <f>-H47</f>
        <v>111</v>
      </c>
      <c r="J415" s="43" t="s">
        <v>686</v>
      </c>
    </row>
    <row r="416" spans="2:10" ht="15" customHeight="1" x14ac:dyDescent="0.35">
      <c r="B416" s="44" t="s">
        <v>687</v>
      </c>
      <c r="C416" s="41" t="s">
        <v>681</v>
      </c>
      <c r="F416" s="45">
        <f t="shared" ref="F416:H417" si="4">F414/F306</f>
        <v>7.3716579824036899E-2</v>
      </c>
      <c r="G416" s="45">
        <f t="shared" si="4"/>
        <v>8.9096486335750139E-2</v>
      </c>
      <c r="H416" s="45">
        <f t="shared" si="4"/>
        <v>9.2356308132601955E-2</v>
      </c>
      <c r="J416" s="43" t="s">
        <v>688</v>
      </c>
    </row>
    <row r="417" spans="2:10" ht="15" customHeight="1" x14ac:dyDescent="0.35">
      <c r="B417" s="44" t="s">
        <v>689</v>
      </c>
      <c r="C417" s="41" t="s">
        <v>681</v>
      </c>
      <c r="F417" s="45">
        <f t="shared" si="4"/>
        <v>1.2524801587301588E-2</v>
      </c>
      <c r="G417" s="45">
        <f t="shared" si="4"/>
        <v>1.0527381313898168E-2</v>
      </c>
      <c r="H417" s="45">
        <f t="shared" si="4"/>
        <v>9.9480193583079413E-3</v>
      </c>
      <c r="J417" s="43" t="s">
        <v>690</v>
      </c>
    </row>
    <row r="418" spans="2:10" ht="15" customHeight="1" x14ac:dyDescent="0.35">
      <c r="B418" s="44" t="s">
        <v>691</v>
      </c>
      <c r="C418" s="41" t="s">
        <v>681</v>
      </c>
      <c r="F418" s="45">
        <f>F416-F417</f>
        <v>6.1191778236735314E-2</v>
      </c>
      <c r="G418" s="45">
        <f>G416-G417</f>
        <v>7.8569105021851965E-2</v>
      </c>
      <c r="H418" s="45">
        <f>H416-H417</f>
        <v>8.2408288774294014E-2</v>
      </c>
      <c r="J418" s="43" t="s">
        <v>692</v>
      </c>
    </row>
    <row r="419" spans="2:10" ht="15" customHeight="1" x14ac:dyDescent="0.35">
      <c r="B419" s="40" t="s">
        <v>693</v>
      </c>
      <c r="C419" s="41" t="s">
        <v>681</v>
      </c>
      <c r="F419" s="57">
        <f>F307/F308</f>
        <v>2.213560252539116</v>
      </c>
      <c r="G419" s="57">
        <f>G307/G308</f>
        <v>2.212541993281075</v>
      </c>
      <c r="H419" s="57">
        <f>H307/H308</f>
        <v>1.9875311720698254</v>
      </c>
      <c r="J419" s="43" t="s">
        <v>694</v>
      </c>
    </row>
    <row r="420" spans="2:10" ht="15" customHeight="1" x14ac:dyDescent="0.35">
      <c r="B420" s="40" t="s">
        <v>695</v>
      </c>
      <c r="C420" s="41" t="s">
        <v>681</v>
      </c>
      <c r="F420" s="57">
        <f>F81/F50</f>
        <v>0.78346456692913391</v>
      </c>
      <c r="G420" s="57">
        <f>G81/G50</f>
        <v>0.85093696763202731</v>
      </c>
      <c r="H420" s="57">
        <f>H81/H50</f>
        <v>0.54659248956884565</v>
      </c>
      <c r="J420" s="43" t="s">
        <v>696</v>
      </c>
    </row>
    <row r="421" spans="2:10" ht="15" customHeight="1" x14ac:dyDescent="0.35">
      <c r="B421" s="61" t="s">
        <v>697</v>
      </c>
      <c r="C421" s="54" t="s">
        <v>681</v>
      </c>
      <c r="D421" s="47"/>
      <c r="E421" s="47"/>
      <c r="F421" s="62">
        <f>(F416+F418*F419)*F420</f>
        <v>0.16387592643425747</v>
      </c>
      <c r="G421" s="62">
        <f>(G416+G418*G419)*G420</f>
        <v>0.22374020156774915</v>
      </c>
      <c r="H421" s="62">
        <f>(H416+H418*H419)*H420</f>
        <v>0.14000712504453153</v>
      </c>
      <c r="J421" s="43" t="s">
        <v>698</v>
      </c>
    </row>
    <row r="423" spans="2:10" ht="15" customHeight="1" x14ac:dyDescent="0.35">
      <c r="B423" s="53" t="s">
        <v>699</v>
      </c>
      <c r="C423" s="41" t="s">
        <v>700</v>
      </c>
      <c r="J423" s="43" t="s">
        <v>701</v>
      </c>
    </row>
    <row r="424" spans="2:10" ht="15" customHeight="1" x14ac:dyDescent="0.35">
      <c r="B424" s="40" t="s">
        <v>702</v>
      </c>
      <c r="C424" s="41" t="s">
        <v>700</v>
      </c>
      <c r="F424" s="49">
        <f>F315+F308</f>
        <v>5556</v>
      </c>
      <c r="G424" s="49">
        <f>G315+G308</f>
        <v>6888</v>
      </c>
      <c r="H424" s="49">
        <f>H315+H308</f>
        <v>6895</v>
      </c>
      <c r="J424" s="43" t="s">
        <v>703</v>
      </c>
    </row>
    <row r="425" spans="2:10" ht="15" customHeight="1" x14ac:dyDescent="0.35">
      <c r="B425" s="44" t="s">
        <v>704</v>
      </c>
      <c r="C425" s="41" t="s">
        <v>700</v>
      </c>
      <c r="F425" s="45">
        <f>F414/F424</f>
        <v>0.15532757379409648</v>
      </c>
      <c r="G425" s="45">
        <f>G414/G424</f>
        <v>0.18554006968641115</v>
      </c>
      <c r="H425" s="45">
        <f>H414/H424</f>
        <v>0.22465554749818709</v>
      </c>
      <c r="J425" s="43" t="s">
        <v>705</v>
      </c>
    </row>
    <row r="426" spans="2:10" ht="15" customHeight="1" x14ac:dyDescent="0.35">
      <c r="B426" s="44" t="s">
        <v>706</v>
      </c>
      <c r="C426" s="41" t="s">
        <v>700</v>
      </c>
      <c r="F426" s="45">
        <f>F36/F311</f>
        <v>0.19539962825278812</v>
      </c>
      <c r="G426" s="45">
        <f>G36/G311</f>
        <v>0.24230055658627087</v>
      </c>
      <c r="H426" s="45">
        <f>H36/H311</f>
        <v>0.35049239033124441</v>
      </c>
      <c r="J426" s="43" t="s">
        <v>707</v>
      </c>
    </row>
    <row r="427" spans="2:10" ht="15" customHeight="1" x14ac:dyDescent="0.35">
      <c r="B427" s="44" t="s">
        <v>708</v>
      </c>
      <c r="C427" s="41" t="s">
        <v>700</v>
      </c>
      <c r="F427" s="45">
        <f>F311/F424</f>
        <v>0.77465802735781142</v>
      </c>
      <c r="G427" s="45">
        <f>G311/G424</f>
        <v>0.78252032520325199</v>
      </c>
      <c r="H427" s="45">
        <f>H311/H424</f>
        <v>0.64800580130529373</v>
      </c>
    </row>
    <row r="428" spans="2:10" ht="15" customHeight="1" x14ac:dyDescent="0.35">
      <c r="B428" s="44" t="s">
        <v>709</v>
      </c>
      <c r="C428" s="41" t="s">
        <v>700</v>
      </c>
      <c r="F428" s="45">
        <f>F41/F312</f>
        <v>-1.7456359102244388E-2</v>
      </c>
      <c r="G428" s="45">
        <f>G41/G312</f>
        <v>-0.13418530351437699</v>
      </c>
      <c r="H428" s="45">
        <f>H41/H312</f>
        <v>-2.7061855670103094E-2</v>
      </c>
    </row>
    <row r="429" spans="2:10" ht="15" customHeight="1" x14ac:dyDescent="0.35">
      <c r="B429" s="44" t="s">
        <v>710</v>
      </c>
      <c r="C429" s="41" t="s">
        <v>700</v>
      </c>
      <c r="F429" s="45">
        <f>F312/F424</f>
        <v>7.2174226061915051E-2</v>
      </c>
      <c r="G429" s="45">
        <f>G312/G424</f>
        <v>4.5441347270615565E-2</v>
      </c>
      <c r="H429" s="45">
        <f>H312/H424</f>
        <v>0.11254532269760696</v>
      </c>
    </row>
    <row r="430" spans="2:10" ht="15" customHeight="1" x14ac:dyDescent="0.35">
      <c r="B430" s="44" t="s">
        <v>711</v>
      </c>
      <c r="C430" s="41" t="s">
        <v>700</v>
      </c>
      <c r="F430" s="45">
        <f>F46/F316</f>
        <v>3.411764705882353E-2</v>
      </c>
      <c r="G430" s="45">
        <f>G46/G316</f>
        <v>1.1824324324324325E-2</v>
      </c>
      <c r="H430" s="45">
        <f>H46/H316</f>
        <v>2.4242424242424242E-3</v>
      </c>
      <c r="J430" s="43" t="s">
        <v>712</v>
      </c>
    </row>
    <row r="431" spans="2:10" ht="15" customHeight="1" x14ac:dyDescent="0.35">
      <c r="B431" s="44" t="s">
        <v>713</v>
      </c>
      <c r="C431" s="41" t="s">
        <v>700</v>
      </c>
      <c r="F431" s="45">
        <f>F316/F424</f>
        <v>0.15298776097912167</v>
      </c>
      <c r="G431" s="45">
        <f>G316/G424</f>
        <v>0.1718931475029036</v>
      </c>
      <c r="H431" s="45">
        <f>H316/H424</f>
        <v>0.23930384336475707</v>
      </c>
    </row>
    <row r="432" spans="2:10" ht="15" customHeight="1" x14ac:dyDescent="0.35">
      <c r="B432" s="44" t="s">
        <v>714</v>
      </c>
      <c r="C432" s="41" t="s">
        <v>700</v>
      </c>
      <c r="F432" s="45">
        <f>F415/F315</f>
        <v>5.2796654469419758E-2</v>
      </c>
      <c r="G432" s="45">
        <f>G415/G315</f>
        <v>4.2921997523730909E-2</v>
      </c>
      <c r="H432" s="45">
        <f>H415/H315</f>
        <v>8.6651053864168617E-2</v>
      </c>
      <c r="J432" s="43" t="s">
        <v>715</v>
      </c>
    </row>
    <row r="433" spans="2:10" ht="15" customHeight="1" x14ac:dyDescent="0.35">
      <c r="B433" s="44" t="s">
        <v>716</v>
      </c>
      <c r="C433" s="41" t="s">
        <v>700</v>
      </c>
      <c r="F433" s="45">
        <f>F425-F432</f>
        <v>0.10253091932467673</v>
      </c>
      <c r="G433" s="45">
        <f>G425-G432</f>
        <v>0.14261807216268024</v>
      </c>
      <c r="H433" s="45">
        <f>H425-H432</f>
        <v>0.13800449363401845</v>
      </c>
    </row>
    <row r="434" spans="2:10" ht="15" customHeight="1" x14ac:dyDescent="0.35">
      <c r="B434" s="40" t="s">
        <v>717</v>
      </c>
      <c r="C434" s="41" t="s">
        <v>700</v>
      </c>
      <c r="F434" s="57">
        <f>F315/F308</f>
        <v>0.52511666209168273</v>
      </c>
      <c r="G434" s="57">
        <f>G315/G308</f>
        <v>0.54266517357222843</v>
      </c>
      <c r="H434" s="57">
        <f>H315/H308</f>
        <v>0.22817955112219451</v>
      </c>
      <c r="J434" s="43" t="s">
        <v>718</v>
      </c>
    </row>
    <row r="435" spans="2:10" ht="15" customHeight="1" x14ac:dyDescent="0.35">
      <c r="B435" s="40" t="s">
        <v>695</v>
      </c>
      <c r="C435" s="41" t="s">
        <v>700</v>
      </c>
      <c r="F435" s="57">
        <f>F81/F50</f>
        <v>0.78346456692913391</v>
      </c>
      <c r="G435" s="57">
        <f>G81/G50</f>
        <v>0.85093696763202731</v>
      </c>
      <c r="H435" s="57">
        <f>H81/H50</f>
        <v>0.54659248956884565</v>
      </c>
    </row>
    <row r="436" spans="2:10" ht="15" customHeight="1" x14ac:dyDescent="0.35">
      <c r="B436" s="40" t="s">
        <v>719</v>
      </c>
      <c r="C436" s="41" t="s">
        <v>700</v>
      </c>
      <c r="F436" s="57">
        <f>F81/F73</f>
        <v>0.77734375</v>
      </c>
      <c r="G436" s="57">
        <f>G81/G73</f>
        <v>0.72025955299206923</v>
      </c>
      <c r="H436" s="57">
        <f>H81/H73</f>
        <v>0.63592233009708743</v>
      </c>
      <c r="J436" s="43" t="s">
        <v>720</v>
      </c>
    </row>
    <row r="437" spans="2:10" ht="15" customHeight="1" x14ac:dyDescent="0.35">
      <c r="B437" s="40" t="s">
        <v>721</v>
      </c>
      <c r="C437" s="41" t="s">
        <v>700</v>
      </c>
      <c r="F437" s="57">
        <f>F73/F50</f>
        <v>1.0078740157480315</v>
      </c>
      <c r="G437" s="57">
        <f>G73/G50</f>
        <v>1.1814310051107326</v>
      </c>
      <c r="H437" s="57">
        <f>H73/H50</f>
        <v>0.85952712100139084</v>
      </c>
      <c r="J437" s="43" t="s">
        <v>722</v>
      </c>
    </row>
    <row r="438" spans="2:10" ht="15" customHeight="1" x14ac:dyDescent="0.35">
      <c r="B438" s="61" t="s">
        <v>697</v>
      </c>
      <c r="C438" s="54" t="s">
        <v>700</v>
      </c>
      <c r="D438" s="47"/>
      <c r="E438" s="47"/>
      <c r="F438" s="62">
        <f>(F425+F433*F434)*F435</f>
        <v>0.1638759264342575</v>
      </c>
      <c r="G438" s="62">
        <f>(G425+G433*G434)*G435</f>
        <v>0.22374020156774918</v>
      </c>
      <c r="H438" s="62">
        <f>(H425+H433*H434)*H435</f>
        <v>0.14000712504453153</v>
      </c>
      <c r="J438" s="43" t="s">
        <v>698</v>
      </c>
    </row>
    <row r="439" spans="2:10" ht="52.5" customHeight="1" x14ac:dyDescent="0.35">
      <c r="B439" s="134" t="s">
        <v>723</v>
      </c>
      <c r="C439" s="135"/>
      <c r="D439" s="135"/>
      <c r="E439" s="135"/>
      <c r="F439" s="135"/>
      <c r="G439" s="135"/>
      <c r="H439" s="135"/>
      <c r="I439" s="135"/>
      <c r="J439" s="135"/>
    </row>
    <row r="440" spans="2:10" ht="15" customHeight="1" x14ac:dyDescent="0.35">
      <c r="B440" s="44" t="s">
        <v>724</v>
      </c>
      <c r="C440" s="41" t="s">
        <v>700</v>
      </c>
      <c r="F440" s="45">
        <f>F50/F308</f>
        <v>0.2091682679110623</v>
      </c>
      <c r="G440" s="45">
        <f>G50/G308</f>
        <v>0.26293393057110864</v>
      </c>
      <c r="H440" s="45">
        <f>H50/H308</f>
        <v>0.2561453509084432</v>
      </c>
      <c r="J440" s="43" t="s">
        <v>725</v>
      </c>
    </row>
    <row r="442" spans="2:10" ht="15" customHeight="1" x14ac:dyDescent="0.35">
      <c r="B442" s="53" t="s">
        <v>726</v>
      </c>
      <c r="C442" s="41" t="s">
        <v>727</v>
      </c>
      <c r="J442" s="43" t="s">
        <v>728</v>
      </c>
    </row>
    <row r="443" spans="2:10" ht="15" customHeight="1" x14ac:dyDescent="0.35">
      <c r="B443" s="40" t="s">
        <v>729</v>
      </c>
      <c r="C443" s="41" t="s">
        <v>727</v>
      </c>
      <c r="F443" s="49">
        <f>-(F40+F48)</f>
        <v>83</v>
      </c>
      <c r="G443" s="49">
        <f>-(G40+G48)</f>
        <v>99</v>
      </c>
      <c r="H443" s="49">
        <f>-(H40+H48)</f>
        <v>129</v>
      </c>
      <c r="J443" s="43" t="s">
        <v>730</v>
      </c>
    </row>
    <row r="444" spans="2:10" ht="15" customHeight="1" x14ac:dyDescent="0.35">
      <c r="B444" s="44" t="s">
        <v>731</v>
      </c>
      <c r="C444" s="41" t="s">
        <v>727</v>
      </c>
      <c r="F444" s="45">
        <f>(F36+F39)/F320</f>
        <v>0.18001704303365998</v>
      </c>
      <c r="G444" s="45">
        <f>(G36+G39)/G320</f>
        <v>0.22396199859254046</v>
      </c>
      <c r="H444" s="45">
        <f>(H36+H39)/H320</f>
        <v>0.30030663089306248</v>
      </c>
      <c r="J444" s="43" t="s">
        <v>732</v>
      </c>
    </row>
    <row r="445" spans="2:10" ht="15" customHeight="1" x14ac:dyDescent="0.35">
      <c r="B445" s="44" t="s">
        <v>733</v>
      </c>
      <c r="C445" s="41" t="s">
        <v>727</v>
      </c>
      <c r="F445" s="45">
        <f>F359</f>
        <v>0.19539962825278809</v>
      </c>
      <c r="G445" s="45">
        <f>G359</f>
        <v>0.24230055658627089</v>
      </c>
      <c r="H445" s="45">
        <f>H359</f>
        <v>0.35049239033124441</v>
      </c>
      <c r="J445" s="43" t="s">
        <v>734</v>
      </c>
    </row>
    <row r="446" spans="2:10" ht="15" customHeight="1" x14ac:dyDescent="0.35">
      <c r="B446" s="44" t="s">
        <v>735</v>
      </c>
      <c r="C446" s="41" t="s">
        <v>727</v>
      </c>
      <c r="F446" s="45">
        <f>F311/F320</f>
        <v>0.91691521090754158</v>
      </c>
      <c r="G446" s="45">
        <f>G311/G320</f>
        <v>0.94827586206896552</v>
      </c>
      <c r="H446" s="45">
        <f>H311/H320</f>
        <v>0.8562667688769644</v>
      </c>
    </row>
    <row r="447" spans="2:10" ht="15" customHeight="1" x14ac:dyDescent="0.35">
      <c r="B447" s="44" t="s">
        <v>736</v>
      </c>
      <c r="C447" s="41" t="s">
        <v>727</v>
      </c>
      <c r="F447" s="45">
        <f>F39/F319</f>
        <v>1.0256410256410256E-2</v>
      </c>
      <c r="G447" s="45">
        <f>G39/G319</f>
        <v>-0.11224489795918367</v>
      </c>
      <c r="H447" s="45">
        <f>H39/H319</f>
        <v>1.3333333333333333E-3</v>
      </c>
      <c r="J447" s="43" t="s">
        <v>737</v>
      </c>
    </row>
    <row r="448" spans="2:10" ht="15" customHeight="1" x14ac:dyDescent="0.35">
      <c r="B448" s="44" t="s">
        <v>738</v>
      </c>
      <c r="C448" s="41" t="s">
        <v>727</v>
      </c>
      <c r="F448" s="45">
        <f>F319/F320</f>
        <v>8.3084789092458464E-2</v>
      </c>
      <c r="G448" s="45">
        <f>G319/G320</f>
        <v>5.1724137931034482E-2</v>
      </c>
      <c r="H448" s="45">
        <f>H319/H320</f>
        <v>0.14373323112303565</v>
      </c>
    </row>
    <row r="449" spans="2:10" ht="15" customHeight="1" x14ac:dyDescent="0.35">
      <c r="B449" s="44" t="s">
        <v>739</v>
      </c>
      <c r="C449" s="41" t="s">
        <v>727</v>
      </c>
      <c r="F449" s="45">
        <f>F443/F318</f>
        <v>7.889733840304182E-2</v>
      </c>
      <c r="G449" s="45">
        <f>G443/G318</f>
        <v>8.1147540983606561E-2</v>
      </c>
      <c r="H449" s="45">
        <f>H443/H318</f>
        <v>-0.32658227848101268</v>
      </c>
      <c r="J449" s="43" t="s">
        <v>740</v>
      </c>
    </row>
    <row r="450" spans="2:10" ht="15" customHeight="1" x14ac:dyDescent="0.35">
      <c r="B450" s="44" t="s">
        <v>741</v>
      </c>
      <c r="C450" s="41" t="s">
        <v>727</v>
      </c>
      <c r="F450" s="45">
        <f>F444-F449</f>
        <v>0.10111970463061816</v>
      </c>
      <c r="G450" s="45">
        <f>G444-G449</f>
        <v>0.14281445760893391</v>
      </c>
      <c r="H450" s="45">
        <f>H444-H449</f>
        <v>0.62688890937407515</v>
      </c>
    </row>
    <row r="451" spans="2:10" ht="15" customHeight="1" x14ac:dyDescent="0.35">
      <c r="B451" s="40" t="s">
        <v>742</v>
      </c>
      <c r="C451" s="41" t="s">
        <v>727</v>
      </c>
      <c r="F451" s="57">
        <f>F318/F308</f>
        <v>0.28877298929453749</v>
      </c>
      <c r="G451" s="57">
        <f>G318/G308</f>
        <v>0.2732362821948488</v>
      </c>
      <c r="H451" s="57">
        <f>H318/H308</f>
        <v>-7.0359814748842175E-2</v>
      </c>
      <c r="J451" s="43" t="s">
        <v>743</v>
      </c>
    </row>
    <row r="452" spans="2:10" ht="15" customHeight="1" x14ac:dyDescent="0.35">
      <c r="B452" s="40" t="s">
        <v>695</v>
      </c>
      <c r="C452" s="41" t="s">
        <v>727</v>
      </c>
      <c r="F452" s="57">
        <f>F81/F50</f>
        <v>0.78346456692913391</v>
      </c>
      <c r="G452" s="57">
        <f>G81/G50</f>
        <v>0.85093696763202731</v>
      </c>
      <c r="H452" s="57">
        <f>H81/H50</f>
        <v>0.54659248956884565</v>
      </c>
    </row>
    <row r="453" spans="2:10" ht="15" customHeight="1" x14ac:dyDescent="0.35">
      <c r="B453" s="61" t="s">
        <v>744</v>
      </c>
      <c r="C453" s="54" t="s">
        <v>727</v>
      </c>
      <c r="D453" s="47"/>
      <c r="E453" s="47"/>
      <c r="F453" s="62">
        <f>(F444+F450*F451)*F452</f>
        <v>0.16391464094830091</v>
      </c>
      <c r="G453" s="62">
        <f>(G444+G450*G451)*G452</f>
        <v>0.22378288410838681</v>
      </c>
      <c r="H453" s="62">
        <f>(H444+H450*H451)*H452</f>
        <v>0.14003636361756572</v>
      </c>
      <c r="J453" s="43" t="s">
        <v>698</v>
      </c>
    </row>
    <row r="454" spans="2:10" ht="15" customHeight="1" x14ac:dyDescent="0.35">
      <c r="B454" s="53" t="s">
        <v>745</v>
      </c>
      <c r="C454" s="41" t="s">
        <v>727</v>
      </c>
      <c r="J454" s="43" t="s">
        <v>746</v>
      </c>
    </row>
    <row r="455" spans="2:10" ht="15" customHeight="1" x14ac:dyDescent="0.35">
      <c r="B455" s="40" t="s">
        <v>747</v>
      </c>
      <c r="C455" s="41" t="s">
        <v>727</v>
      </c>
      <c r="F455" s="49" t="str">
        <f>IF(F318&lt;0,-F318,"n.a.")</f>
        <v>n.a.</v>
      </c>
      <c r="G455" s="49" t="str">
        <f>IF(G318&lt;0,-G318,"n.a.")</f>
        <v>n.a.</v>
      </c>
      <c r="H455" s="49">
        <f>IF(H318&lt;0,-H318,"n.a.")</f>
        <v>395</v>
      </c>
    </row>
    <row r="456" spans="2:10" ht="15" customHeight="1" x14ac:dyDescent="0.35">
      <c r="B456" s="44" t="s">
        <v>748</v>
      </c>
      <c r="C456" s="41" t="s">
        <v>727</v>
      </c>
      <c r="F456" s="45" t="str">
        <f>IF(F318&lt;0,-F443/F455,"n.a.")</f>
        <v>n.a.</v>
      </c>
      <c r="G456" s="45" t="str">
        <f>IF(G318&lt;0,-G443/G455,"n.a.")</f>
        <v>n.a.</v>
      </c>
      <c r="H456" s="45">
        <f>IF(H318&lt;0,-H443/H455,"n.a.")</f>
        <v>-0.32658227848101268</v>
      </c>
      <c r="J456" s="43" t="s">
        <v>749</v>
      </c>
    </row>
    <row r="457" spans="2:10" ht="15" customHeight="1" x14ac:dyDescent="0.35">
      <c r="B457" s="40" t="s">
        <v>750</v>
      </c>
      <c r="C457" s="41" t="s">
        <v>727</v>
      </c>
      <c r="F457" s="57" t="str">
        <f>IF(F318&lt;0,F455/F308,"n.a.")</f>
        <v>n.a.</v>
      </c>
      <c r="G457" s="57" t="str">
        <f>IF(G318&lt;0,G455/G308,"n.a.")</f>
        <v>n.a.</v>
      </c>
      <c r="H457" s="57">
        <f>IF(H318&lt;0,H455/H308,"n.a.")</f>
        <v>7.0359814748842175E-2</v>
      </c>
    </row>
    <row r="458" spans="2:10" ht="15" customHeight="1" x14ac:dyDescent="0.35">
      <c r="B458" s="61" t="s">
        <v>751</v>
      </c>
      <c r="C458" s="54" t="s">
        <v>727</v>
      </c>
      <c r="D458" s="47"/>
      <c r="E458" s="47"/>
      <c r="F458" s="62" t="str">
        <f>IF(F318&lt;0,(F444-(F444-F456)*F457)*F452,"n.a.")</f>
        <v>n.a.</v>
      </c>
      <c r="G458" s="62" t="str">
        <f>IF(G318&lt;0,(G444-(G444-G456)*G457)*G452,"n.a.")</f>
        <v>n.a.</v>
      </c>
      <c r="H458" s="62">
        <f>IF(H318&lt;0,(H444-(H444-H456)*H457)*H452,"n.a.")</f>
        <v>0.14003636361756572</v>
      </c>
      <c r="J458" s="43" t="s">
        <v>752</v>
      </c>
    </row>
    <row r="459" spans="2:10" ht="40.5" customHeight="1" x14ac:dyDescent="0.35">
      <c r="B459" s="134" t="s">
        <v>753</v>
      </c>
      <c r="C459" s="135"/>
      <c r="D459" s="135"/>
      <c r="E459" s="135"/>
      <c r="F459" s="135"/>
      <c r="G459" s="135"/>
      <c r="H459" s="135"/>
      <c r="I459" s="135"/>
      <c r="J459" s="135"/>
    </row>
    <row r="460" spans="2:10" ht="15" customHeight="1" x14ac:dyDescent="0.35">
      <c r="B460" s="40" t="s">
        <v>754</v>
      </c>
      <c r="C460" s="41" t="s">
        <v>727</v>
      </c>
      <c r="F460" s="67" t="str">
        <f>IF(F311&lt;0,"NEGATIVE: RONA not meaningful (slide 21)","positive: formulas apply")</f>
        <v>positive: formulas apply</v>
      </c>
      <c r="G460" s="67" t="str">
        <f>IF(G311&lt;0,"NEGATIVE: RONA not meaningful (slide 21)","positive: formulas apply")</f>
        <v>positive: formulas apply</v>
      </c>
      <c r="H460" s="67" t="str">
        <f>IF(H311&lt;0,"NEGATIVE: RONA not meaningful (slide 21)","positive: formulas apply")</f>
        <v>positive: formulas apply</v>
      </c>
    </row>
    <row r="462" spans="2:10" ht="15" customHeight="1" x14ac:dyDescent="0.35">
      <c r="B462" s="53" t="s">
        <v>755</v>
      </c>
      <c r="C462" s="41" t="s">
        <v>756</v>
      </c>
      <c r="J462" s="43" t="s">
        <v>757</v>
      </c>
    </row>
    <row r="463" spans="2:10" ht="15" customHeight="1" x14ac:dyDescent="0.35">
      <c r="B463" s="44" t="s">
        <v>758</v>
      </c>
      <c r="C463" s="41" t="s">
        <v>756</v>
      </c>
      <c r="F463" s="45">
        <f>-F75/'Reported Financials'!F73</f>
        <v>0.23067484662576687</v>
      </c>
      <c r="G463" s="45">
        <f>-G75/'Reported Financials'!G73</f>
        <v>0.27996575342465752</v>
      </c>
      <c r="H463" s="45">
        <f>-H75/'Reported Financials'!H73</f>
        <v>0.24491094147582698</v>
      </c>
      <c r="J463" s="43" t="s">
        <v>759</v>
      </c>
    </row>
    <row r="464" spans="2:10" ht="15" customHeight="1" x14ac:dyDescent="0.35">
      <c r="B464" s="40" t="s">
        <v>760</v>
      </c>
      <c r="C464" s="41" t="s">
        <v>756</v>
      </c>
      <c r="F464" s="49">
        <f>(F36+F39)*(1-F463)</f>
        <v>650.07975460122702</v>
      </c>
      <c r="G464" s="49">
        <f>(G36+G39)*(1-G463)</f>
        <v>916.60359589041093</v>
      </c>
      <c r="H464" s="49">
        <f>(H36+H39)*(1-H463)</f>
        <v>1183.224554707379</v>
      </c>
      <c r="J464" s="43" t="s">
        <v>761</v>
      </c>
    </row>
    <row r="465" spans="2:10" ht="15" customHeight="1" x14ac:dyDescent="0.35">
      <c r="B465" s="40" t="s">
        <v>762</v>
      </c>
      <c r="C465" s="41" t="s">
        <v>756</v>
      </c>
      <c r="F465" s="49">
        <f>F443*(1-F463)</f>
        <v>63.853987730061348</v>
      </c>
      <c r="G465" s="49">
        <f>G443*(1-G463)</f>
        <v>71.283390410958901</v>
      </c>
      <c r="H465" s="49">
        <f>H443*(1-H463)</f>
        <v>97.406488549618317</v>
      </c>
      <c r="J465" s="43" t="s">
        <v>335</v>
      </c>
    </row>
    <row r="466" spans="2:10" ht="15" customHeight="1" x14ac:dyDescent="0.35">
      <c r="B466" s="40" t="s">
        <v>763</v>
      </c>
      <c r="C466" s="41" t="s">
        <v>756</v>
      </c>
      <c r="F466" s="49">
        <f>F464-F465</f>
        <v>586.22576687116566</v>
      </c>
      <c r="G466" s="49">
        <f>G464-G465</f>
        <v>845.32020547945206</v>
      </c>
      <c r="H466" s="49">
        <f>H464-H465</f>
        <v>1085.8180661577605</v>
      </c>
      <c r="J466" s="43" t="s">
        <v>587</v>
      </c>
    </row>
    <row r="467" spans="2:10" ht="15" customHeight="1" x14ac:dyDescent="0.35">
      <c r="B467" s="44" t="s">
        <v>764</v>
      </c>
      <c r="C467" s="41" t="s">
        <v>756</v>
      </c>
      <c r="F467" s="45">
        <f>F464/F320</f>
        <v>0.1384916392418464</v>
      </c>
      <c r="G467" s="45">
        <f>G464/G320</f>
        <v>0.16126030891808779</v>
      </c>
      <c r="H467" s="45">
        <f>H464/H320</f>
        <v>0.22675825118960885</v>
      </c>
      <c r="J467" s="43" t="s">
        <v>765</v>
      </c>
    </row>
    <row r="468" spans="2:10" ht="15" customHeight="1" x14ac:dyDescent="0.35">
      <c r="B468" s="44" t="s">
        <v>766</v>
      </c>
      <c r="C468" s="41" t="s">
        <v>756</v>
      </c>
      <c r="F468" s="45">
        <f>F465/F318</f>
        <v>6.0697706967738921E-2</v>
      </c>
      <c r="G468" s="45">
        <f>G465/G318</f>
        <v>5.8429008533572871E-2</v>
      </c>
      <c r="H468" s="45">
        <f>H465/H318</f>
        <v>-0.24659870518890714</v>
      </c>
    </row>
    <row r="469" spans="2:10" ht="15" customHeight="1" x14ac:dyDescent="0.35">
      <c r="B469" s="40" t="s">
        <v>742</v>
      </c>
      <c r="C469" s="41" t="s">
        <v>756</v>
      </c>
      <c r="F469" s="57">
        <f>F318/F308</f>
        <v>0.28877298929453749</v>
      </c>
      <c r="G469" s="57">
        <f>G318/G308</f>
        <v>0.2732362821948488</v>
      </c>
      <c r="H469" s="57">
        <f>H318/H308</f>
        <v>-7.0359814748842175E-2</v>
      </c>
    </row>
    <row r="470" spans="2:10" ht="15" customHeight="1" x14ac:dyDescent="0.35">
      <c r="B470" s="40" t="s">
        <v>767</v>
      </c>
      <c r="C470" s="41" t="s">
        <v>756</v>
      </c>
      <c r="F470" s="57">
        <f>F81/F466</f>
        <v>1.0183789825314897</v>
      </c>
      <c r="G470" s="57">
        <f>G81/G466</f>
        <v>1.1818006875079761</v>
      </c>
      <c r="H470" s="57">
        <f>H81/H466</f>
        <v>0.72387817489656747</v>
      </c>
      <c r="J470" s="43" t="s">
        <v>587</v>
      </c>
    </row>
    <row r="471" spans="2:10" ht="15" customHeight="1" x14ac:dyDescent="0.35">
      <c r="B471" s="61" t="s">
        <v>768</v>
      </c>
      <c r="C471" s="54" t="s">
        <v>756</v>
      </c>
      <c r="D471" s="47"/>
      <c r="E471" s="47"/>
      <c r="F471" s="62">
        <f>(F467+(F467-F468)*F469)*F470</f>
        <v>0.16391464094830091</v>
      </c>
      <c r="G471" s="62">
        <f>(G467+(G467-G468)*G469)*G470</f>
        <v>0.22378288410838684</v>
      </c>
      <c r="H471" s="62">
        <f>(H467+(H467-H468)*H469)*H470</f>
        <v>0.14003636361756575</v>
      </c>
      <c r="J471" s="43" t="s">
        <v>769</v>
      </c>
    </row>
    <row r="472" spans="2:10" ht="15" customHeight="1" x14ac:dyDescent="0.35">
      <c r="B472" s="44" t="s">
        <v>770</v>
      </c>
      <c r="C472" s="41" t="s">
        <v>756</v>
      </c>
      <c r="F472" s="45">
        <f>F415/F315*(1-F463)</f>
        <v>4.0617794297332747E-2</v>
      </c>
      <c r="G472" s="45">
        <f>G415/G315*(1-G463)</f>
        <v>3.0905308148508299E-2</v>
      </c>
      <c r="H472" s="45">
        <f>H415/H315*(1-H463)</f>
        <v>6.5429262682422482E-2</v>
      </c>
      <c r="J472" s="43" t="s">
        <v>771</v>
      </c>
    </row>
    <row r="473" spans="2:10" ht="15" customHeight="1" x14ac:dyDescent="0.35">
      <c r="B473" s="40" t="s">
        <v>772</v>
      </c>
      <c r="C473" s="41" t="s">
        <v>756</v>
      </c>
      <c r="F473" s="68"/>
      <c r="G473" s="68"/>
      <c r="H473" s="68"/>
      <c r="J473" s="43" t="s">
        <v>773</v>
      </c>
    </row>
    <row r="474" spans="2:10" ht="15" customHeight="1" x14ac:dyDescent="0.35">
      <c r="B474" s="44" t="s">
        <v>774</v>
      </c>
      <c r="C474" s="41" t="s">
        <v>756</v>
      </c>
      <c r="F474" s="45">
        <f>IF(ISNUMBER(F473),F473,F472)</f>
        <v>4.0617794297332747E-2</v>
      </c>
      <c r="G474" s="45">
        <f>IF(ISNUMBER(G473),G473,G472)</f>
        <v>3.0905308148508299E-2</v>
      </c>
      <c r="H474" s="45">
        <f>IF(ISNUMBER(H473),H473,H472)</f>
        <v>6.5429262682422482E-2</v>
      </c>
    </row>
    <row r="475" spans="2:10" ht="15" customHeight="1" x14ac:dyDescent="0.35">
      <c r="B475" s="40" t="s">
        <v>775</v>
      </c>
      <c r="C475" s="41" t="s">
        <v>756</v>
      </c>
      <c r="F475" s="49">
        <f>F310*F474</f>
        <v>241.47278709764319</v>
      </c>
      <c r="G475" s="49">
        <f>G310*G474</f>
        <v>228.82290153155543</v>
      </c>
      <c r="H475" s="49">
        <f>H310*H474</f>
        <v>598.21974870538872</v>
      </c>
      <c r="J475" s="43" t="s">
        <v>311</v>
      </c>
    </row>
    <row r="476" spans="2:10" ht="15" customHeight="1" x14ac:dyDescent="0.35">
      <c r="B476" s="44" t="s">
        <v>776</v>
      </c>
      <c r="C476" s="41" t="s">
        <v>756</v>
      </c>
      <c r="F476" s="45">
        <f>(F464+F475)/(F320+F310)</f>
        <v>8.3800408092759682E-2</v>
      </c>
      <c r="G476" s="45">
        <f>(G464+G475)/(G320+G310)</f>
        <v>8.7517305732118453E-2</v>
      </c>
      <c r="H476" s="45">
        <f>(H464+H475)/(H320+H310)</f>
        <v>0.1240473715906112</v>
      </c>
      <c r="J476" s="43" t="s">
        <v>777</v>
      </c>
    </row>
    <row r="477" spans="2:10" ht="15" customHeight="1" x14ac:dyDescent="0.35">
      <c r="B477" s="40" t="s">
        <v>778</v>
      </c>
      <c r="C477" s="41" t="s">
        <v>756</v>
      </c>
      <c r="F477" s="57">
        <f>F310/F320</f>
        <v>1.2665104388581168</v>
      </c>
      <c r="G477" s="57">
        <f>G310/G320</f>
        <v>1.3026038001407461</v>
      </c>
      <c r="H477" s="57">
        <f>H310/H320</f>
        <v>1.7522039095438866</v>
      </c>
      <c r="J477" s="43" t="s">
        <v>779</v>
      </c>
    </row>
    <row r="478" spans="2:10" ht="15" customHeight="1" x14ac:dyDescent="0.35">
      <c r="B478" s="61" t="s">
        <v>780</v>
      </c>
      <c r="C478" s="54" t="s">
        <v>756</v>
      </c>
      <c r="D478" s="47"/>
      <c r="E478" s="47"/>
      <c r="F478" s="62">
        <f>F476+(F476-F474)*F477</f>
        <v>0.13849163924184643</v>
      </c>
      <c r="G478" s="62">
        <f>G476+(G476-G474)*G477</f>
        <v>0.16126030891808779</v>
      </c>
      <c r="H478" s="62">
        <f>H476+(H476-H474)*H477</f>
        <v>0.22675825118960879</v>
      </c>
      <c r="J478" s="43" t="s">
        <v>781</v>
      </c>
    </row>
    <row r="479" spans="2:10" ht="40.5" customHeight="1" x14ac:dyDescent="0.35">
      <c r="B479" s="134" t="s">
        <v>782</v>
      </c>
      <c r="C479" s="135"/>
      <c r="D479" s="135"/>
      <c r="E479" s="135"/>
      <c r="F479" s="135"/>
      <c r="G479" s="135"/>
      <c r="H479" s="135"/>
      <c r="I479" s="135"/>
      <c r="J479" s="135"/>
    </row>
    <row r="481" spans="1:10" ht="15" customHeight="1" x14ac:dyDescent="0.35">
      <c r="A481" s="38" t="s">
        <v>5</v>
      </c>
      <c r="B481" s="39" t="s">
        <v>783</v>
      </c>
      <c r="C481" s="27"/>
      <c r="D481" s="27"/>
      <c r="E481" s="27"/>
      <c r="F481" s="27"/>
      <c r="G481" s="27"/>
      <c r="H481" s="27"/>
      <c r="I481" s="15"/>
      <c r="J481" s="15"/>
    </row>
    <row r="483" spans="1:10" ht="15" customHeight="1" x14ac:dyDescent="0.35">
      <c r="B483" s="34" t="s">
        <v>784</v>
      </c>
      <c r="C483" s="41" t="s">
        <v>785</v>
      </c>
      <c r="H483" s="69">
        <v>2</v>
      </c>
      <c r="J483" s="43" t="s">
        <v>786</v>
      </c>
    </row>
    <row r="485" spans="1:10" ht="15" customHeight="1" x14ac:dyDescent="0.35">
      <c r="B485" s="53" t="s">
        <v>787</v>
      </c>
      <c r="C485" s="41" t="s">
        <v>788</v>
      </c>
    </row>
    <row r="486" spans="1:10" ht="15" customHeight="1" x14ac:dyDescent="0.35">
      <c r="B486" s="44" t="s">
        <v>789</v>
      </c>
      <c r="C486" s="41" t="s">
        <v>788</v>
      </c>
      <c r="G486" s="45">
        <f>G13</f>
        <v>7.5111482720178424E-2</v>
      </c>
      <c r="H486" s="45">
        <f>H13</f>
        <v>0.28775113415424491</v>
      </c>
      <c r="J486" s="70" t="str">
        <f>"Δ T "&amp;TEXT((H486-G486)*100,"+0.0;-0.0")&amp;" pp"&amp;" (only one prior year: no screen)"</f>
        <v>Δ T +21.3 pp (only one prior year: no screen)</v>
      </c>
    </row>
    <row r="487" spans="1:10" ht="15" customHeight="1" x14ac:dyDescent="0.35">
      <c r="B487" s="44" t="s">
        <v>136</v>
      </c>
      <c r="C487" s="41" t="s">
        <v>788</v>
      </c>
      <c r="F487" s="45">
        <f>F31</f>
        <v>0.16067447045707917</v>
      </c>
      <c r="G487" s="45">
        <f>G31</f>
        <v>0.20764744005184704</v>
      </c>
      <c r="H487" s="45">
        <f>H31</f>
        <v>0.19728233517866131</v>
      </c>
      <c r="J487" s="70" t="str">
        <f>IF(ABS(H487-G487)&gt;$H$483*ABS(G487-F487),"MATERIAL CHANGE in T: Δ "&amp;TEXT((H487-G487)*100,"+0.0;-0.0")&amp;" pp"&amp;" vs Δ "&amp;TEXT((G487-F487)*100,"+0.0;-0.0")&amp;" pp"&amp;" in T−1","Δ T "&amp;TEXT((H487-G487)*100,"+0.0;-0.0")&amp;" pp"&amp;" vs Δ T−1 "&amp;TEXT((G487-F487)*100,"+0.0;-0.0")&amp;" pp")</f>
        <v>Δ T -1.0 pp vs Δ T−1 +4.7 pp</v>
      </c>
    </row>
    <row r="488" spans="1:10" ht="15" customHeight="1" x14ac:dyDescent="0.35">
      <c r="B488" s="44" t="s">
        <v>790</v>
      </c>
      <c r="C488" s="41" t="s">
        <v>788</v>
      </c>
      <c r="F488" s="45">
        <f>F37</f>
        <v>0.11719620958751394</v>
      </c>
      <c r="G488" s="45">
        <f>G37</f>
        <v>0.1692806221646144</v>
      </c>
      <c r="H488" s="45">
        <f>H37</f>
        <v>0.15762455963764468</v>
      </c>
      <c r="J488" s="70" t="str">
        <f>IF(ABS(H488-G488)&gt;$H$483*ABS(G488-F488),"MATERIAL CHANGE in T: Δ "&amp;TEXT((H488-G488)*100,"+0.0;-0.0")&amp;" pp"&amp;" vs Δ "&amp;TEXT((G488-F488)*100,"+0.0;-0.0")&amp;" pp"&amp;" in T−1","Δ T "&amp;TEXT((H488-G488)*100,"+0.0;-0.0")&amp;" pp"&amp;" vs Δ T−1 "&amp;TEXT((G488-F488)*100,"+0.0;-0.0")&amp;" pp")</f>
        <v>Δ T -1.2 pp vs Δ T−1 +5.2 pp</v>
      </c>
    </row>
    <row r="489" spans="1:10" ht="15" customHeight="1" x14ac:dyDescent="0.35">
      <c r="B489" s="44" t="s">
        <v>791</v>
      </c>
      <c r="C489" s="41" t="s">
        <v>788</v>
      </c>
      <c r="F489" s="45">
        <f>F44</f>
        <v>0.11622073578595318</v>
      </c>
      <c r="G489" s="45">
        <f>G44</f>
        <v>0.16383668178872327</v>
      </c>
      <c r="H489" s="45">
        <f>H44</f>
        <v>0.15551082033215904</v>
      </c>
      <c r="J489" s="70" t="str">
        <f>IF(ABS(H489-G489)&gt;$H$483*ABS(G489-F489),"MATERIAL CHANGE in T: Δ "&amp;TEXT((H489-G489)*100,"+0.0;-0.0")&amp;" pp"&amp;" vs Δ "&amp;TEXT((G489-F489)*100,"+0.0;-0.0")&amp;" pp"&amp;" in T−1","Δ T "&amp;TEXT((H489-G489)*100,"+0.0;-0.0")&amp;" pp"&amp;" vs Δ T−1 "&amp;TEXT((G489-F489)*100,"+0.0;-0.0")&amp;" pp")</f>
        <v>Δ T -0.8 pp vs Δ T−1 +4.8 pp</v>
      </c>
    </row>
    <row r="490" spans="1:10" ht="15" customHeight="1" x14ac:dyDescent="0.35">
      <c r="B490" s="44" t="s">
        <v>200</v>
      </c>
      <c r="C490" s="41" t="s">
        <v>788</v>
      </c>
      <c r="F490" s="45">
        <f>F71</f>
        <v>8.3612040133779263E-4</v>
      </c>
      <c r="G490" s="45">
        <f>G71</f>
        <v>2.760855476344783E-2</v>
      </c>
      <c r="H490" s="45">
        <f>H71</f>
        <v>-2.0332159033719176E-2</v>
      </c>
      <c r="J490" s="70" t="str">
        <f>IF(ABS(H490-G490)&gt;$H$483*ABS(G490-F490),"MATERIAL CHANGE in T: Δ "&amp;TEXT((H490-G490)*100,"+0.0;-0.0")&amp;" pp"&amp;" vs Δ "&amp;TEXT((G490-F490)*100,"+0.0;-0.0")&amp;" pp"&amp;" in T−1","Δ T "&amp;TEXT((H490-G490)*100,"+0.0;-0.0")&amp;" pp"&amp;" vs Δ T−1 "&amp;TEXT((G490-F490)*100,"+0.0;-0.0")&amp;" pp")</f>
        <v>Δ T -4.8 pp vs Δ T−1 +2.7 pp</v>
      </c>
    </row>
    <row r="491" spans="1:10" ht="15" customHeight="1" x14ac:dyDescent="0.35">
      <c r="B491" s="44" t="s">
        <v>792</v>
      </c>
      <c r="C491" s="41" t="s">
        <v>788</v>
      </c>
      <c r="F491" s="45">
        <f>F79</f>
        <v>0.22265625</v>
      </c>
      <c r="G491" s="45">
        <f>G79</f>
        <v>0.27974044700793077</v>
      </c>
      <c r="H491" s="45">
        <f>H79</f>
        <v>0.36407766990291263</v>
      </c>
      <c r="J491" s="70" t="str">
        <f>IF(ABS(H491-G491)&gt;$H$483*ABS(G491-F491),"MATERIAL CHANGE in T: Δ "&amp;TEXT((H491-G491)*100,"+0.0;-0.0")&amp;" pp"&amp;" vs Δ "&amp;TEXT((G491-F491)*100,"+0.0;-0.0")&amp;" pp"&amp;" in T−1","Δ T "&amp;TEXT((H491-G491)*100,"+0.0;-0.0")&amp;" pp"&amp;" vs Δ T−1 "&amp;TEXT((G491-F491)*100,"+0.0;-0.0")&amp;" pp")</f>
        <v>Δ T +8.4 pp vs Δ T−1 +5.7 pp</v>
      </c>
    </row>
    <row r="492" spans="1:10" ht="15" customHeight="1" x14ac:dyDescent="0.35">
      <c r="B492" s="40" t="s">
        <v>793</v>
      </c>
      <c r="C492" s="41" t="s">
        <v>788</v>
      </c>
      <c r="F492" s="57">
        <f>F172</f>
        <v>3.8240190249702737</v>
      </c>
      <c r="G492" s="57">
        <f>G172</f>
        <v>3.0574272588055131</v>
      </c>
      <c r="H492" s="57">
        <f>H172</f>
        <v>2.970625798212005</v>
      </c>
      <c r="J492" s="70" t="str">
        <f>IF(ABS(H492-G492)&gt;$H$483*ABS(G492-F492),"MATERIAL CHANGE in T: Δ "&amp;TEXT(H492-G492,"+0.00;-0.00")&amp;"x"&amp;" vs Δ "&amp;TEXT(G492-F492,"+0.00;-0.00")&amp;"x"&amp;" in T−1","Δ T "&amp;TEXT(H492-G492,"+0.00;-0.00")&amp;"x"&amp;" vs Δ T−1 "&amp;TEXT(G492-F492,"+0.00;-0.00")&amp;"x")</f>
        <v>Δ T -0.09x vs Δ T−1 -0.77x</v>
      </c>
    </row>
    <row r="494" spans="1:10" ht="15" customHeight="1" x14ac:dyDescent="0.35">
      <c r="B494" s="53" t="s">
        <v>794</v>
      </c>
      <c r="C494" s="41" t="s">
        <v>788</v>
      </c>
    </row>
    <row r="495" spans="1:10" ht="15" customHeight="1" x14ac:dyDescent="0.35">
      <c r="B495" s="44" t="s">
        <v>486</v>
      </c>
      <c r="C495" s="41" t="s">
        <v>788</v>
      </c>
      <c r="F495" s="45">
        <f>F287</f>
        <v>3.2887402452619841E-2</v>
      </c>
      <c r="G495" s="45">
        <f>G287</f>
        <v>-2.3979261179520414E-2</v>
      </c>
      <c r="H495" s="45">
        <f>H287</f>
        <v>-0.10045294413688978</v>
      </c>
      <c r="J495" s="70" t="str">
        <f>IF(ABS(H495-G495)&gt;$H$483*ABS(G495-F495),"MATERIAL CHANGE in T: Δ "&amp;TEXT((H495-G495)*100,"+0.0;-0.0")&amp;" pp"&amp;" vs Δ "&amp;TEXT((G495-F495)*100,"+0.0;-0.0")&amp;" pp"&amp;" in T−1","Δ T "&amp;TEXT((H495-G495)*100,"+0.0;-0.0")&amp;" pp"&amp;" vs Δ T−1 "&amp;TEXT((G495-F495)*100,"+0.0;-0.0")&amp;" pp")</f>
        <v>Δ T -7.6 pp vs Δ T−1 -5.7 pp</v>
      </c>
    </row>
    <row r="496" spans="1:10" ht="15" customHeight="1" x14ac:dyDescent="0.35">
      <c r="B496" s="44" t="s">
        <v>795</v>
      </c>
      <c r="C496" s="41" t="s">
        <v>788</v>
      </c>
      <c r="F496" s="45">
        <f>F282</f>
        <v>0.58005659088691575</v>
      </c>
      <c r="G496" s="45">
        <f>G282</f>
        <v>0.57870876973581364</v>
      </c>
      <c r="H496" s="45">
        <f>H282</f>
        <v>0.67173609580486371</v>
      </c>
      <c r="J496" s="70" t="str">
        <f>IF(ABS(H496-G496)&gt;$H$483*ABS(G496-F496),"MATERIAL CHANGE in T: Δ "&amp;TEXT((H496-G496)*100,"+0.0;-0.0")&amp;" pp"&amp;" vs Δ "&amp;TEXT((G496-F496)*100,"+0.0;-0.0")&amp;" pp"&amp;" in T−1","Δ T "&amp;TEXT((H496-G496)*100,"+0.0;-0.0")&amp;" pp"&amp;" vs Δ T−1 "&amp;TEXT((G496-F496)*100,"+0.0;-0.0")&amp;" pp")</f>
        <v>MATERIAL CHANGE in T: Δ +9.3 pp vs Δ -0.1 pp in T−1</v>
      </c>
    </row>
    <row r="497" spans="2:10" ht="15" customHeight="1" x14ac:dyDescent="0.35">
      <c r="B497" s="40" t="s">
        <v>498</v>
      </c>
      <c r="C497" s="41" t="s">
        <v>788</v>
      </c>
      <c r="F497" s="57">
        <f>F293</f>
        <v>0.29179247872632447</v>
      </c>
      <c r="G497" s="57">
        <f>G293</f>
        <v>0.27749160134378498</v>
      </c>
      <c r="H497" s="57">
        <f>H293</f>
        <v>-6.5728535803348767E-2</v>
      </c>
      <c r="J497" s="70" t="str">
        <f>IF(H497&lt;=3,"T within slide benchmark NFP/NE ≤ 3.00x (S4 sl.12)","T OUTSIDE slide benchmark NFP/NE ≤ 3.00x (S4 sl.12)")&amp;" | "&amp;IF(ABS(H497-G497)&gt;$H$483*ABS(G497-F497),"MATERIAL CHANGE in T: Δ "&amp;TEXT(H497-G497,"+0.00;-0.00")&amp;"x"&amp;" vs Δ "&amp;TEXT(G497-F497,"+0.00;-0.00")&amp;"x"&amp;" in T−1","Δ T "&amp;TEXT(H497-G497,"+0.00;-0.00")&amp;"x"&amp;" vs Δ T−1 "&amp;TEXT(G497-F497,"+0.00;-0.00")&amp;"x")</f>
        <v>T within slide benchmark NFP/NE ≤ 3.00x (S4 sl.12) | MATERIAL CHANGE in T: Δ -0.34x vs Δ -0.01x in T−1</v>
      </c>
    </row>
    <row r="498" spans="2:10" ht="15" customHeight="1" x14ac:dyDescent="0.35">
      <c r="B498" s="40" t="s">
        <v>502</v>
      </c>
      <c r="C498" s="41" t="s">
        <v>788</v>
      </c>
      <c r="F498" s="57">
        <f>F295</f>
        <v>0.92194275802254988</v>
      </c>
      <c r="G498" s="57">
        <f>G295</f>
        <v>0.77340823970037453</v>
      </c>
      <c r="H498" s="57">
        <f>H295</f>
        <v>-0.18826530612244899</v>
      </c>
      <c r="J498" s="70" t="str">
        <f>IF(H498&lt;=4,"T within slide benchmark NFP/EBITDA ≤ 4.00x (S4 sl.12)","T OUTSIDE slide benchmark NFP/EBITDA ≤ 4.00x (S4 sl.12)")&amp;" | "&amp;IF(ABS(H498-G498)&gt;$H$483*ABS(G498-F498),"MATERIAL CHANGE in T: Δ "&amp;TEXT(H498-G498,"+0.00;-0.00")&amp;"x"&amp;" vs Δ "&amp;TEXT(G498-F498,"+0.00;-0.00")&amp;"x"&amp;" in T−1","Δ T "&amp;TEXT(H498-G498,"+0.00;-0.00")&amp;"x"&amp;" vs Δ T−1 "&amp;TEXT(G498-F498,"+0.00;-0.00")&amp;"x")</f>
        <v>T within slide benchmark NFP/EBITDA ≤ 4.00x (S4 sl.12) | MATERIAL CHANGE in T: Δ -0.96x vs Δ -0.15x in T−1</v>
      </c>
    </row>
    <row r="499" spans="2:10" ht="15" customHeight="1" x14ac:dyDescent="0.35">
      <c r="B499" s="40" t="s">
        <v>500</v>
      </c>
      <c r="C499" s="41" t="s">
        <v>788</v>
      </c>
      <c r="F499" s="57">
        <f>F294</f>
        <v>0.28877298929453749</v>
      </c>
      <c r="G499" s="57">
        <f>G294</f>
        <v>0.2732362821948488</v>
      </c>
      <c r="H499" s="57">
        <f>H294</f>
        <v>-7.0359814748842175E-2</v>
      </c>
      <c r="J499" s="70" t="str">
        <f>IF(ABS(H499-G499)&gt;$H$483*ABS(G499-F499),"MATERIAL CHANGE in T: Δ "&amp;TEXT(H499-G499,"+0.00;-0.00")&amp;"x"&amp;" vs Δ "&amp;TEXT(G499-F499,"+0.00;-0.00")&amp;"x"&amp;" in T−1","Δ T "&amp;TEXT(H499-G499,"+0.00;-0.00")&amp;"x"&amp;" vs Δ T−1 "&amp;TEXT(G499-F499,"+0.00;-0.00")&amp;"x")</f>
        <v>MATERIAL CHANGE in T: Δ -0.34x vs Δ -0.02x in T−1</v>
      </c>
    </row>
    <row r="500" spans="2:10" ht="15" customHeight="1" x14ac:dyDescent="0.35">
      <c r="B500" s="40" t="s">
        <v>796</v>
      </c>
      <c r="C500" s="41" t="s">
        <v>788</v>
      </c>
      <c r="F500" s="57">
        <f>F289</f>
        <v>2.1570134504529235</v>
      </c>
      <c r="G500" s="57">
        <f>G289</f>
        <v>2.200895856662934</v>
      </c>
      <c r="H500" s="57">
        <f>H289</f>
        <v>1.8567866049162807</v>
      </c>
      <c r="J500" s="70" t="str">
        <f>IF(ABS(H500-G500)&gt;$H$483*ABS(G500-F500),"MATERIAL CHANGE in T: Δ "&amp;TEXT(H500-G500,"+0.00;-0.00")&amp;"x"&amp;" vs Δ "&amp;TEXT(G500-F500,"+0.00;-0.00")&amp;"x"&amp;" in T−1","Δ T "&amp;TEXT(H500-G500,"+0.00;-0.00")&amp;"x"&amp;" vs Δ T−1 "&amp;TEXT(G500-F500,"+0.00;-0.00")&amp;"x")</f>
        <v>MATERIAL CHANGE in T: Δ -0.34x vs Δ +0.04x in T−1</v>
      </c>
    </row>
    <row r="502" spans="2:10" ht="15" customHeight="1" x14ac:dyDescent="0.35">
      <c r="B502" s="53" t="s">
        <v>797</v>
      </c>
      <c r="C502" s="41" t="s">
        <v>788</v>
      </c>
    </row>
    <row r="503" spans="2:10" ht="15" customHeight="1" x14ac:dyDescent="0.35">
      <c r="B503" s="44" t="s">
        <v>798</v>
      </c>
      <c r="C503" s="41" t="s">
        <v>788</v>
      </c>
      <c r="F503" s="45">
        <f>F334</f>
        <v>5.0055522337063292E-2</v>
      </c>
      <c r="G503" s="45">
        <f>G334</f>
        <v>5.6330172894590073E-2</v>
      </c>
      <c r="H503" s="45">
        <f>H334</f>
        <v>4.9785356546625331E-2</v>
      </c>
      <c r="J503" s="70" t="str">
        <f>IF(ABS(H503-G503)&gt;$H$483*ABS(G503-F503),"MATERIAL CHANGE in T: Δ "&amp;TEXT((H503-G503)*100,"+0.0;-0.0")&amp;" pp"&amp;" vs Δ "&amp;TEXT((G503-F503)*100,"+0.0;-0.0")&amp;" pp"&amp;" in T−1","Δ T "&amp;TEXT((H503-G503)*100,"+0.0;-0.0")&amp;" pp"&amp;" vs Δ T−1 "&amp;TEXT((G503-F503)*100,"+0.0;-0.0")&amp;" pp")</f>
        <v>Δ T -0.7 pp vs Δ T−1 +0.6 pp</v>
      </c>
    </row>
    <row r="504" spans="2:10" ht="15" customHeight="1" x14ac:dyDescent="0.35">
      <c r="B504" s="44" t="s">
        <v>799</v>
      </c>
      <c r="C504" s="41" t="s">
        <v>788</v>
      </c>
      <c r="F504" s="45">
        <f>F341</f>
        <v>7.8229059187693462E-2</v>
      </c>
      <c r="G504" s="45">
        <f>G341</f>
        <v>9.6055931301770647E-2</v>
      </c>
      <c r="H504" s="45">
        <f>H341</f>
        <v>0.11155234657039712</v>
      </c>
      <c r="J504" s="70" t="str">
        <f>IF(ABS(H504-G504)&gt;$H$483*ABS(G504-F504),"MATERIAL CHANGE in T: Δ "&amp;TEXT((H504-G504)*100,"+0.0;-0.0")&amp;" pp"&amp;" vs Δ "&amp;TEXT((G504-F504)*100,"+0.0;-0.0")&amp;" pp"&amp;" in T−1","Δ T "&amp;TEXT((H504-G504)*100,"+0.0;-0.0")&amp;" pp"&amp;" vs Δ T−1 "&amp;TEXT((G504-F504)*100,"+0.0;-0.0")&amp;" pp")</f>
        <v>Δ T +1.5 pp vs Δ T−1 +1.8 pp</v>
      </c>
    </row>
    <row r="505" spans="2:10" ht="15" customHeight="1" x14ac:dyDescent="0.35">
      <c r="B505" s="44" t="s">
        <v>800</v>
      </c>
      <c r="C505" s="41" t="s">
        <v>788</v>
      </c>
      <c r="F505" s="45">
        <f>F350</f>
        <v>0.17684478371501272</v>
      </c>
      <c r="G505" s="45">
        <f>G350</f>
        <v>0.21963509991311903</v>
      </c>
      <c r="H505" s="45">
        <f>H350</f>
        <v>0.32823454429572979</v>
      </c>
      <c r="J505" s="70" t="str">
        <f>IF(ABS(H505-G505)&gt;$H$483*ABS(G505-F505),"MATERIAL CHANGE in T: Δ "&amp;TEXT((H505-G505)*100,"+0.0;-0.0")&amp;" pp"&amp;" vs Δ "&amp;TEXT((G505-F505)*100,"+0.0;-0.0")&amp;" pp"&amp;" in T−1","Δ T "&amp;TEXT((H505-G505)*100,"+0.0;-0.0")&amp;" pp"&amp;" vs Δ T−1 "&amp;TEXT((G505-F505)*100,"+0.0;-0.0")&amp;" pp")</f>
        <v>MATERIAL CHANGE in T: Δ +10.9 pp vs Δ +4.3 pp in T−1</v>
      </c>
    </row>
    <row r="506" spans="2:10" ht="15" customHeight="1" x14ac:dyDescent="0.35">
      <c r="B506" s="44" t="s">
        <v>801</v>
      </c>
      <c r="C506" s="41" t="s">
        <v>788</v>
      </c>
      <c r="F506" s="45">
        <f>F359</f>
        <v>0.19539962825278809</v>
      </c>
      <c r="G506" s="45">
        <f>G359</f>
        <v>0.24230055658627089</v>
      </c>
      <c r="H506" s="45">
        <f>H359</f>
        <v>0.35049239033124441</v>
      </c>
      <c r="J506" s="70" t="str">
        <f>IF(ABS(H506-G506)&gt;$H$483*ABS(G506-F506),"MATERIAL CHANGE in T: Δ "&amp;TEXT((H506-G506)*100,"+0.0;-0.0")&amp;" pp"&amp;" vs Δ "&amp;TEXT((G506-F506)*100,"+0.0;-0.0")&amp;" pp"&amp;" in T−1","Δ T "&amp;TEXT((H506-G506)*100,"+0.0;-0.0")&amp;" pp"&amp;" vs Δ T−1 "&amp;TEXT((G506-F506)*100,"+0.0;-0.0")&amp;" pp")</f>
        <v>MATERIAL CHANGE in T: Δ +10.8 pp vs Δ +4.7 pp in T−1</v>
      </c>
    </row>
    <row r="507" spans="2:10" ht="15" customHeight="1" x14ac:dyDescent="0.35">
      <c r="B507" s="40" t="s">
        <v>802</v>
      </c>
      <c r="C507" s="41" t="s">
        <v>788</v>
      </c>
      <c r="F507" s="57">
        <f>F355</f>
        <v>0.70016586984096008</v>
      </c>
      <c r="G507" s="57">
        <f>G355</f>
        <v>0.60301703923714245</v>
      </c>
      <c r="H507" s="57">
        <f>H355</f>
        <v>0.7299243259128646</v>
      </c>
      <c r="J507" s="70" t="str">
        <f>IF(ABS(H507-G507)&gt;$H$483*ABS(G507-F507),"MATERIAL CHANGE in T: Δ "&amp;TEXT(H507-G507,"+0.00;-0.00")&amp;"x"&amp;" vs Δ "&amp;TEXT(G507-F507,"+0.00;-0.00")&amp;"x"&amp;" in T−1","Δ T "&amp;TEXT(H507-G507,"+0.00;-0.00")&amp;"x"&amp;" vs Δ T−1 "&amp;TEXT(G507-F507,"+0.00;-0.00")&amp;"x")</f>
        <v>Δ T +0.13x vs Δ T−1 -0.10x</v>
      </c>
    </row>
    <row r="508" spans="2:10" ht="15" customHeight="1" x14ac:dyDescent="0.35">
      <c r="B508" s="40" t="s">
        <v>803</v>
      </c>
      <c r="C508" s="41" t="s">
        <v>788</v>
      </c>
      <c r="F508" s="65">
        <f t="shared" ref="F508:H511" si="5">F371</f>
        <v>101.38795986622074</v>
      </c>
      <c r="G508" s="65">
        <f t="shared" si="5"/>
        <v>91.411535968891769</v>
      </c>
      <c r="H508" s="65">
        <f t="shared" si="5"/>
        <v>69.101157523905385</v>
      </c>
      <c r="J508" s="70" t="str">
        <f>IF(ABS(H508-G508)&gt;$H$483*ABS(G508-F508),"MATERIAL CHANGE in T: Δ "&amp;TEXT(H508-G508,"+0.0;-0.0")&amp;" days"&amp;" vs Δ "&amp;TEXT(G508-F508,"+0.0;-0.0")&amp;" days"&amp;" in T−1","Δ T "&amp;TEXT(H508-G508,"+0.0;-0.0")&amp;" days"&amp;" vs Δ T−1 "&amp;TEXT(G508-F508,"+0.0;-0.0")&amp;" days")</f>
        <v>MATERIAL CHANGE in T: Δ -22.3 days vs Δ -10.0 days in T−1</v>
      </c>
    </row>
    <row r="509" spans="2:10" ht="15" customHeight="1" x14ac:dyDescent="0.35">
      <c r="B509" s="40" t="s">
        <v>804</v>
      </c>
      <c r="C509" s="41" t="s">
        <v>788</v>
      </c>
      <c r="F509" s="65">
        <f t="shared" si="5"/>
        <v>350.80805046560528</v>
      </c>
      <c r="G509" s="65">
        <f t="shared" si="5"/>
        <v>389.48738812042308</v>
      </c>
      <c r="H509" s="65">
        <f t="shared" si="5"/>
        <v>350.7139909203467</v>
      </c>
      <c r="J509" s="70" t="str">
        <f>IF(ABS(H509-G509)&gt;$H$483*ABS(G509-F509),"MATERIAL CHANGE in T: Δ "&amp;TEXT(H509-G509,"+0.0;-0.0")&amp;" days"&amp;" vs Δ "&amp;TEXT(G509-F509,"+0.0;-0.0")&amp;" days"&amp;" in T−1","Δ T "&amp;TEXT(H509-G509,"+0.0;-0.0")&amp;" days"&amp;" vs Δ T−1 "&amp;TEXT(G509-F509,"+0.0;-0.0")&amp;" days")</f>
        <v>Δ T -38.8 days vs Δ T−1 +38.7 days</v>
      </c>
    </row>
    <row r="510" spans="2:10" ht="15" customHeight="1" x14ac:dyDescent="0.35">
      <c r="B510" s="40" t="s">
        <v>805</v>
      </c>
      <c r="C510" s="41" t="s">
        <v>788</v>
      </c>
      <c r="F510" s="65">
        <f t="shared" si="5"/>
        <v>111.76829268292683</v>
      </c>
      <c r="G510" s="65">
        <f t="shared" si="5"/>
        <v>112.20146222583266</v>
      </c>
      <c r="H510" s="65">
        <f t="shared" si="5"/>
        <v>81.27926898914906</v>
      </c>
      <c r="J510" s="70" t="str">
        <f>IF(ABS(H510-G510)&gt;$H$483*ABS(G510-F510),"MATERIAL CHANGE in T: Δ "&amp;TEXT(H510-G510,"+0.0;-0.0")&amp;" days"&amp;" vs Δ "&amp;TEXT(G510-F510,"+0.0;-0.0")&amp;" days"&amp;" in T−1","Δ T "&amp;TEXT(H510-G510,"+0.0;-0.0")&amp;" days"&amp;" vs Δ T−1 "&amp;TEXT(G510-F510,"+0.0;-0.0")&amp;" days")</f>
        <v>MATERIAL CHANGE in T: Δ -30.9 days vs Δ +0.4 days in T−1</v>
      </c>
    </row>
    <row r="511" spans="2:10" ht="15" customHeight="1" x14ac:dyDescent="0.35">
      <c r="B511" s="40" t="s">
        <v>806</v>
      </c>
      <c r="C511" s="41" t="s">
        <v>788</v>
      </c>
      <c r="F511" s="65">
        <f t="shared" si="5"/>
        <v>340.4277176488992</v>
      </c>
      <c r="G511" s="65">
        <f t="shared" si="5"/>
        <v>368.6974618634822</v>
      </c>
      <c r="H511" s="65">
        <f t="shared" si="5"/>
        <v>338.53587945510304</v>
      </c>
      <c r="J511" s="70" t="str">
        <f>IF(ABS(H511-G511)&gt;$H$483*ABS(G511-F511),"MATERIAL CHANGE in T: Δ "&amp;TEXT(H511-G511,"+0.0;-0.0")&amp;" days"&amp;" vs Δ "&amp;TEXT(G511-F511,"+0.0;-0.0")&amp;" days"&amp;" in T−1","Δ T "&amp;TEXT(H511-G511,"+0.0;-0.0")&amp;" days"&amp;" vs Δ T−1 "&amp;TEXT(G511-F511,"+0.0;-0.0")&amp;" days")</f>
        <v>Δ T -30.2 days vs Δ T−1 +28.3 days</v>
      </c>
    </row>
    <row r="512" spans="2:10" ht="15" customHeight="1" x14ac:dyDescent="0.35">
      <c r="B512" s="44" t="s">
        <v>807</v>
      </c>
      <c r="C512" s="41" t="s">
        <v>788</v>
      </c>
      <c r="F512" s="45">
        <f t="shared" ref="F512:H513" si="6">F379</f>
        <v>5.5183946488294312E-2</v>
      </c>
      <c r="G512" s="45">
        <f t="shared" si="6"/>
        <v>9.3583927414128326E-2</v>
      </c>
      <c r="H512" s="45">
        <f t="shared" si="6"/>
        <v>8.6763965777554103E-2</v>
      </c>
      <c r="J512" s="70" t="str">
        <f>IF(ABS(H512-G512)&gt;$H$483*ABS(G512-F512),"MATERIAL CHANGE in T: Δ "&amp;TEXT((H512-G512)*100,"+0.0;-0.0")&amp;" pp"&amp;" vs Δ "&amp;TEXT((G512-F512)*100,"+0.0;-0.0")&amp;" pp"&amp;" in T−1","Δ T "&amp;TEXT((H512-G512)*100,"+0.0;-0.0")&amp;" pp"&amp;" vs Δ T−1 "&amp;TEXT((G512-F512)*100,"+0.0;-0.0")&amp;" pp")</f>
        <v>Δ T -0.7 pp vs Δ T−1 +3.8 pp</v>
      </c>
    </row>
    <row r="513" spans="2:10" ht="15" customHeight="1" x14ac:dyDescent="0.35">
      <c r="B513" s="40" t="s">
        <v>808</v>
      </c>
      <c r="C513" s="41" t="s">
        <v>788</v>
      </c>
      <c r="F513" s="57">
        <f t="shared" si="6"/>
        <v>1.2857142857142858</v>
      </c>
      <c r="G513" s="57">
        <f t="shared" si="6"/>
        <v>1.7915632754342432</v>
      </c>
      <c r="H513" s="57">
        <f t="shared" si="6"/>
        <v>1.7205588822355289</v>
      </c>
      <c r="J513" s="70" t="str">
        <f>IF(H513&gt;1,"T &gt; 1: investment exceeds consumption = development (S5 sl.12)","T ≤ 1: maintenance investment (S5 sl.12)")&amp;" | "&amp;IF(ABS(H513-G513)&gt;$H$483*ABS(G513-F513),"MATERIAL CHANGE in T: Δ "&amp;TEXT(H513-G513,"+0.00;-0.00")&amp;"x"&amp;" vs Δ "&amp;TEXT(G513-F513,"+0.00;-0.00")&amp;"x"&amp;" in T−1","Δ T "&amp;TEXT(H513-G513,"+0.00;-0.00")&amp;"x"&amp;" vs Δ T−1 "&amp;TEXT(G513-F513,"+0.00;-0.00")&amp;"x")</f>
        <v>T &gt; 1: investment exceeds consumption = development (S5 sl.12) | Δ T -0.07x vs Δ T−1 +0.51x</v>
      </c>
    </row>
    <row r="514" spans="2:10" ht="15" customHeight="1" x14ac:dyDescent="0.35">
      <c r="B514" s="44" t="s">
        <v>809</v>
      </c>
      <c r="C514" s="41" t="s">
        <v>788</v>
      </c>
      <c r="F514" s="45">
        <f>F385</f>
        <v>0.2645486001887386</v>
      </c>
      <c r="G514" s="45">
        <f>G385</f>
        <v>0.32946518668012109</v>
      </c>
      <c r="H514" s="45">
        <f>H385</f>
        <v>0.50289017341040465</v>
      </c>
      <c r="J514" s="70" t="str">
        <f>IF(ABS(H514-G514)&gt;$H$483*ABS(G514-F514),"MATERIAL CHANGE in T: Δ "&amp;TEXT((H514-G514)*100,"+0.0;-0.0")&amp;" pp"&amp;" vs Δ "&amp;TEXT((G514-F514)*100,"+0.0;-0.0")&amp;" pp"&amp;" in T−1","Δ T "&amp;TEXT((H514-G514)*100,"+0.0;-0.0")&amp;" pp"&amp;" vs Δ T−1 "&amp;TEXT((G514-F514)*100,"+0.0;-0.0")&amp;" pp")</f>
        <v>MATERIAL CHANGE in T: Δ +17.3 pp vs Δ +6.5 pp in T−1</v>
      </c>
    </row>
    <row r="515" spans="2:10" ht="15" customHeight="1" x14ac:dyDescent="0.35">
      <c r="B515" s="44" t="s">
        <v>810</v>
      </c>
      <c r="C515" s="41" t="s">
        <v>788</v>
      </c>
      <c r="F515" s="45">
        <f>F387</f>
        <v>5.9287980260838917E-2</v>
      </c>
      <c r="G515" s="45">
        <f>G387</f>
        <v>7.6173811606882469E-2</v>
      </c>
      <c r="H515" s="45">
        <f>H387</f>
        <v>9.4189823168531223E-2</v>
      </c>
      <c r="J515" s="70" t="str">
        <f>IF(ABS(H515-G515)&gt;$H$483*ABS(G515-F515),"MATERIAL CHANGE in T: Δ "&amp;TEXT((H515-G515)*100,"+0.0;-0.0")&amp;" pp"&amp;" vs Δ "&amp;TEXT((G515-F515)*100,"+0.0;-0.0")&amp;" pp"&amp;" in T−1","Δ T "&amp;TEXT((H515-G515)*100,"+0.0;-0.0")&amp;" pp"&amp;" vs Δ T−1 "&amp;TEXT((G515-F515)*100,"+0.0;-0.0")&amp;" pp")</f>
        <v>Δ T +1.8 pp vs Δ T−1 +1.7 pp</v>
      </c>
    </row>
    <row r="517" spans="2:10" ht="15" customHeight="1" x14ac:dyDescent="0.35">
      <c r="B517" s="53" t="s">
        <v>811</v>
      </c>
      <c r="C517" s="41" t="s">
        <v>788</v>
      </c>
    </row>
    <row r="518" spans="2:10" ht="15" customHeight="1" x14ac:dyDescent="0.35">
      <c r="B518" s="44" t="s">
        <v>812</v>
      </c>
      <c r="C518" s="41" t="s">
        <v>788</v>
      </c>
      <c r="F518" s="45">
        <f t="shared" ref="F518:H519" si="7">F392</f>
        <v>0.16387592643425747</v>
      </c>
      <c r="G518" s="45">
        <f t="shared" si="7"/>
        <v>0.22374020156774915</v>
      </c>
      <c r="H518" s="45">
        <f t="shared" si="7"/>
        <v>0.14000712504453153</v>
      </c>
      <c r="J518" s="70" t="str">
        <f>IF(ABS(H518-G518)&gt;$H$483*ABS(G518-F518),"MATERIAL CHANGE in T: Δ "&amp;TEXT((H518-G518)*100,"+0.0;-0.0")&amp;" pp"&amp;" vs Δ "&amp;TEXT((G518-F518)*100,"+0.0;-0.0")&amp;" pp"&amp;" in T−1","Δ T "&amp;TEXT((H518-G518)*100,"+0.0;-0.0")&amp;" pp"&amp;" vs Δ T−1 "&amp;TEXT((G518-F518)*100,"+0.0;-0.0")&amp;" pp")</f>
        <v>Δ T -8.4 pp vs Δ T−1 +6.0 pp</v>
      </c>
    </row>
    <row r="519" spans="2:10" ht="15" customHeight="1" x14ac:dyDescent="0.35">
      <c r="B519" s="44" t="s">
        <v>650</v>
      </c>
      <c r="C519" s="41" t="s">
        <v>788</v>
      </c>
      <c r="F519" s="45">
        <f t="shared" si="7"/>
        <v>0.16085643700247049</v>
      </c>
      <c r="G519" s="45">
        <f t="shared" si="7"/>
        <v>0.18096304591265397</v>
      </c>
      <c r="H519" s="45">
        <f t="shared" si="7"/>
        <v>0.14873530459565373</v>
      </c>
      <c r="J519" s="70" t="str">
        <f>IF(ABS(H519-G519)&gt;$H$483*ABS(G519-F519),"MATERIAL CHANGE in T: Δ "&amp;TEXT((H519-G519)*100,"+0.0;-0.0")&amp;" pp"&amp;" vs Δ "&amp;TEXT((G519-F519)*100,"+0.0;-0.0")&amp;" pp"&amp;" in T−1","Δ T "&amp;TEXT((H519-G519)*100,"+0.0;-0.0")&amp;" pp"&amp;" vs Δ T−1 "&amp;TEXT((G519-F519)*100,"+0.0;-0.0")&amp;" pp")</f>
        <v>Δ T -3.2 pp vs Δ T−1 +2.0 pp</v>
      </c>
    </row>
    <row r="520" spans="2:10" ht="15" customHeight="1" x14ac:dyDescent="0.35">
      <c r="B520" s="44" t="s">
        <v>813</v>
      </c>
      <c r="C520" s="41" t="s">
        <v>788</v>
      </c>
      <c r="F520" s="45">
        <f t="shared" ref="F520:H523" si="8">F432</f>
        <v>5.2796654469419758E-2</v>
      </c>
      <c r="G520" s="45">
        <f t="shared" si="8"/>
        <v>4.2921997523730909E-2</v>
      </c>
      <c r="H520" s="45">
        <f t="shared" si="8"/>
        <v>8.6651053864168617E-2</v>
      </c>
      <c r="J520" s="70" t="str">
        <f>IF(ABS(H520-G520)&gt;$H$483*ABS(G520-F520),"MATERIAL CHANGE in T: Δ "&amp;TEXT((H520-G520)*100,"+0.0;-0.0")&amp;" pp"&amp;" vs Δ "&amp;TEXT((G520-F520)*100,"+0.0;-0.0")&amp;" pp"&amp;" in T−1","Δ T "&amp;TEXT((H520-G520)*100,"+0.0;-0.0")&amp;" pp"&amp;" vs Δ T−1 "&amp;TEXT((G520-F520)*100,"+0.0;-0.0")&amp;" pp")</f>
        <v>MATERIAL CHANGE in T: Δ +4.4 pp vs Δ -1.0 pp in T−1</v>
      </c>
    </row>
    <row r="521" spans="2:10" ht="15" customHeight="1" x14ac:dyDescent="0.35">
      <c r="B521" s="44" t="s">
        <v>814</v>
      </c>
      <c r="C521" s="41" t="s">
        <v>788</v>
      </c>
      <c r="F521" s="45">
        <f t="shared" si="8"/>
        <v>0.10253091932467673</v>
      </c>
      <c r="G521" s="45">
        <f t="shared" si="8"/>
        <v>0.14261807216268024</v>
      </c>
      <c r="H521" s="45">
        <f t="shared" si="8"/>
        <v>0.13800449363401845</v>
      </c>
      <c r="J521" s="70" t="str">
        <f>IF(H521&gt;0,"T spread &gt; 0: leverage raises ROE (S6 sl.7)","T spread ≤ 0: leverage lowers ROE (S6 sl.7)")&amp;" | "&amp;IF(ABS(H521-G521)&gt;$H$483*ABS(G521-F521),"MATERIAL CHANGE in T: Δ "&amp;TEXT((H521-G521)*100,"+0.0;-0.0")&amp;" pp"&amp;" vs Δ "&amp;TEXT((G521-F521)*100,"+0.0;-0.0")&amp;" pp"&amp;" in T−1","Δ T "&amp;TEXT((H521-G521)*100,"+0.0;-0.0")&amp;" pp"&amp;" vs Δ T−1 "&amp;TEXT((G521-F521)*100,"+0.0;-0.0")&amp;" pp")</f>
        <v>T spread &gt; 0: leverage raises ROE (S6 sl.7) | Δ T -0.5 pp vs Δ T−1 +4.0 pp</v>
      </c>
    </row>
    <row r="522" spans="2:10" ht="15" customHeight="1" x14ac:dyDescent="0.35">
      <c r="B522" s="40" t="s">
        <v>815</v>
      </c>
      <c r="C522" s="41" t="s">
        <v>788</v>
      </c>
      <c r="F522" s="57">
        <f t="shared" si="8"/>
        <v>0.52511666209168273</v>
      </c>
      <c r="G522" s="57">
        <f t="shared" si="8"/>
        <v>0.54266517357222843</v>
      </c>
      <c r="H522" s="57">
        <f t="shared" si="8"/>
        <v>0.22817955112219451</v>
      </c>
      <c r="J522" s="70" t="str">
        <f>IF(ABS(H522-G522)&gt;$H$483*ABS(G522-F522),"MATERIAL CHANGE in T: Δ "&amp;TEXT(H522-G522,"+0.00;-0.00")&amp;"x"&amp;" vs Δ "&amp;TEXT(G522-F522,"+0.00;-0.00")&amp;"x"&amp;" in T−1","Δ T "&amp;TEXT(H522-G522,"+0.00;-0.00")&amp;"x"&amp;" vs Δ T−1 "&amp;TEXT(G522-F522,"+0.00;-0.00")&amp;"x")</f>
        <v>MATERIAL CHANGE in T: Δ -0.31x vs Δ +0.02x in T−1</v>
      </c>
    </row>
    <row r="523" spans="2:10" ht="15" customHeight="1" x14ac:dyDescent="0.35">
      <c r="B523" s="40" t="s">
        <v>816</v>
      </c>
      <c r="C523" s="41" t="s">
        <v>788</v>
      </c>
      <c r="F523" s="57">
        <f t="shared" si="8"/>
        <v>0.78346456692913391</v>
      </c>
      <c r="G523" s="57">
        <f t="shared" si="8"/>
        <v>0.85093696763202731</v>
      </c>
      <c r="H523" s="57">
        <f t="shared" si="8"/>
        <v>0.54659248956884565</v>
      </c>
      <c r="J523" s="70" t="str">
        <f>IF(ABS(H523-G523)&gt;$H$483*ABS(G523-F523),"MATERIAL CHANGE in T: Δ "&amp;TEXT(H523-G523,"+0.00;-0.00")&amp;"x"&amp;" vs Δ "&amp;TEXT(G523-F523,"+0.00;-0.00")&amp;"x"&amp;" in T−1","Δ T "&amp;TEXT(H523-G523,"+0.00;-0.00")&amp;"x"&amp;" vs Δ T−1 "&amp;TEXT(G523-F523,"+0.00;-0.00")&amp;"x")</f>
        <v>MATERIAL CHANGE in T: Δ -0.30x vs Δ +0.07x in T−1</v>
      </c>
    </row>
    <row r="524" spans="2:10" ht="15" customHeight="1" x14ac:dyDescent="0.35">
      <c r="B524" s="44" t="s">
        <v>817</v>
      </c>
      <c r="C524" s="41" t="s">
        <v>788</v>
      </c>
      <c r="F524" s="45">
        <f>F440</f>
        <v>0.2091682679110623</v>
      </c>
      <c r="G524" s="45">
        <f>G440</f>
        <v>0.26293393057110864</v>
      </c>
      <c r="H524" s="45">
        <f>H440</f>
        <v>0.2561453509084432</v>
      </c>
      <c r="J524" s="70" t="str">
        <f>IF(ABS(H524-G524)&gt;$H$483*ABS(G524-F524),"MATERIAL CHANGE in T: Δ "&amp;TEXT((H524-G524)*100,"+0.0;-0.0")&amp;" pp"&amp;" vs Δ "&amp;TEXT((G524-F524)*100,"+0.0;-0.0")&amp;" pp"&amp;" in T−1","Δ T "&amp;TEXT((H524-G524)*100,"+0.0;-0.0")&amp;" pp"&amp;" vs Δ T−1 "&amp;TEXT((G524-F524)*100,"+0.0;-0.0")&amp;" pp")</f>
        <v>Δ T -0.7 pp vs Δ T−1 +5.4 pp</v>
      </c>
    </row>
    <row r="525" spans="2:10" ht="15" customHeight="1" x14ac:dyDescent="0.35">
      <c r="B525" s="44" t="s">
        <v>818</v>
      </c>
      <c r="C525" s="41" t="s">
        <v>788</v>
      </c>
      <c r="F525" s="45">
        <f>F467</f>
        <v>0.1384916392418464</v>
      </c>
      <c r="G525" s="45">
        <f>G467</f>
        <v>0.16126030891808779</v>
      </c>
      <c r="H525" s="45">
        <f>H467</f>
        <v>0.22675825118960885</v>
      </c>
      <c r="J525" s="70" t="str">
        <f>IF(ABS(H525-G525)&gt;$H$483*ABS(G525-F525),"MATERIAL CHANGE in T: Δ "&amp;TEXT((H525-G525)*100,"+0.0;-0.0")&amp;" pp"&amp;" vs Δ "&amp;TEXT((G525-F525)*100,"+0.0;-0.0")&amp;" pp"&amp;" in T−1","Δ T "&amp;TEXT((H525-G525)*100,"+0.0;-0.0")&amp;" pp"&amp;" vs Δ T−1 "&amp;TEXT((G525-F525)*100,"+0.0;-0.0")&amp;" pp")</f>
        <v>MATERIAL CHANGE in T: Δ +6.5 pp vs Δ +2.3 pp in T−1</v>
      </c>
    </row>
    <row r="526" spans="2:10" ht="15" customHeight="1" x14ac:dyDescent="0.35">
      <c r="B526" s="44" t="s">
        <v>819</v>
      </c>
      <c r="C526" s="41" t="s">
        <v>788</v>
      </c>
      <c r="F526" s="45">
        <f>F476</f>
        <v>8.3800408092759682E-2</v>
      </c>
      <c r="G526" s="45">
        <f>G476</f>
        <v>8.7517305732118453E-2</v>
      </c>
      <c r="H526" s="45">
        <f>H476</f>
        <v>0.1240473715906112</v>
      </c>
      <c r="J526" s="70" t="str">
        <f>IF(ABS(H526-G526)&gt;$H$483*ABS(G526-F526),"MATERIAL CHANGE in T: Δ "&amp;TEXT((H526-G526)*100,"+0.0;-0.0")&amp;" pp"&amp;" vs Δ "&amp;TEXT((G526-F526)*100,"+0.0;-0.0")&amp;" pp"&amp;" in T−1","Δ T "&amp;TEXT((H526-G526)*100,"+0.0;-0.0")&amp;" pp"&amp;" vs Δ T−1 "&amp;TEXT((G526-F526)*100,"+0.0;-0.0")&amp;" pp")</f>
        <v>MATERIAL CHANGE in T: Δ +3.7 pp vs Δ +0.4 pp in T−1</v>
      </c>
    </row>
    <row r="527" spans="2:10" ht="15" customHeight="1" x14ac:dyDescent="0.35">
      <c r="B527" s="43" t="s">
        <v>820</v>
      </c>
    </row>
    <row r="529" spans="1:10" ht="15" customHeight="1" x14ac:dyDescent="0.35">
      <c r="A529" s="38" t="s">
        <v>5</v>
      </c>
      <c r="B529" s="39" t="s">
        <v>821</v>
      </c>
      <c r="C529" s="27"/>
      <c r="D529" s="27"/>
      <c r="E529" s="27"/>
      <c r="F529" s="27"/>
      <c r="G529" s="27"/>
      <c r="H529" s="27"/>
      <c r="I529" s="15"/>
      <c r="J529" s="15"/>
    </row>
    <row r="531" spans="1:10" ht="15" customHeight="1" x14ac:dyDescent="0.35">
      <c r="B531" s="40" t="s">
        <v>822</v>
      </c>
      <c r="F531" s="49">
        <f>F36+F41+SUM(F54:F60)-F33-'Reported Financials'!F69</f>
        <v>0</v>
      </c>
      <c r="G531" s="49">
        <f>G36+G41+SUM(G54:G60)-G33-'Reported Financials'!G69</f>
        <v>0</v>
      </c>
      <c r="H531" s="49">
        <f>H36+H41+SUM(H54:H60)-H33-'Reported Financials'!H69</f>
        <v>0</v>
      </c>
      <c r="J531" s="34" t="str">
        <f>IF(MAX(ABS(F531),ABS(G531),ABS(H531))&lt;='Reported Financials'!$E$233,"OK","CHECK")</f>
        <v>OK</v>
      </c>
    </row>
    <row r="532" spans="1:10" ht="15" customHeight="1" x14ac:dyDescent="0.35">
      <c r="B532" s="40" t="s">
        <v>823</v>
      </c>
      <c r="F532" s="49">
        <f>F81-'Reported Financials'!F120</f>
        <v>0</v>
      </c>
      <c r="G532" s="49">
        <f>G81-'Reported Financials'!G120</f>
        <v>0</v>
      </c>
      <c r="H532" s="49">
        <f>H81-'Reported Financials'!H120</f>
        <v>0</v>
      </c>
      <c r="J532" s="34" t="str">
        <f>IF(MAX(ABS(F532),ABS(G532),ABS(H532))&lt;='Reported Financials'!$E$233,"OK","CHECK")</f>
        <v>OK</v>
      </c>
    </row>
    <row r="533" spans="1:10" ht="15" customHeight="1" x14ac:dyDescent="0.35">
      <c r="B533" s="40" t="s">
        <v>824</v>
      </c>
      <c r="F533" s="49">
        <f>F50+SUM(F54:F60)-'Reported Financials'!F73</f>
        <v>0</v>
      </c>
      <c r="G533" s="49">
        <f>G50+SUM(G54:G60)-'Reported Financials'!G73</f>
        <v>0</v>
      </c>
      <c r="H533" s="49">
        <f>H50+SUM(H54:H60)-'Reported Financials'!H73</f>
        <v>0</v>
      </c>
      <c r="J533" s="34" t="str">
        <f>IF(MAX(ABS(F533),ABS(G533),ABS(H533))&lt;='Reported Financials'!$E$233,"OK","CHECK")</f>
        <v>OK</v>
      </c>
    </row>
    <row r="534" spans="1:10" ht="15" customHeight="1" x14ac:dyDescent="0.35">
      <c r="B534" s="40" t="s">
        <v>825</v>
      </c>
      <c r="E534" s="49">
        <f>E264-E278</f>
        <v>0</v>
      </c>
      <c r="F534" s="49">
        <f>F264-F278</f>
        <v>0</v>
      </c>
      <c r="G534" s="49">
        <f>G264-G278</f>
        <v>0</v>
      </c>
      <c r="H534" s="49">
        <f>H264-H278</f>
        <v>0</v>
      </c>
      <c r="J534" s="34" t="str">
        <f>IF(MAX(ABS(E534),ABS(F534),ABS(G534),ABS(H534))&lt;='Reported Financials'!$E$233,"OK","CHECK")</f>
        <v>OK</v>
      </c>
    </row>
    <row r="535" spans="1:10" ht="15" customHeight="1" x14ac:dyDescent="0.35">
      <c r="B535" s="40" t="s">
        <v>826</v>
      </c>
      <c r="E535" s="49">
        <f>E227+E248+E253+E258+E254+'Reported Financials'!E143+'Reported Financials'!E142+'Reported Financials'!E141+E261-'Reported Financials'!E147</f>
        <v>0</v>
      </c>
      <c r="F535" s="49">
        <f>F227+F248+F253+F258+F254+'Reported Financials'!F143+'Reported Financials'!F142+'Reported Financials'!F141+F261-'Reported Financials'!F147</f>
        <v>0</v>
      </c>
      <c r="G535" s="49">
        <f>G227+G248+G253+G258+G254+'Reported Financials'!G143+'Reported Financials'!G142+'Reported Financials'!G141+G261-'Reported Financials'!G147</f>
        <v>0</v>
      </c>
      <c r="H535" s="49">
        <f>H227+H248+H253+H258+H254+'Reported Financials'!H143+'Reported Financials'!H142+'Reported Financials'!H141+H261-'Reported Financials'!H147</f>
        <v>0</v>
      </c>
      <c r="J535" s="34" t="str">
        <f>IF(MAX(ABS(E535),ABS(F535),ABS(G535),ABS(H535))&lt;='Reported Financials'!$E$233,"OK","CHECK")</f>
        <v>OK</v>
      </c>
    </row>
    <row r="536" spans="1:10" ht="15" customHeight="1" x14ac:dyDescent="0.35">
      <c r="B536" s="40" t="s">
        <v>827</v>
      </c>
      <c r="E536" s="49">
        <f>E237-E262-E255+'Reported Financials'!E173+E267+E268+E276-'Reported Financials'!E177</f>
        <v>0</v>
      </c>
      <c r="F536" s="49">
        <f>F237-F262-F255+'Reported Financials'!F173+F267+F268+F276-'Reported Financials'!F177</f>
        <v>0</v>
      </c>
      <c r="G536" s="49">
        <f>G237-G262-G255+'Reported Financials'!G173+G267+G268+G276-'Reported Financials'!G177</f>
        <v>0</v>
      </c>
      <c r="H536" s="49">
        <f>H237-H262-H255+'Reported Financials'!H173+H267+H268+H276-'Reported Financials'!H177</f>
        <v>0</v>
      </c>
      <c r="J536" s="34" t="str">
        <f>IF(MAX(ABS(E536),ABS(F536),ABS(G536),ABS(H536))&lt;='Reported Financials'!$E$233,"OK","CHECK")</f>
        <v>OK</v>
      </c>
    </row>
    <row r="537" spans="1:10" ht="15" customHeight="1" x14ac:dyDescent="0.35">
      <c r="B537" s="40" t="s">
        <v>828</v>
      </c>
      <c r="E537" s="49">
        <f>E285</f>
        <v>0</v>
      </c>
      <c r="F537" s="49">
        <f>F285</f>
        <v>0</v>
      </c>
      <c r="G537" s="49">
        <f>G285</f>
        <v>0</v>
      </c>
      <c r="H537" s="49">
        <f>H285</f>
        <v>0</v>
      </c>
      <c r="J537" s="34" t="str">
        <f>IF(MAX(ABS(E537),ABS(F537),ABS(G537),ABS(H537))&lt;='Reported Financials'!$E$233,"OK","CHECK")</f>
        <v>OK</v>
      </c>
    </row>
    <row r="538" spans="1:10" ht="15" customHeight="1" x14ac:dyDescent="0.35">
      <c r="B538" s="40" t="s">
        <v>829</v>
      </c>
      <c r="F538" s="49">
        <f>F171-F36</f>
        <v>0</v>
      </c>
      <c r="G538" s="49">
        <f>G171-G36</f>
        <v>0</v>
      </c>
      <c r="H538" s="49">
        <f>H171-H36</f>
        <v>0</v>
      </c>
      <c r="J538" s="34" t="str">
        <f>IF(MAX(ABS(F538),ABS(G538),ABS(H538))&lt;='Reported Financials'!$E$233,"OK","CHECK")</f>
        <v>OK</v>
      </c>
    </row>
    <row r="539" spans="1:10" ht="15" customHeight="1" x14ac:dyDescent="0.35">
      <c r="B539" s="40" t="s">
        <v>830</v>
      </c>
      <c r="F539" s="49">
        <f>F138-(F133+F134+F135+F136+F137)</f>
        <v>0</v>
      </c>
      <c r="G539" s="49">
        <f>G138-(G133+G134+G135+G136+G137)</f>
        <v>0</v>
      </c>
      <c r="H539" s="49">
        <f>H138-(H133+H134+H135+H136+H137)</f>
        <v>0</v>
      </c>
      <c r="J539" s="34" t="str">
        <f>IF(MAX(ABS(F539),ABS(G539),ABS(H539))&lt;='Reported Financials'!$E$233,"OK","CHECK")</f>
        <v>OK</v>
      </c>
    </row>
    <row r="540" spans="1:10" ht="15" customHeight="1" x14ac:dyDescent="0.35">
      <c r="B540" s="34" t="s">
        <v>831</v>
      </c>
      <c r="H540" s="68">
        <v>1E-4</v>
      </c>
    </row>
    <row r="541" spans="1:10" ht="15" customHeight="1" x14ac:dyDescent="0.35">
      <c r="B541" s="44" t="s">
        <v>832</v>
      </c>
      <c r="F541" s="45">
        <f>F341-(F337*F338+F339*F340)</f>
        <v>0</v>
      </c>
      <c r="G541" s="45">
        <f>G341-(G337*G338+G339*G340)</f>
        <v>0</v>
      </c>
      <c r="H541" s="45">
        <f>H341-(H337*H338+H339*H340)</f>
        <v>0</v>
      </c>
      <c r="J541" s="34" t="str">
        <f t="shared" ref="J541:J556" si="9">IF(MAX(ABS(F541),ABS(G541),ABS(H541))&lt;=$H$540,"OK","CHECK")</f>
        <v>OK</v>
      </c>
    </row>
    <row r="542" spans="1:10" ht="15" customHeight="1" x14ac:dyDescent="0.35">
      <c r="B542" s="44" t="s">
        <v>833</v>
      </c>
      <c r="F542" s="45">
        <f>F350-(F346*F347+F348*F349)</f>
        <v>0</v>
      </c>
      <c r="G542" s="45">
        <f>G350-(G346*G347+G348*G349)</f>
        <v>0</v>
      </c>
      <c r="H542" s="45">
        <f>H350-(H346*H347+H348*H349)</f>
        <v>0</v>
      </c>
      <c r="J542" s="34" t="str">
        <f t="shared" si="9"/>
        <v>OK</v>
      </c>
    </row>
    <row r="543" spans="1:10" ht="15" customHeight="1" x14ac:dyDescent="0.35">
      <c r="B543" s="44" t="s">
        <v>834</v>
      </c>
      <c r="F543" s="45">
        <f>F359-F346</f>
        <v>0</v>
      </c>
      <c r="G543" s="45">
        <f>G359-G346</f>
        <v>0</v>
      </c>
      <c r="H543" s="45">
        <f>H359-H346</f>
        <v>0</v>
      </c>
      <c r="J543" s="34" t="str">
        <f t="shared" si="9"/>
        <v>OK</v>
      </c>
    </row>
    <row r="544" spans="1:10" ht="15" customHeight="1" x14ac:dyDescent="0.35">
      <c r="B544" s="44" t="s">
        <v>835</v>
      </c>
      <c r="F544" s="45">
        <f>F356-F358</f>
        <v>0</v>
      </c>
      <c r="G544" s="45">
        <f>G356-G358</f>
        <v>0</v>
      </c>
      <c r="H544" s="45">
        <f>H356-H358</f>
        <v>0</v>
      </c>
      <c r="J544" s="34" t="str">
        <f t="shared" si="9"/>
        <v>OK</v>
      </c>
    </row>
    <row r="545" spans="1:10" ht="15" customHeight="1" x14ac:dyDescent="0.35">
      <c r="B545" s="44" t="s">
        <v>836</v>
      </c>
      <c r="F545" s="45">
        <f>F402-F393</f>
        <v>0</v>
      </c>
      <c r="G545" s="45">
        <f>G402-G393</f>
        <v>0</v>
      </c>
      <c r="H545" s="45">
        <f>H402-H393</f>
        <v>0</v>
      </c>
      <c r="J545" s="34" t="str">
        <f t="shared" si="9"/>
        <v>OK</v>
      </c>
    </row>
    <row r="546" spans="1:10" ht="15" customHeight="1" x14ac:dyDescent="0.35">
      <c r="B546" s="44" t="s">
        <v>837</v>
      </c>
      <c r="F546" s="45">
        <f>F400-F401</f>
        <v>0</v>
      </c>
      <c r="G546" s="45">
        <f>G400-G401</f>
        <v>0</v>
      </c>
      <c r="H546" s="45">
        <f>H400-H401</f>
        <v>0</v>
      </c>
      <c r="J546" s="34" t="str">
        <f t="shared" si="9"/>
        <v>OK</v>
      </c>
    </row>
    <row r="547" spans="1:10" ht="15" customHeight="1" x14ac:dyDescent="0.35">
      <c r="B547" s="44" t="s">
        <v>838</v>
      </c>
      <c r="F547" s="45">
        <f>F411-F393</f>
        <v>0</v>
      </c>
      <c r="G547" s="45">
        <f>G411-G393</f>
        <v>0</v>
      </c>
      <c r="H547" s="45">
        <f>H411-H393</f>
        <v>0</v>
      </c>
      <c r="J547" s="34" t="str">
        <f t="shared" si="9"/>
        <v>OK</v>
      </c>
    </row>
    <row r="548" spans="1:10" ht="15" customHeight="1" x14ac:dyDescent="0.35">
      <c r="B548" s="44" t="s">
        <v>839</v>
      </c>
      <c r="F548" s="45">
        <f>F421-F392</f>
        <v>0</v>
      </c>
      <c r="G548" s="45">
        <f>G421-G392</f>
        <v>0</v>
      </c>
      <c r="H548" s="45">
        <f>H421-H392</f>
        <v>0</v>
      </c>
      <c r="J548" s="34" t="str">
        <f t="shared" si="9"/>
        <v>OK</v>
      </c>
    </row>
    <row r="549" spans="1:10" ht="15" customHeight="1" x14ac:dyDescent="0.35">
      <c r="B549" s="44" t="s">
        <v>840</v>
      </c>
      <c r="F549" s="45">
        <f>F438-F392</f>
        <v>0</v>
      </c>
      <c r="G549" s="45">
        <f>G438-G392</f>
        <v>0</v>
      </c>
      <c r="H549" s="45">
        <f>H438-H392</f>
        <v>0</v>
      </c>
      <c r="J549" s="34" t="str">
        <f t="shared" si="9"/>
        <v>OK</v>
      </c>
    </row>
    <row r="550" spans="1:10" ht="15" customHeight="1" x14ac:dyDescent="0.35">
      <c r="B550" s="44" t="s">
        <v>841</v>
      </c>
      <c r="F550" s="45">
        <f>F425-(F426*F427+F428*F429+F430*F431)</f>
        <v>0</v>
      </c>
      <c r="G550" s="45">
        <f>G425-(G426*G427+G428*G429+G430*G431)</f>
        <v>0</v>
      </c>
      <c r="H550" s="45">
        <f>H425-(H426*H427+H428*H429+H430*H431)</f>
        <v>0</v>
      </c>
      <c r="J550" s="34" t="str">
        <f t="shared" si="9"/>
        <v>OK</v>
      </c>
    </row>
    <row r="551" spans="1:10" ht="15" customHeight="1" x14ac:dyDescent="0.35">
      <c r="B551" s="44" t="s">
        <v>842</v>
      </c>
      <c r="F551" s="45">
        <f>F435-F436*F437</f>
        <v>0</v>
      </c>
      <c r="G551" s="45">
        <f>G435-G436*G437</f>
        <v>0</v>
      </c>
      <c r="H551" s="45">
        <f>H435-H436*H437</f>
        <v>0</v>
      </c>
      <c r="J551" s="34" t="str">
        <f t="shared" si="9"/>
        <v>OK</v>
      </c>
    </row>
    <row r="552" spans="1:10" ht="15" customHeight="1" x14ac:dyDescent="0.35">
      <c r="B552" s="44" t="s">
        <v>843</v>
      </c>
      <c r="F552" s="45">
        <f>F453-F392</f>
        <v>3.871451404344195E-5</v>
      </c>
      <c r="G552" s="45">
        <f>G453-G392</f>
        <v>4.2682540637661859E-5</v>
      </c>
      <c r="H552" s="45">
        <f>H453-H392</f>
        <v>2.9238573034190418E-5</v>
      </c>
      <c r="J552" s="34" t="str">
        <f t="shared" si="9"/>
        <v>OK</v>
      </c>
    </row>
    <row r="553" spans="1:10" ht="15" customHeight="1" x14ac:dyDescent="0.35">
      <c r="B553" s="44" t="s">
        <v>844</v>
      </c>
      <c r="F553" s="45">
        <f>F444-(F445*F446+F447*F448)</f>
        <v>0</v>
      </c>
      <c r="G553" s="45">
        <f>G444-(G445*G446+G447*G448)</f>
        <v>0</v>
      </c>
      <c r="H553" s="45">
        <f>H444-(H445*H446+H447*H448)</f>
        <v>0</v>
      </c>
      <c r="J553" s="34" t="str">
        <f t="shared" si="9"/>
        <v>OK</v>
      </c>
    </row>
    <row r="554" spans="1:10" ht="15" customHeight="1" x14ac:dyDescent="0.35">
      <c r="B554" s="44" t="s">
        <v>845</v>
      </c>
      <c r="F554" s="45">
        <f>IF(ISNUMBER(F458),F458-F392,0)</f>
        <v>0</v>
      </c>
      <c r="G554" s="45">
        <f>IF(ISNUMBER(G458),G458-G392,0)</f>
        <v>0</v>
      </c>
      <c r="H554" s="45">
        <f>IF(ISNUMBER(H458),H458-H392,0)</f>
        <v>2.9238573034190418E-5</v>
      </c>
      <c r="J554" s="34" t="str">
        <f t="shared" si="9"/>
        <v>OK</v>
      </c>
    </row>
    <row r="555" spans="1:10" ht="15" customHeight="1" x14ac:dyDescent="0.35">
      <c r="B555" s="44" t="s">
        <v>846</v>
      </c>
      <c r="F555" s="45">
        <f>F471-F392</f>
        <v>3.871451404344195E-5</v>
      </c>
      <c r="G555" s="45">
        <f>G471-G392</f>
        <v>4.2682540637689614E-5</v>
      </c>
      <c r="H555" s="45">
        <f>H471-H392</f>
        <v>2.9238573034218174E-5</v>
      </c>
      <c r="J555" s="34" t="str">
        <f t="shared" si="9"/>
        <v>OK</v>
      </c>
    </row>
    <row r="556" spans="1:10" ht="15" customHeight="1" x14ac:dyDescent="0.35">
      <c r="B556" s="44" t="s">
        <v>847</v>
      </c>
      <c r="F556" s="45">
        <f>F478-F467</f>
        <v>0</v>
      </c>
      <c r="G556" s="45">
        <f>G478-G467</f>
        <v>0</v>
      </c>
      <c r="H556" s="45">
        <f>H478-H467</f>
        <v>0</v>
      </c>
      <c r="J556" s="34" t="str">
        <f t="shared" si="9"/>
        <v>OK</v>
      </c>
    </row>
    <row r="557" spans="1:10" ht="15" customHeight="1" x14ac:dyDescent="0.35">
      <c r="B557" s="71" t="s">
        <v>92</v>
      </c>
      <c r="C557" s="27"/>
      <c r="D557" s="27"/>
      <c r="E557" s="27"/>
      <c r="F557" s="27"/>
      <c r="G557" s="27"/>
      <c r="H557" s="27"/>
      <c r="I557" s="15"/>
      <c r="J557" s="72" t="str">
        <f>IF(COUNTIF(J531:J556,"CHECK")=0,"ALL OK",COUNTIF(J531:J556,"CHECK")&amp;" to check")</f>
        <v>ALL OK</v>
      </c>
    </row>
    <row r="559" spans="1:10" ht="15" customHeight="1" x14ac:dyDescent="0.35">
      <c r="A559" s="38"/>
      <c r="B559" s="29"/>
    </row>
    <row r="561" spans="1:10" ht="15" customHeight="1" x14ac:dyDescent="0.35">
      <c r="A561" s="17" t="s">
        <v>5</v>
      </c>
      <c r="B561" s="18" t="s">
        <v>848</v>
      </c>
      <c r="C561" s="15"/>
      <c r="D561" s="15"/>
      <c r="E561" s="15"/>
      <c r="F561" s="15"/>
      <c r="G561" s="15"/>
      <c r="H561" s="15"/>
      <c r="I561" s="15"/>
      <c r="J561" s="15"/>
    </row>
    <row r="563" spans="1:10" ht="25" customHeight="1" x14ac:dyDescent="0.35">
      <c r="B563" s="136" t="s">
        <v>849</v>
      </c>
      <c r="C563" s="135"/>
      <c r="D563" s="135"/>
      <c r="E563" s="135"/>
      <c r="F563" s="135"/>
      <c r="G563" s="135"/>
      <c r="H563" s="135"/>
      <c r="I563" s="135"/>
      <c r="J563" s="135"/>
    </row>
    <row r="565" spans="1:10" ht="15" customHeight="1" x14ac:dyDescent="0.35">
      <c r="A565" s="17" t="s">
        <v>5</v>
      </c>
      <c r="B565" s="18" t="s">
        <v>850</v>
      </c>
      <c r="C565" s="15"/>
      <c r="D565" s="15"/>
      <c r="E565" s="15"/>
      <c r="F565" s="15"/>
      <c r="G565" s="15"/>
      <c r="H565" s="15"/>
      <c r="I565" s="15"/>
      <c r="J565" s="15"/>
    </row>
    <row r="567" spans="1:10" ht="15" customHeight="1" x14ac:dyDescent="0.35">
      <c r="B567" s="73" t="s">
        <v>851</v>
      </c>
    </row>
    <row r="568" spans="1:10" ht="15" customHeight="1" x14ac:dyDescent="0.35">
      <c r="B568" s="74" t="s">
        <v>852</v>
      </c>
      <c r="C568" s="21" t="s">
        <v>853</v>
      </c>
      <c r="F568" s="75">
        <f>F30</f>
        <v>1153</v>
      </c>
      <c r="G568" s="75">
        <f>G30</f>
        <v>1602</v>
      </c>
      <c r="H568" s="75">
        <f>H30</f>
        <v>1960</v>
      </c>
      <c r="J568" s="20" t="s">
        <v>854</v>
      </c>
    </row>
    <row r="569" spans="1:10" ht="15" customHeight="1" x14ac:dyDescent="0.35">
      <c r="B569" s="74" t="s">
        <v>855</v>
      </c>
      <c r="C569" s="21" t="s">
        <v>853</v>
      </c>
      <c r="F569" s="76">
        <f>SUM('Reported Financials'!F403,'Reported Financials'!F404,'Reported Financials'!F405)+'Reported Financials'!F415-SUM('Reported Financials'!F416)-'Reported Financials'!F417</f>
        <v>-9</v>
      </c>
      <c r="G569" s="76">
        <f>SUM('Reported Financials'!G403,'Reported Financials'!G404,'Reported Financials'!G405)+'Reported Financials'!G415-SUM('Reported Financials'!G416)-'Reported Financials'!G417</f>
        <v>191</v>
      </c>
      <c r="H569" s="76">
        <f>SUM('Reported Financials'!H403,'Reported Financials'!H404,'Reported Financials'!H405)+'Reported Financials'!H415-SUM('Reported Financials'!H416)-'Reported Financials'!H417</f>
        <v>167</v>
      </c>
      <c r="J569" s="20" t="s">
        <v>856</v>
      </c>
    </row>
    <row r="570" spans="1:10" ht="15" customHeight="1" x14ac:dyDescent="0.35">
      <c r="B570" s="77" t="s">
        <v>857</v>
      </c>
      <c r="C570" s="78"/>
      <c r="D570" s="78"/>
      <c r="E570" s="78"/>
      <c r="F570" s="79">
        <f>F568+F569</f>
        <v>1144</v>
      </c>
      <c r="G570" s="79">
        <f>G568+G569</f>
        <v>1793</v>
      </c>
      <c r="H570" s="79">
        <f>H568+H569</f>
        <v>2127</v>
      </c>
    </row>
    <row r="571" spans="1:10" ht="15" customHeight="1" x14ac:dyDescent="0.35">
      <c r="B571" s="74" t="s">
        <v>858</v>
      </c>
      <c r="C571" s="21" t="s">
        <v>53</v>
      </c>
      <c r="F571" s="76">
        <f>'Reported Financials'!F341</f>
        <v>-217</v>
      </c>
      <c r="G571" s="76">
        <f>'Reported Financials'!G341</f>
        <v>407</v>
      </c>
      <c r="H571" s="76">
        <f>'Reported Financials'!H341</f>
        <v>499</v>
      </c>
    </row>
    <row r="572" spans="1:10" ht="15" customHeight="1" x14ac:dyDescent="0.35">
      <c r="B572" s="74" t="s">
        <v>859</v>
      </c>
      <c r="C572" s="21" t="s">
        <v>53</v>
      </c>
      <c r="F572" s="76">
        <f>'Reported Financials'!F342</f>
        <v>39</v>
      </c>
      <c r="G572" s="76">
        <f>'Reported Financials'!G342</f>
        <v>-102</v>
      </c>
      <c r="H572" s="76">
        <f>'Reported Financials'!H342</f>
        <v>93</v>
      </c>
    </row>
    <row r="573" spans="1:10" ht="15" customHeight="1" x14ac:dyDescent="0.35">
      <c r="B573" s="74" t="s">
        <v>860</v>
      </c>
      <c r="C573" s="21" t="s">
        <v>53</v>
      </c>
      <c r="F573" s="76">
        <f>'Reported Financials'!F340</f>
        <v>29</v>
      </c>
      <c r="G573" s="76">
        <f>'Reported Financials'!G340</f>
        <v>135</v>
      </c>
      <c r="H573" s="76">
        <f>'Reported Financials'!H340</f>
        <v>117</v>
      </c>
      <c r="J573" s="20" t="s">
        <v>861</v>
      </c>
    </row>
    <row r="574" spans="1:10" ht="15" customHeight="1" x14ac:dyDescent="0.35">
      <c r="B574" s="74" t="s">
        <v>862</v>
      </c>
      <c r="C574" s="21" t="s">
        <v>53</v>
      </c>
      <c r="F574" s="76">
        <f>'Reported Financials'!F338+'Reported Financials'!F336+SUM('Reported Financials'!F337)</f>
        <v>-60</v>
      </c>
      <c r="G574" s="76">
        <f>'Reported Financials'!G338+'Reported Financials'!G336+SUM('Reported Financials'!G337)</f>
        <v>-24</v>
      </c>
      <c r="H574" s="76">
        <f>'Reported Financials'!H338+'Reported Financials'!H336+SUM('Reported Financials'!H337)</f>
        <v>-24</v>
      </c>
      <c r="J574" s="20" t="s">
        <v>863</v>
      </c>
    </row>
    <row r="575" spans="1:10" ht="15" customHeight="1" x14ac:dyDescent="0.35">
      <c r="B575" s="77" t="s">
        <v>864</v>
      </c>
      <c r="C575" s="80" t="s">
        <v>53</v>
      </c>
      <c r="D575" s="78"/>
      <c r="E575" s="78"/>
      <c r="F575" s="79">
        <f>SUM(F571:F574)</f>
        <v>-209</v>
      </c>
      <c r="G575" s="79">
        <f>SUM(G571:G574)</f>
        <v>416</v>
      </c>
      <c r="H575" s="79">
        <f>SUM(H571:H574)</f>
        <v>685</v>
      </c>
      <c r="J575" s="20" t="s">
        <v>865</v>
      </c>
    </row>
    <row r="576" spans="1:10" ht="15" customHeight="1" x14ac:dyDescent="0.35">
      <c r="B576" s="81" t="s">
        <v>866</v>
      </c>
      <c r="C576" s="21" t="s">
        <v>47</v>
      </c>
      <c r="F576" s="82">
        <f>F577-F570-F575</f>
        <v>4</v>
      </c>
      <c r="G576" s="82">
        <f>G577-G570-G575</f>
        <v>-65</v>
      </c>
      <c r="H576" s="82">
        <f>H577-H570-H575</f>
        <v>-189</v>
      </c>
      <c r="J576" s="20" t="s">
        <v>867</v>
      </c>
    </row>
    <row r="577" spans="2:10" ht="15" customHeight="1" x14ac:dyDescent="0.35">
      <c r="B577" s="83" t="s">
        <v>46</v>
      </c>
      <c r="C577" s="84" t="s">
        <v>47</v>
      </c>
      <c r="D577" s="85"/>
      <c r="E577" s="85"/>
      <c r="F577" s="86">
        <f>F631</f>
        <v>939</v>
      </c>
      <c r="G577" s="86">
        <f>G631</f>
        <v>2144</v>
      </c>
      <c r="H577" s="86">
        <f>H631</f>
        <v>2623</v>
      </c>
      <c r="J577" s="20" t="s">
        <v>868</v>
      </c>
    </row>
    <row r="579" spans="2:10" ht="15" customHeight="1" x14ac:dyDescent="0.35">
      <c r="B579" s="73" t="s">
        <v>869</v>
      </c>
    </row>
    <row r="580" spans="2:10" ht="15" customHeight="1" x14ac:dyDescent="0.35">
      <c r="B580" s="74" t="s">
        <v>870</v>
      </c>
      <c r="C580" s="21" t="s">
        <v>871</v>
      </c>
      <c r="F580" s="76">
        <f>'Reported Financials'!F350</f>
        <v>-398</v>
      </c>
      <c r="G580" s="76">
        <f>'Reported Financials'!G350</f>
        <v>-732</v>
      </c>
      <c r="H580" s="76">
        <f>'Reported Financials'!H350</f>
        <v>-872</v>
      </c>
    </row>
    <row r="581" spans="2:10" ht="15" customHeight="1" x14ac:dyDescent="0.35">
      <c r="B581" s="74" t="s">
        <v>872</v>
      </c>
      <c r="C581" s="21" t="s">
        <v>871</v>
      </c>
      <c r="F581" s="76">
        <f>'Reported Financials'!F351</f>
        <v>0</v>
      </c>
      <c r="G581" s="76">
        <f>'Reported Financials'!G351</f>
        <v>35</v>
      </c>
      <c r="H581" s="76">
        <f>'Reported Financials'!H351</f>
        <v>0</v>
      </c>
      <c r="J581" s="20" t="s">
        <v>873</v>
      </c>
    </row>
    <row r="582" spans="2:10" ht="15" customHeight="1" x14ac:dyDescent="0.35">
      <c r="B582" s="74" t="s">
        <v>874</v>
      </c>
      <c r="C582" s="21" t="s">
        <v>871</v>
      </c>
      <c r="F582" s="76">
        <f>'Reported Financials'!F352</f>
        <v>2</v>
      </c>
      <c r="G582" s="76">
        <f>'Reported Financials'!G352</f>
        <v>10</v>
      </c>
      <c r="H582" s="76">
        <f>'Reported Financials'!H352</f>
        <v>10</v>
      </c>
    </row>
    <row r="583" spans="2:10" ht="15" customHeight="1" x14ac:dyDescent="0.35">
      <c r="B583" s="77" t="s">
        <v>875</v>
      </c>
      <c r="C583" s="80" t="s">
        <v>871</v>
      </c>
      <c r="D583" s="78"/>
      <c r="E583" s="78"/>
      <c r="F583" s="79">
        <f>SUM(F580:F582)</f>
        <v>-396</v>
      </c>
      <c r="G583" s="79">
        <f>SUM(G580:G582)</f>
        <v>-687</v>
      </c>
      <c r="H583" s="79">
        <f>SUM(H580:H582)</f>
        <v>-862</v>
      </c>
      <c r="J583" s="20" t="s">
        <v>876</v>
      </c>
    </row>
    <row r="584" spans="2:10" ht="15" customHeight="1" x14ac:dyDescent="0.35">
      <c r="B584" s="83" t="s">
        <v>877</v>
      </c>
      <c r="C584" s="84" t="s">
        <v>878</v>
      </c>
      <c r="D584" s="85"/>
      <c r="E584" s="85"/>
      <c r="F584" s="86">
        <f>F577+F583</f>
        <v>543</v>
      </c>
      <c r="G584" s="86">
        <f>G577+G583</f>
        <v>1457</v>
      </c>
      <c r="H584" s="86">
        <f>H577+H583</f>
        <v>1761</v>
      </c>
    </row>
    <row r="586" spans="2:10" ht="15" customHeight="1" x14ac:dyDescent="0.35">
      <c r="B586" s="73" t="s">
        <v>879</v>
      </c>
    </row>
    <row r="587" spans="2:10" x14ac:dyDescent="0.35">
      <c r="B587" s="87" t="s">
        <v>880</v>
      </c>
    </row>
    <row r="588" spans="2:10" ht="15" customHeight="1" x14ac:dyDescent="0.35">
      <c r="B588" s="74" t="s">
        <v>881</v>
      </c>
      <c r="C588" s="21" t="s">
        <v>882</v>
      </c>
      <c r="F588" s="76">
        <f>'Reported Financials'!F394</f>
        <v>29</v>
      </c>
      <c r="G588" s="76">
        <f>'Reported Financials'!G394</f>
        <v>18</v>
      </c>
      <c r="H588" s="76">
        <f>'Reported Financials'!H394</f>
        <v>21</v>
      </c>
    </row>
    <row r="589" spans="2:10" ht="15" customHeight="1" x14ac:dyDescent="0.35">
      <c r="B589" s="74" t="s">
        <v>883</v>
      </c>
      <c r="C589" s="21" t="s">
        <v>882</v>
      </c>
      <c r="F589" s="76">
        <f>'Reported Financials'!F395</f>
        <v>-71</v>
      </c>
      <c r="G589" s="76">
        <f>'Reported Financials'!G395</f>
        <v>-83</v>
      </c>
      <c r="H589" s="76">
        <f>'Reported Financials'!H395</f>
        <v>-87</v>
      </c>
    </row>
    <row r="590" spans="2:10" ht="15" customHeight="1" x14ac:dyDescent="0.35">
      <c r="B590" s="81" t="s">
        <v>884</v>
      </c>
      <c r="C590" s="21" t="s">
        <v>882</v>
      </c>
      <c r="F590" s="88">
        <f>'Reported Financials'!F396</f>
        <v>-1</v>
      </c>
      <c r="G590" s="88">
        <f>'Reported Financials'!G396</f>
        <v>0</v>
      </c>
      <c r="H590" s="88">
        <f>'Reported Financials'!H396</f>
        <v>0</v>
      </c>
    </row>
    <row r="591" spans="2:10" ht="15" customHeight="1" x14ac:dyDescent="0.35">
      <c r="B591" s="74" t="s">
        <v>885</v>
      </c>
      <c r="C591" s="21" t="s">
        <v>882</v>
      </c>
      <c r="F591" s="76">
        <f>'Reported Financials'!F344</f>
        <v>29</v>
      </c>
      <c r="G591" s="76">
        <f>'Reported Financials'!G344</f>
        <v>16</v>
      </c>
      <c r="H591" s="76">
        <f>'Reported Financials'!H344</f>
        <v>21</v>
      </c>
      <c r="J591" s="20" t="s">
        <v>886</v>
      </c>
    </row>
    <row r="592" spans="2:10" ht="15" customHeight="1" x14ac:dyDescent="0.35">
      <c r="B592" s="74" t="s">
        <v>887</v>
      </c>
      <c r="C592" s="21" t="s">
        <v>888</v>
      </c>
      <c r="F592" s="75">
        <f>F647</f>
        <v>-25</v>
      </c>
      <c r="G592" s="75">
        <f>G647</f>
        <v>-24</v>
      </c>
      <c r="H592" s="75">
        <f>H647</f>
        <v>64</v>
      </c>
    </row>
    <row r="593" spans="2:10" ht="15" customHeight="1" x14ac:dyDescent="0.35">
      <c r="B593" s="74" t="s">
        <v>889</v>
      </c>
      <c r="C593" s="21" t="s">
        <v>882</v>
      </c>
      <c r="F593" s="76">
        <f>'Reported Financials'!F397</f>
        <v>-157</v>
      </c>
      <c r="G593" s="76">
        <f>'Reported Financials'!G397</f>
        <v>-351</v>
      </c>
      <c r="H593" s="76">
        <f>'Reported Financials'!H397</f>
        <v>-355</v>
      </c>
      <c r="J593" s="20" t="s">
        <v>890</v>
      </c>
    </row>
    <row r="594" spans="2:10" ht="15" customHeight="1" x14ac:dyDescent="0.35">
      <c r="B594" s="77" t="s">
        <v>891</v>
      </c>
      <c r="C594" s="78"/>
      <c r="D594" s="78"/>
      <c r="E594" s="78"/>
      <c r="F594" s="79">
        <f>SUM(F588:F593)</f>
        <v>-196</v>
      </c>
      <c r="G594" s="79">
        <f>SUM(G588:G593)</f>
        <v>-424</v>
      </c>
      <c r="H594" s="79">
        <f>SUM(H588:H593)</f>
        <v>-336</v>
      </c>
    </row>
    <row r="595" spans="2:10" x14ac:dyDescent="0.35">
      <c r="B595" s="87" t="s">
        <v>892</v>
      </c>
    </row>
    <row r="596" spans="2:10" ht="15" customHeight="1" x14ac:dyDescent="0.35">
      <c r="B596" s="74" t="s">
        <v>893</v>
      </c>
      <c r="C596" s="21" t="s">
        <v>882</v>
      </c>
      <c r="F596" s="76">
        <f>'Reported Financials'!F354</f>
        <v>-1064</v>
      </c>
      <c r="G596" s="76">
        <f>'Reported Financials'!G354</f>
        <v>-508</v>
      </c>
      <c r="H596" s="76">
        <f>'Reported Financials'!H354</f>
        <v>-54</v>
      </c>
    </row>
    <row r="597" spans="2:10" ht="15" customHeight="1" x14ac:dyDescent="0.35">
      <c r="B597" s="74" t="s">
        <v>894</v>
      </c>
      <c r="C597" s="21" t="s">
        <v>882</v>
      </c>
      <c r="F597" s="76">
        <f>'Reported Financials'!F353</f>
        <v>155</v>
      </c>
      <c r="G597" s="76">
        <f>'Reported Financials'!G353</f>
        <v>24</v>
      </c>
      <c r="H597" s="76">
        <f>'Reported Financials'!H353</f>
        <v>74</v>
      </c>
    </row>
    <row r="598" spans="2:10" ht="15" customHeight="1" x14ac:dyDescent="0.35">
      <c r="B598" s="74" t="s">
        <v>895</v>
      </c>
      <c r="C598" s="21" t="s">
        <v>882</v>
      </c>
      <c r="F598" s="76">
        <f>SUM('Reported Financials'!F355)</f>
        <v>130</v>
      </c>
      <c r="G598" s="76">
        <f>SUM('Reported Financials'!G355)</f>
        <v>0</v>
      </c>
      <c r="H598" s="76">
        <f>SUM('Reported Financials'!H355)</f>
        <v>0</v>
      </c>
    </row>
    <row r="599" spans="2:10" ht="15" customHeight="1" x14ac:dyDescent="0.35">
      <c r="B599" s="77" t="s">
        <v>896</v>
      </c>
      <c r="C599" s="78"/>
      <c r="D599" s="78"/>
      <c r="E599" s="78"/>
      <c r="F599" s="79">
        <f>SUM(F596:F598)</f>
        <v>-779</v>
      </c>
      <c r="G599" s="79">
        <f>SUM(G596:G598)</f>
        <v>-484</v>
      </c>
      <c r="H599" s="79">
        <f>SUM(H596:H598)</f>
        <v>20</v>
      </c>
    </row>
    <row r="600" spans="2:10" x14ac:dyDescent="0.35">
      <c r="B600" s="87" t="s">
        <v>897</v>
      </c>
    </row>
    <row r="601" spans="2:10" ht="15" customHeight="1" x14ac:dyDescent="0.35">
      <c r="B601" s="74" t="s">
        <v>898</v>
      </c>
      <c r="C601" s="21" t="s">
        <v>882</v>
      </c>
      <c r="F601" s="76">
        <f>'Reported Financials'!F363</f>
        <v>407</v>
      </c>
      <c r="G601" s="76">
        <f>'Reported Financials'!G363</f>
        <v>793</v>
      </c>
      <c r="H601" s="76">
        <f>'Reported Financials'!H363</f>
        <v>71</v>
      </c>
    </row>
    <row r="602" spans="2:10" ht="15" customHeight="1" x14ac:dyDescent="0.35">
      <c r="B602" s="74" t="s">
        <v>899</v>
      </c>
      <c r="C602" s="21" t="s">
        <v>882</v>
      </c>
      <c r="F602" s="76">
        <f>'Reported Financials'!F364</f>
        <v>-485</v>
      </c>
      <c r="G602" s="76">
        <f>'Reported Financials'!G364</f>
        <v>-773</v>
      </c>
      <c r="H602" s="76">
        <f>'Reported Financials'!H364</f>
        <v>-585</v>
      </c>
    </row>
    <row r="603" spans="2:10" ht="15" customHeight="1" x14ac:dyDescent="0.35">
      <c r="B603" s="74" t="s">
        <v>900</v>
      </c>
      <c r="C603" s="21" t="s">
        <v>882</v>
      </c>
      <c r="F603" s="76">
        <f>SUM('Reported Financials'!F366)</f>
        <v>887</v>
      </c>
      <c r="G603" s="76">
        <f>SUM('Reported Financials'!G366)</f>
        <v>0</v>
      </c>
      <c r="H603" s="76">
        <f>SUM('Reported Financials'!H366)</f>
        <v>0</v>
      </c>
    </row>
    <row r="604" spans="2:10" ht="15" customHeight="1" x14ac:dyDescent="0.35">
      <c r="B604" s="74" t="s">
        <v>901</v>
      </c>
      <c r="C604" s="21" t="s">
        <v>882</v>
      </c>
      <c r="F604" s="76">
        <f>SUM('Reported Financials'!F367)</f>
        <v>-7</v>
      </c>
      <c r="G604" s="76">
        <f>SUM('Reported Financials'!G367)</f>
        <v>0</v>
      </c>
      <c r="H604" s="76">
        <f>SUM('Reported Financials'!H367)</f>
        <v>0</v>
      </c>
    </row>
    <row r="605" spans="2:10" ht="15" customHeight="1" x14ac:dyDescent="0.35">
      <c r="B605" s="77" t="s">
        <v>902</v>
      </c>
      <c r="C605" s="78"/>
      <c r="D605" s="78"/>
      <c r="E605" s="78"/>
      <c r="F605" s="79">
        <f>SUM(F601:F604)</f>
        <v>802</v>
      </c>
      <c r="G605" s="79">
        <f>SUM(G601:G604)</f>
        <v>20</v>
      </c>
      <c r="H605" s="79">
        <f>SUM(H601:H604)</f>
        <v>-514</v>
      </c>
    </row>
    <row r="606" spans="2:10" x14ac:dyDescent="0.35">
      <c r="B606" s="87" t="s">
        <v>903</v>
      </c>
    </row>
    <row r="607" spans="2:10" ht="15" customHeight="1" x14ac:dyDescent="0.35">
      <c r="B607" s="74" t="s">
        <v>904</v>
      </c>
      <c r="C607" s="21" t="s">
        <v>882</v>
      </c>
      <c r="F607" s="76">
        <f>'Reported Financials'!F360</f>
        <v>-187</v>
      </c>
      <c r="G607" s="76">
        <f>'Reported Financials'!G360</f>
        <v>-248</v>
      </c>
      <c r="H607" s="76">
        <f>'Reported Financials'!H360</f>
        <v>-369</v>
      </c>
    </row>
    <row r="608" spans="2:10" ht="15" customHeight="1" x14ac:dyDescent="0.35">
      <c r="B608" s="74" t="s">
        <v>905</v>
      </c>
      <c r="C608" s="21" t="s">
        <v>882</v>
      </c>
      <c r="F608" s="76">
        <f>'Reported Financials'!F361</f>
        <v>-3</v>
      </c>
      <c r="G608" s="76">
        <f>'Reported Financials'!G361</f>
        <v>-29</v>
      </c>
      <c r="H608" s="76">
        <f>'Reported Financials'!H361</f>
        <v>-52</v>
      </c>
    </row>
    <row r="609" spans="2:10" ht="15" customHeight="1" x14ac:dyDescent="0.35">
      <c r="B609" s="74" t="s">
        <v>906</v>
      </c>
      <c r="C609" s="21" t="s">
        <v>882</v>
      </c>
      <c r="F609" s="76">
        <f>'Reported Financials'!F362</f>
        <v>21</v>
      </c>
      <c r="G609" s="76">
        <f>'Reported Financials'!G362</f>
        <v>22</v>
      </c>
      <c r="H609" s="76">
        <f>'Reported Financials'!H362</f>
        <v>75</v>
      </c>
    </row>
    <row r="610" spans="2:10" ht="15" customHeight="1" x14ac:dyDescent="0.35">
      <c r="B610" s="74" t="s">
        <v>907</v>
      </c>
      <c r="C610" s="21" t="s">
        <v>882</v>
      </c>
      <c r="F610" s="76">
        <f>SUM('Reported Financials'!F365)</f>
        <v>113</v>
      </c>
      <c r="G610" s="76">
        <f>SUM('Reported Financials'!G365)</f>
        <v>0</v>
      </c>
      <c r="H610" s="76">
        <f>SUM('Reported Financials'!H365)</f>
        <v>0</v>
      </c>
    </row>
    <row r="611" spans="2:10" ht="15" customHeight="1" x14ac:dyDescent="0.35">
      <c r="B611" s="77" t="s">
        <v>908</v>
      </c>
      <c r="C611" s="78"/>
      <c r="D611" s="78"/>
      <c r="E611" s="78"/>
      <c r="F611" s="79">
        <f>SUM(F607:F610)</f>
        <v>-56</v>
      </c>
      <c r="G611" s="79">
        <f>SUM(G607:G610)</f>
        <v>-255</v>
      </c>
      <c r="H611" s="79">
        <f>SUM(H607:H610)</f>
        <v>-346</v>
      </c>
    </row>
    <row r="612" spans="2:10" ht="15" customHeight="1" x14ac:dyDescent="0.35">
      <c r="B612" s="81" t="s">
        <v>909</v>
      </c>
      <c r="C612" s="21" t="s">
        <v>910</v>
      </c>
      <c r="F612" s="88">
        <f>'Reported Financials'!F356+'Reported Financials'!F368+'Reported Financials'!F371</f>
        <v>0</v>
      </c>
      <c r="G612" s="88">
        <f>'Reported Financials'!G356+'Reported Financials'!G368+'Reported Financials'!G371</f>
        <v>-1</v>
      </c>
      <c r="H612" s="88">
        <f>'Reported Financials'!H356+'Reported Financials'!H368+'Reported Financials'!H371</f>
        <v>-2</v>
      </c>
    </row>
    <row r="613" spans="2:10" ht="15" customHeight="1" x14ac:dyDescent="0.35">
      <c r="B613" s="77" t="s">
        <v>911</v>
      </c>
      <c r="C613" s="80" t="s">
        <v>882</v>
      </c>
      <c r="D613" s="78"/>
      <c r="E613" s="78"/>
      <c r="F613" s="79">
        <f>F594+F599+F605+F611+F612</f>
        <v>-229</v>
      </c>
      <c r="G613" s="79">
        <f>G594+G599+G605+G611+G612</f>
        <v>-1144</v>
      </c>
      <c r="H613" s="79">
        <f>H594+H599+H605+H611+H612</f>
        <v>-1178</v>
      </c>
    </row>
    <row r="615" spans="2:10" ht="15" customHeight="1" x14ac:dyDescent="0.35">
      <c r="B615" s="83" t="s">
        <v>912</v>
      </c>
      <c r="C615" s="84" t="s">
        <v>910</v>
      </c>
      <c r="D615" s="85"/>
      <c r="E615" s="85"/>
      <c r="F615" s="86">
        <f>F584+F613</f>
        <v>314</v>
      </c>
      <c r="G615" s="86">
        <f>G584+G613</f>
        <v>313</v>
      </c>
      <c r="H615" s="86">
        <f>H584+H613</f>
        <v>583</v>
      </c>
      <c r="J615" s="20" t="s">
        <v>913</v>
      </c>
    </row>
    <row r="616" spans="2:10" ht="15" customHeight="1" x14ac:dyDescent="0.35">
      <c r="B616" s="74" t="s">
        <v>914</v>
      </c>
      <c r="C616" s="21" t="s">
        <v>910</v>
      </c>
      <c r="F616" s="76">
        <f>'Reported Financials'!F373</f>
        <v>-9</v>
      </c>
      <c r="G616" s="76">
        <f>'Reported Financials'!G373</f>
        <v>-2</v>
      </c>
      <c r="H616" s="76">
        <f>'Reported Financials'!H373</f>
        <v>-10</v>
      </c>
      <c r="J616" s="20" t="s">
        <v>915</v>
      </c>
    </row>
    <row r="617" spans="2:10" ht="15" customHeight="1" x14ac:dyDescent="0.35">
      <c r="B617" s="81" t="s">
        <v>916</v>
      </c>
      <c r="C617" s="21" t="s">
        <v>910</v>
      </c>
      <c r="F617" s="88">
        <f>'Reported Financials'!F374+'Reported Financials'!F377</f>
        <v>0</v>
      </c>
      <c r="G617" s="88">
        <f>'Reported Financials'!G374+'Reported Financials'!G377</f>
        <v>0</v>
      </c>
      <c r="H617" s="88">
        <f>'Reported Financials'!H374+'Reported Financials'!H377</f>
        <v>1</v>
      </c>
    </row>
    <row r="618" spans="2:10" ht="15" customHeight="1" x14ac:dyDescent="0.35">
      <c r="B618" s="74" t="s">
        <v>917</v>
      </c>
      <c r="C618" s="21" t="s">
        <v>910</v>
      </c>
      <c r="F618" s="76">
        <f>'Reported Financials'!F376</f>
        <v>568</v>
      </c>
      <c r="G618" s="76">
        <f>'Reported Financials'!G376</f>
        <v>873</v>
      </c>
      <c r="H618" s="76">
        <f>'Reported Financials'!H376</f>
        <v>1184</v>
      </c>
    </row>
    <row r="619" spans="2:10" ht="15" customHeight="1" x14ac:dyDescent="0.35">
      <c r="B619" s="77" t="s">
        <v>918</v>
      </c>
      <c r="C619" s="80" t="s">
        <v>910</v>
      </c>
      <c r="D619" s="78"/>
      <c r="E619" s="78"/>
      <c r="F619" s="79">
        <f>F618+F615+F616+F617</f>
        <v>873</v>
      </c>
      <c r="G619" s="79">
        <f>G618+G615+G616+G617</f>
        <v>1184</v>
      </c>
      <c r="H619" s="79">
        <f>H618+H615+H616+H617</f>
        <v>1758</v>
      </c>
    </row>
    <row r="620" spans="2:10" ht="15" customHeight="1" x14ac:dyDescent="0.35">
      <c r="B620" s="74" t="s">
        <v>919</v>
      </c>
      <c r="C620" s="21" t="s">
        <v>920</v>
      </c>
      <c r="F620" s="76">
        <f>-'Reported Financials'!F379</f>
        <v>-23</v>
      </c>
      <c r="G620" s="76">
        <f>-'Reported Financials'!G379</f>
        <v>0</v>
      </c>
      <c r="H620" s="76">
        <f>-'Reported Financials'!H379</f>
        <v>-108</v>
      </c>
    </row>
    <row r="621" spans="2:10" ht="15" customHeight="1" x14ac:dyDescent="0.35">
      <c r="B621" s="77" t="s">
        <v>921</v>
      </c>
      <c r="C621" s="80" t="s">
        <v>920</v>
      </c>
      <c r="D621" s="78"/>
      <c r="E621" s="78"/>
      <c r="F621" s="79">
        <f>F619+F620</f>
        <v>850</v>
      </c>
      <c r="G621" s="79">
        <f>G619+G620</f>
        <v>1184</v>
      </c>
      <c r="H621" s="79">
        <f>H619+H620</f>
        <v>1650</v>
      </c>
      <c r="J621" s="20" t="s">
        <v>922</v>
      </c>
    </row>
    <row r="623" spans="2:10" ht="25" customHeight="1" x14ac:dyDescent="0.35">
      <c r="B623" s="136" t="s">
        <v>923</v>
      </c>
      <c r="C623" s="135"/>
      <c r="D623" s="135"/>
      <c r="E623" s="135"/>
      <c r="F623" s="135"/>
      <c r="G623" s="135"/>
      <c r="H623" s="135"/>
      <c r="I623" s="135"/>
      <c r="J623" s="135"/>
    </row>
    <row r="625" spans="2:10" ht="15" customHeight="1" x14ac:dyDescent="0.35">
      <c r="B625" s="73" t="s">
        <v>924</v>
      </c>
    </row>
    <row r="626" spans="2:10" ht="15" customHeight="1" x14ac:dyDescent="0.35">
      <c r="B626" s="74" t="s">
        <v>925</v>
      </c>
      <c r="C626" s="21" t="s">
        <v>50</v>
      </c>
      <c r="F626" s="76">
        <f>'Reported Financials'!F347</f>
        <v>743</v>
      </c>
      <c r="G626" s="76">
        <f>'Reported Financials'!G347</f>
        <v>1720</v>
      </c>
      <c r="H626" s="76">
        <f>'Reported Financials'!H347</f>
        <v>2287</v>
      </c>
    </row>
    <row r="627" spans="2:10" ht="15" customHeight="1" x14ac:dyDescent="0.35">
      <c r="B627" s="74" t="s">
        <v>926</v>
      </c>
      <c r="C627" s="21" t="s">
        <v>50</v>
      </c>
      <c r="F627" s="76">
        <f>-'Reported Financials'!F393</f>
        <v>43</v>
      </c>
      <c r="G627" s="76">
        <f>-'Reported Financials'!G393</f>
        <v>65</v>
      </c>
      <c r="H627" s="76">
        <f>-'Reported Financials'!H393</f>
        <v>66</v>
      </c>
    </row>
    <row r="628" spans="2:10" ht="15" customHeight="1" x14ac:dyDescent="0.35">
      <c r="B628" s="74" t="s">
        <v>927</v>
      </c>
      <c r="C628" s="21" t="s">
        <v>50</v>
      </c>
      <c r="F628" s="76">
        <f>-'Reported Financials'!F397</f>
        <v>157</v>
      </c>
      <c r="G628" s="76">
        <f>-'Reported Financials'!G397</f>
        <v>351</v>
      </c>
      <c r="H628" s="76">
        <f>-'Reported Financials'!H397</f>
        <v>355</v>
      </c>
    </row>
    <row r="629" spans="2:10" ht="15" customHeight="1" x14ac:dyDescent="0.35">
      <c r="B629" s="74" t="s">
        <v>928</v>
      </c>
      <c r="C629" s="21" t="s">
        <v>50</v>
      </c>
      <c r="F629" s="76">
        <f>-'Reported Financials'!F344</f>
        <v>-29</v>
      </c>
      <c r="G629" s="76">
        <f>-'Reported Financials'!G344</f>
        <v>-16</v>
      </c>
      <c r="H629" s="76">
        <f>-'Reported Financials'!H344</f>
        <v>-21</v>
      </c>
    </row>
    <row r="630" spans="2:10" ht="15" customHeight="1" x14ac:dyDescent="0.35">
      <c r="B630" s="74" t="s">
        <v>929</v>
      </c>
      <c r="C630" s="21" t="s">
        <v>50</v>
      </c>
      <c r="F630" s="75">
        <f>-F647</f>
        <v>25</v>
      </c>
      <c r="G630" s="75">
        <f>-G647</f>
        <v>24</v>
      </c>
      <c r="H630" s="75">
        <f>-H647</f>
        <v>-64</v>
      </c>
    </row>
    <row r="631" spans="2:10" ht="15" customHeight="1" x14ac:dyDescent="0.35">
      <c r="B631" s="77" t="s">
        <v>46</v>
      </c>
      <c r="C631" s="80" t="s">
        <v>47</v>
      </c>
      <c r="D631" s="78"/>
      <c r="E631" s="78"/>
      <c r="F631" s="79">
        <f>SUM(F626:F630)</f>
        <v>939</v>
      </c>
      <c r="G631" s="79">
        <f>SUM(G626:G630)</f>
        <v>2144</v>
      </c>
      <c r="H631" s="79">
        <f>SUM(H626:H630)</f>
        <v>2623</v>
      </c>
    </row>
    <row r="632" spans="2:10" ht="15" customHeight="1" x14ac:dyDescent="0.35">
      <c r="B632" s="81" t="s">
        <v>930</v>
      </c>
      <c r="C632" s="21" t="s">
        <v>47</v>
      </c>
      <c r="F632" s="82">
        <f>F631+'Reported Financials'!F397</f>
        <v>782</v>
      </c>
      <c r="G632" s="82">
        <f>G631+'Reported Financials'!G397</f>
        <v>1793</v>
      </c>
      <c r="H632" s="82">
        <f>H631+'Reported Financials'!H397</f>
        <v>2268</v>
      </c>
    </row>
    <row r="634" spans="2:10" ht="15" customHeight="1" x14ac:dyDescent="0.35">
      <c r="B634" s="73" t="s">
        <v>931</v>
      </c>
    </row>
    <row r="635" spans="2:10" ht="15" customHeight="1" x14ac:dyDescent="0.35">
      <c r="B635" s="74" t="s">
        <v>932</v>
      </c>
      <c r="C635" s="21" t="s">
        <v>53</v>
      </c>
      <c r="F635" s="75">
        <f>-(F239-E239)</f>
        <v>253</v>
      </c>
      <c r="G635" s="75">
        <f>-(G239-F239)</f>
        <v>421</v>
      </c>
      <c r="H635" s="75">
        <f>-(H239-G239)</f>
        <v>813</v>
      </c>
    </row>
    <row r="636" spans="2:10" ht="15" customHeight="1" x14ac:dyDescent="0.35">
      <c r="B636" s="74" t="s">
        <v>933</v>
      </c>
      <c r="C636" s="21" t="s">
        <v>53</v>
      </c>
      <c r="F636" s="75">
        <f>F575</f>
        <v>-209</v>
      </c>
      <c r="G636" s="75">
        <f>G575</f>
        <v>416</v>
      </c>
      <c r="H636" s="75">
        <f>H575</f>
        <v>685</v>
      </c>
    </row>
    <row r="637" spans="2:10" ht="15" customHeight="1" x14ac:dyDescent="0.35">
      <c r="B637" s="77" t="s">
        <v>934</v>
      </c>
      <c r="C637" s="80" t="s">
        <v>53</v>
      </c>
      <c r="D637" s="78"/>
      <c r="E637" s="78"/>
      <c r="F637" s="79">
        <f>F636-F635</f>
        <v>-462</v>
      </c>
      <c r="G637" s="79">
        <f>G636-G635</f>
        <v>-5</v>
      </c>
      <c r="H637" s="79">
        <f>H636-H635</f>
        <v>-128</v>
      </c>
      <c r="J637" s="20" t="s">
        <v>935</v>
      </c>
    </row>
    <row r="639" spans="2:10" ht="25" customHeight="1" x14ac:dyDescent="0.35">
      <c r="B639" s="136" t="s">
        <v>936</v>
      </c>
      <c r="C639" s="135"/>
      <c r="D639" s="135"/>
      <c r="E639" s="135"/>
      <c r="F639" s="135"/>
      <c r="G639" s="135"/>
      <c r="H639" s="135"/>
      <c r="I639" s="135"/>
      <c r="J639" s="135"/>
    </row>
    <row r="641" spans="1:10" ht="15" customHeight="1" x14ac:dyDescent="0.35">
      <c r="A641" s="17" t="s">
        <v>5</v>
      </c>
      <c r="B641" s="18" t="s">
        <v>937</v>
      </c>
      <c r="C641" s="15"/>
      <c r="D641" s="15"/>
      <c r="E641" s="15"/>
      <c r="F641" s="15"/>
      <c r="G641" s="15"/>
      <c r="H641" s="15"/>
      <c r="I641" s="15"/>
      <c r="J641" s="15"/>
    </row>
    <row r="643" spans="1:10" ht="15" customHeight="1" x14ac:dyDescent="0.35">
      <c r="B643" s="73" t="s">
        <v>938</v>
      </c>
    </row>
    <row r="644" spans="1:10" ht="15" customHeight="1" x14ac:dyDescent="0.35">
      <c r="B644" s="74" t="s">
        <v>939</v>
      </c>
      <c r="C644" s="21" t="s">
        <v>940</v>
      </c>
      <c r="F644" s="76">
        <f>'Reported Financials'!F468</f>
        <v>-25</v>
      </c>
      <c r="G644" s="76">
        <f>'Reported Financials'!G468</f>
        <v>-18</v>
      </c>
      <c r="H644" s="76">
        <f>'Reported Financials'!H468</f>
        <v>-33</v>
      </c>
      <c r="J644" s="20" t="s">
        <v>941</v>
      </c>
    </row>
    <row r="645" spans="1:10" ht="15" customHeight="1" x14ac:dyDescent="0.35">
      <c r="B645" s="74" t="s">
        <v>942</v>
      </c>
      <c r="C645" s="21" t="s">
        <v>888</v>
      </c>
      <c r="F645" s="75">
        <f>F58</f>
        <v>0</v>
      </c>
      <c r="G645" s="75">
        <f>G58</f>
        <v>-6</v>
      </c>
      <c r="H645" s="75">
        <f>H58</f>
        <v>0</v>
      </c>
      <c r="J645" s="20" t="s">
        <v>943</v>
      </c>
    </row>
    <row r="646" spans="1:10" ht="15" customHeight="1" x14ac:dyDescent="0.35">
      <c r="B646" s="74" t="s">
        <v>944</v>
      </c>
      <c r="C646" s="21" t="s">
        <v>888</v>
      </c>
      <c r="F646" s="75">
        <f>F60</f>
        <v>0</v>
      </c>
      <c r="G646" s="75">
        <f>G60</f>
        <v>0</v>
      </c>
      <c r="H646" s="75">
        <f>H60</f>
        <v>97</v>
      </c>
      <c r="J646" s="20" t="s">
        <v>945</v>
      </c>
    </row>
    <row r="647" spans="1:10" ht="15" customHeight="1" x14ac:dyDescent="0.35">
      <c r="B647" s="77" t="s">
        <v>946</v>
      </c>
      <c r="C647" s="80" t="s">
        <v>888</v>
      </c>
      <c r="D647" s="78"/>
      <c r="E647" s="78"/>
      <c r="F647" s="79">
        <f>SUM(F644:F646)</f>
        <v>-25</v>
      </c>
      <c r="G647" s="79">
        <f>SUM(G644:G646)</f>
        <v>-24</v>
      </c>
      <c r="H647" s="79">
        <f>SUM(H644:H646)</f>
        <v>64</v>
      </c>
    </row>
    <row r="648" spans="1:10" ht="25" customHeight="1" x14ac:dyDescent="0.35">
      <c r="B648" s="138" t="s">
        <v>947</v>
      </c>
      <c r="C648" s="135"/>
      <c r="D648" s="135"/>
      <c r="E648" s="135"/>
      <c r="F648" s="135"/>
      <c r="G648" s="135"/>
      <c r="H648" s="135"/>
      <c r="I648" s="135"/>
      <c r="J648" s="135"/>
    </row>
    <row r="650" spans="1:10" ht="15" customHeight="1" x14ac:dyDescent="0.35">
      <c r="B650" s="73" t="s">
        <v>948</v>
      </c>
    </row>
    <row r="651" spans="1:10" ht="15" customHeight="1" x14ac:dyDescent="0.35">
      <c r="B651" s="74" t="s">
        <v>949</v>
      </c>
      <c r="C651" s="21" t="s">
        <v>950</v>
      </c>
      <c r="F651" s="75">
        <f>F577</f>
        <v>939</v>
      </c>
      <c r="G651" s="75">
        <f>G577</f>
        <v>2144</v>
      </c>
      <c r="H651" s="75">
        <f>H577</f>
        <v>2623</v>
      </c>
    </row>
    <row r="652" spans="1:10" ht="15" customHeight="1" x14ac:dyDescent="0.35">
      <c r="B652" s="74" t="s">
        <v>951</v>
      </c>
      <c r="C652" s="21" t="s">
        <v>950</v>
      </c>
      <c r="F652" s="76">
        <f>-'Reported Financials'!F385</f>
        <v>-3</v>
      </c>
      <c r="G652" s="76">
        <f>-'Reported Financials'!G385</f>
        <v>-95</v>
      </c>
      <c r="H652" s="76">
        <f>-'Reported Financials'!H385</f>
        <v>-291</v>
      </c>
      <c r="J652" s="20" t="s">
        <v>952</v>
      </c>
    </row>
    <row r="653" spans="1:10" ht="15" customHeight="1" x14ac:dyDescent="0.35">
      <c r="B653" s="83" t="s">
        <v>953</v>
      </c>
      <c r="C653" s="84" t="s">
        <v>950</v>
      </c>
      <c r="D653" s="85"/>
      <c r="E653" s="85"/>
      <c r="F653" s="86">
        <f>F651+F652</f>
        <v>936</v>
      </c>
      <c r="G653" s="86">
        <f>G651+G652</f>
        <v>2049</v>
      </c>
      <c r="H653" s="86">
        <f>H651+H652</f>
        <v>2332</v>
      </c>
    </row>
    <row r="654" spans="1:10" ht="15" customHeight="1" x14ac:dyDescent="0.35">
      <c r="B654" s="81" t="s">
        <v>954</v>
      </c>
      <c r="C654" s="21" t="s">
        <v>950</v>
      </c>
      <c r="F654" s="82">
        <f>F568</f>
        <v>1153</v>
      </c>
      <c r="G654" s="82">
        <f>G568</f>
        <v>1602</v>
      </c>
      <c r="H654" s="82">
        <f>H568</f>
        <v>1960</v>
      </c>
    </row>
    <row r="656" spans="1:10" ht="25" customHeight="1" x14ac:dyDescent="0.35">
      <c r="B656" s="136" t="s">
        <v>955</v>
      </c>
      <c r="C656" s="135"/>
      <c r="D656" s="135"/>
      <c r="E656" s="135"/>
      <c r="F656" s="135"/>
      <c r="G656" s="135"/>
      <c r="H656" s="135"/>
      <c r="I656" s="135"/>
      <c r="J656" s="135"/>
    </row>
    <row r="658" spans="1:10" ht="15" customHeight="1" x14ac:dyDescent="0.35">
      <c r="A658" s="17" t="s">
        <v>5</v>
      </c>
      <c r="B658" s="18" t="s">
        <v>956</v>
      </c>
      <c r="C658" s="15"/>
      <c r="D658" s="15"/>
      <c r="E658" s="15"/>
      <c r="F658" s="15"/>
      <c r="G658" s="15"/>
      <c r="H658" s="15"/>
      <c r="I658" s="15"/>
      <c r="J658" s="15"/>
    </row>
    <row r="660" spans="1:10" ht="15" customHeight="1" x14ac:dyDescent="0.35">
      <c r="B660" s="74" t="s">
        <v>877</v>
      </c>
      <c r="C660" s="21" t="s">
        <v>957</v>
      </c>
      <c r="F660" s="75">
        <f>F584</f>
        <v>543</v>
      </c>
      <c r="G660" s="75">
        <f>G584</f>
        <v>1457</v>
      </c>
      <c r="H660" s="75">
        <f>H584</f>
        <v>1761</v>
      </c>
    </row>
    <row r="661" spans="1:10" ht="15" customHeight="1" x14ac:dyDescent="0.35">
      <c r="B661" s="74" t="s">
        <v>958</v>
      </c>
      <c r="C661" s="21" t="s">
        <v>957</v>
      </c>
      <c r="F661" s="75">
        <f>F594</f>
        <v>-196</v>
      </c>
      <c r="G661" s="75">
        <f>G594</f>
        <v>-424</v>
      </c>
      <c r="H661" s="75">
        <f>H594</f>
        <v>-336</v>
      </c>
    </row>
    <row r="662" spans="1:10" ht="15" customHeight="1" x14ac:dyDescent="0.35">
      <c r="B662" s="74" t="s">
        <v>959</v>
      </c>
      <c r="C662" s="21" t="s">
        <v>957</v>
      </c>
      <c r="F662" s="75">
        <f>F596+F597</f>
        <v>-909</v>
      </c>
      <c r="G662" s="75">
        <f>G596+G597</f>
        <v>-484</v>
      </c>
      <c r="H662" s="75">
        <f>H596+H597</f>
        <v>20</v>
      </c>
    </row>
    <row r="663" spans="1:10" ht="15" customHeight="1" x14ac:dyDescent="0.35">
      <c r="B663" s="81" t="s">
        <v>960</v>
      </c>
      <c r="C663" s="21" t="s">
        <v>957</v>
      </c>
      <c r="F663" s="82">
        <f>0</f>
        <v>0</v>
      </c>
      <c r="G663" s="82">
        <f>0</f>
        <v>0</v>
      </c>
      <c r="H663" s="82">
        <f>0</f>
        <v>0</v>
      </c>
    </row>
    <row r="664" spans="1:10" ht="15" customHeight="1" x14ac:dyDescent="0.35">
      <c r="B664" s="74" t="s">
        <v>961</v>
      </c>
      <c r="C664" s="21" t="s">
        <v>957</v>
      </c>
      <c r="F664" s="75">
        <f t="shared" ref="F664:H665" si="10">F611</f>
        <v>-56</v>
      </c>
      <c r="G664" s="75">
        <f t="shared" si="10"/>
        <v>-255</v>
      </c>
      <c r="H664" s="75">
        <f t="shared" si="10"/>
        <v>-346</v>
      </c>
    </row>
    <row r="665" spans="1:10" ht="15" customHeight="1" x14ac:dyDescent="0.35">
      <c r="B665" s="81" t="s">
        <v>962</v>
      </c>
      <c r="C665" s="21" t="s">
        <v>957</v>
      </c>
      <c r="F665" s="82">
        <f t="shared" si="10"/>
        <v>0</v>
      </c>
      <c r="G665" s="82">
        <f t="shared" si="10"/>
        <v>-1</v>
      </c>
      <c r="H665" s="82">
        <f t="shared" si="10"/>
        <v>-2</v>
      </c>
    </row>
    <row r="666" spans="1:10" ht="15" customHeight="1" x14ac:dyDescent="0.35">
      <c r="B666" s="83" t="s">
        <v>963</v>
      </c>
      <c r="C666" s="84" t="s">
        <v>957</v>
      </c>
      <c r="D666" s="85"/>
      <c r="E666" s="85"/>
      <c r="F666" s="86">
        <f>F660+SUM(F661:F665)</f>
        <v>-618</v>
      </c>
      <c r="G666" s="86">
        <f>G660+SUM(G661:G665)</f>
        <v>293</v>
      </c>
      <c r="H666" s="86">
        <f>H660+SUM(H661:H665)</f>
        <v>1097</v>
      </c>
      <c r="J666" s="20" t="s">
        <v>964</v>
      </c>
    </row>
    <row r="668" spans="1:10" ht="15" customHeight="1" x14ac:dyDescent="0.35">
      <c r="B668" s="73" t="s">
        <v>965</v>
      </c>
    </row>
    <row r="669" spans="1:10" ht="15" customHeight="1" x14ac:dyDescent="0.35">
      <c r="B669" s="74" t="s">
        <v>966</v>
      </c>
      <c r="C669" s="21" t="s">
        <v>967</v>
      </c>
      <c r="F669" s="75">
        <f>E272</f>
        <v>294</v>
      </c>
      <c r="G669" s="75">
        <f>F272</f>
        <v>1063</v>
      </c>
      <c r="H669" s="75">
        <f>G272</f>
        <v>1239</v>
      </c>
    </row>
    <row r="670" spans="1:10" ht="15" customHeight="1" x14ac:dyDescent="0.35">
      <c r="B670" s="74" t="s">
        <v>968</v>
      </c>
      <c r="C670" s="21" t="s">
        <v>967</v>
      </c>
      <c r="F670" s="75">
        <f>-F666</f>
        <v>618</v>
      </c>
      <c r="G670" s="75">
        <f>-G666</f>
        <v>-293</v>
      </c>
      <c r="H670" s="75">
        <f>-H666</f>
        <v>-1097</v>
      </c>
    </row>
    <row r="671" spans="1:10" ht="15" customHeight="1" x14ac:dyDescent="0.35">
      <c r="B671" s="74" t="s">
        <v>969</v>
      </c>
      <c r="C671" s="21" t="s">
        <v>967</v>
      </c>
      <c r="F671" s="75">
        <f>0</f>
        <v>0</v>
      </c>
      <c r="G671" s="75">
        <f>0</f>
        <v>0</v>
      </c>
      <c r="H671" s="75">
        <f>0</f>
        <v>0</v>
      </c>
      <c r="J671" s="20" t="s">
        <v>970</v>
      </c>
    </row>
    <row r="672" spans="1:10" ht="15" customHeight="1" x14ac:dyDescent="0.35">
      <c r="B672" s="81" t="s">
        <v>971</v>
      </c>
      <c r="C672" s="21" t="s">
        <v>967</v>
      </c>
      <c r="F672" s="82">
        <f>F605</f>
        <v>802</v>
      </c>
      <c r="G672" s="82">
        <f>G605</f>
        <v>20</v>
      </c>
      <c r="H672" s="82">
        <f>H605</f>
        <v>-514</v>
      </c>
    </row>
    <row r="673" spans="2:10" ht="15" customHeight="1" x14ac:dyDescent="0.35">
      <c r="B673" s="81" t="s">
        <v>972</v>
      </c>
      <c r="C673" s="21" t="s">
        <v>967</v>
      </c>
      <c r="F673" s="82">
        <f>F598</f>
        <v>130</v>
      </c>
      <c r="G673" s="82">
        <f>G598</f>
        <v>0</v>
      </c>
      <c r="H673" s="82">
        <f>H598</f>
        <v>0</v>
      </c>
    </row>
    <row r="674" spans="2:10" x14ac:dyDescent="0.35">
      <c r="B674" s="87" t="s">
        <v>973</v>
      </c>
    </row>
    <row r="675" spans="2:10" ht="15" customHeight="1" x14ac:dyDescent="0.35">
      <c r="B675" s="74" t="s">
        <v>974</v>
      </c>
      <c r="C675" s="21" t="s">
        <v>967</v>
      </c>
      <c r="F675" s="76">
        <f>'Reported Financials'!F451</f>
        <v>107</v>
      </c>
      <c r="G675" s="76">
        <f>'Reported Financials'!G451</f>
        <v>44</v>
      </c>
      <c r="H675" s="76">
        <f>'Reported Financials'!H451</f>
        <v>89</v>
      </c>
    </row>
    <row r="676" spans="2:10" ht="15" customHeight="1" x14ac:dyDescent="0.35">
      <c r="B676" s="74" t="s">
        <v>975</v>
      </c>
      <c r="C676" s="21" t="s">
        <v>967</v>
      </c>
      <c r="F676" s="76">
        <f>SUM('Reported Financials'!F452)</f>
        <v>0</v>
      </c>
      <c r="G676" s="76">
        <f>SUM('Reported Financials'!G452)</f>
        <v>0</v>
      </c>
      <c r="H676" s="76">
        <f>SUM('Reported Financials'!H452)</f>
        <v>-700</v>
      </c>
    </row>
    <row r="677" spans="2:10" ht="15" customHeight="1" x14ac:dyDescent="0.35">
      <c r="B677" s="74" t="s">
        <v>976</v>
      </c>
      <c r="C677" s="21" t="s">
        <v>967</v>
      </c>
      <c r="F677" s="76">
        <f>'Reported Financials'!F450</f>
        <v>17</v>
      </c>
      <c r="G677" s="76">
        <f>'Reported Financials'!G450</f>
        <v>21</v>
      </c>
      <c r="H677" s="76">
        <f>'Reported Financials'!H450</f>
        <v>14</v>
      </c>
    </row>
    <row r="678" spans="2:10" ht="15" customHeight="1" x14ac:dyDescent="0.35">
      <c r="B678" s="74" t="s">
        <v>977</v>
      </c>
      <c r="C678" s="21" t="s">
        <v>967</v>
      </c>
      <c r="F678" s="76">
        <f>'Reported Financials'!F449</f>
        <v>-121</v>
      </c>
      <c r="G678" s="76">
        <f>'Reported Financials'!G449</f>
        <v>419</v>
      </c>
      <c r="H678" s="76">
        <f>'Reported Financials'!H449</f>
        <v>24</v>
      </c>
    </row>
    <row r="679" spans="2:10" ht="15" customHeight="1" x14ac:dyDescent="0.35">
      <c r="B679" s="74" t="s">
        <v>978</v>
      </c>
      <c r="C679" s="21" t="s">
        <v>967</v>
      </c>
      <c r="F679" s="76">
        <f>'Reported Financials'!F448</f>
        <v>130</v>
      </c>
      <c r="G679" s="76">
        <f>'Reported Financials'!G448</f>
        <v>-7</v>
      </c>
      <c r="H679" s="76">
        <f>'Reported Financials'!H448</f>
        <v>-10</v>
      </c>
    </row>
    <row r="680" spans="2:10" ht="15" customHeight="1" x14ac:dyDescent="0.35">
      <c r="B680" s="74" t="s">
        <v>979</v>
      </c>
      <c r="C680" s="21" t="s">
        <v>967</v>
      </c>
      <c r="F680" s="76">
        <f>SUM('Reported Financials'!F453)</f>
        <v>0</v>
      </c>
      <c r="G680" s="76">
        <f>SUM('Reported Financials'!G453)</f>
        <v>0</v>
      </c>
      <c r="H680" s="76">
        <f>SUM('Reported Financials'!H453)</f>
        <v>-46</v>
      </c>
    </row>
    <row r="681" spans="2:10" ht="15" customHeight="1" x14ac:dyDescent="0.35">
      <c r="B681" s="81" t="s">
        <v>980</v>
      </c>
      <c r="C681" s="21" t="s">
        <v>967</v>
      </c>
      <c r="F681" s="88">
        <f>'Reported Financials'!F454</f>
        <v>1</v>
      </c>
      <c r="G681" s="88">
        <f>'Reported Financials'!G454</f>
        <v>-1</v>
      </c>
      <c r="H681" s="88">
        <f>'Reported Financials'!H454</f>
        <v>1</v>
      </c>
    </row>
    <row r="682" spans="2:10" ht="15" customHeight="1" x14ac:dyDescent="0.35">
      <c r="B682" s="74" t="s">
        <v>981</v>
      </c>
      <c r="C682" s="21" t="s">
        <v>967</v>
      </c>
      <c r="F682" s="75">
        <f>'Reported Financials'!F446+'Reported Financials'!F447-F605</f>
        <v>6</v>
      </c>
      <c r="G682" s="75">
        <f>'Reported Financials'!G446+'Reported Financials'!G447-G605</f>
        <v>14</v>
      </c>
      <c r="H682" s="75">
        <f>'Reported Financials'!H446+'Reported Financials'!H447-H605</f>
        <v>0</v>
      </c>
      <c r="J682" s="20" t="s">
        <v>982</v>
      </c>
    </row>
    <row r="683" spans="2:10" ht="15" customHeight="1" x14ac:dyDescent="0.35">
      <c r="B683" s="74" t="s">
        <v>983</v>
      </c>
      <c r="C683" s="21" t="s">
        <v>967</v>
      </c>
      <c r="F683" s="76">
        <f>-'Reported Financials'!F373</f>
        <v>9</v>
      </c>
      <c r="G683" s="76">
        <f>-'Reported Financials'!G373</f>
        <v>2</v>
      </c>
      <c r="H683" s="76">
        <f>-'Reported Financials'!H373</f>
        <v>10</v>
      </c>
    </row>
    <row r="684" spans="2:10" ht="15" customHeight="1" x14ac:dyDescent="0.35">
      <c r="B684" s="74" t="s">
        <v>984</v>
      </c>
      <c r="C684" s="21" t="s">
        <v>967</v>
      </c>
      <c r="F684" s="76">
        <f>'Reported Financials'!F379-('Reported Financials'!F376-'Reported Financials'!E142)</f>
        <v>0</v>
      </c>
      <c r="G684" s="76">
        <f>'Reported Financials'!G379-'Reported Financials'!F379</f>
        <v>-23</v>
      </c>
      <c r="H684" s="76">
        <f>'Reported Financials'!H379-'Reported Financials'!G379</f>
        <v>108</v>
      </c>
      <c r="J684" s="20" t="s">
        <v>985</v>
      </c>
    </row>
    <row r="685" spans="2:10" ht="15" customHeight="1" x14ac:dyDescent="0.35">
      <c r="B685" s="74" t="s">
        <v>986</v>
      </c>
      <c r="C685" s="21" t="s">
        <v>967</v>
      </c>
      <c r="F685" s="76">
        <f>-(('Reported Financials'!F141-'Reported Financials'!E141)+F598)</f>
        <v>2</v>
      </c>
      <c r="G685" s="76">
        <f>-(('Reported Financials'!G141-'Reported Financials'!F141)+G598)</f>
        <v>0</v>
      </c>
      <c r="H685" s="76">
        <f>-(('Reported Financials'!H141-'Reported Financials'!G141)+H598)</f>
        <v>0</v>
      </c>
    </row>
    <row r="686" spans="2:10" ht="15" customHeight="1" x14ac:dyDescent="0.35">
      <c r="B686" s="81" t="s">
        <v>987</v>
      </c>
      <c r="C686" s="21" t="s">
        <v>967</v>
      </c>
      <c r="F686" s="82">
        <f>-F617</f>
        <v>0</v>
      </c>
      <c r="G686" s="82">
        <f>-G617</f>
        <v>0</v>
      </c>
      <c r="H686" s="82">
        <f>-H617</f>
        <v>-1</v>
      </c>
    </row>
    <row r="687" spans="2:10" ht="15" customHeight="1" x14ac:dyDescent="0.35">
      <c r="B687" s="83" t="s">
        <v>988</v>
      </c>
      <c r="C687" s="84" t="s">
        <v>989</v>
      </c>
      <c r="D687" s="85"/>
      <c r="E687" s="85"/>
      <c r="F687" s="86">
        <f>F669+F670+F671+SUM(F675:F686)</f>
        <v>1063</v>
      </c>
      <c r="G687" s="86">
        <f>G669+G670+G671+SUM(G675:G686)</f>
        <v>1239</v>
      </c>
      <c r="H687" s="86">
        <f>H669+H670+H671+SUM(H675:H686)</f>
        <v>-369</v>
      </c>
    </row>
    <row r="688" spans="2:10" ht="15" customHeight="1" x14ac:dyDescent="0.35">
      <c r="B688" s="81" t="s">
        <v>990</v>
      </c>
      <c r="C688" s="21" t="s">
        <v>989</v>
      </c>
      <c r="F688" s="82">
        <f>F272</f>
        <v>1063</v>
      </c>
      <c r="G688" s="82">
        <f>G272</f>
        <v>1239</v>
      </c>
      <c r="H688" s="82">
        <f>H272</f>
        <v>-369</v>
      </c>
    </row>
    <row r="690" spans="1:10" ht="25" customHeight="1" x14ac:dyDescent="0.35">
      <c r="B690" s="136" t="s">
        <v>991</v>
      </c>
      <c r="C690" s="135"/>
      <c r="D690" s="135"/>
      <c r="E690" s="135"/>
      <c r="F690" s="135"/>
      <c r="G690" s="135"/>
      <c r="H690" s="135"/>
      <c r="I690" s="135"/>
      <c r="J690" s="135"/>
    </row>
    <row r="692" spans="1:10" ht="15" customHeight="1" x14ac:dyDescent="0.35">
      <c r="A692" s="17" t="s">
        <v>5</v>
      </c>
      <c r="B692" s="18" t="s">
        <v>992</v>
      </c>
      <c r="C692" s="15"/>
      <c r="D692" s="15"/>
      <c r="E692" s="15"/>
      <c r="F692" s="15"/>
      <c r="G692" s="15"/>
      <c r="H692" s="15"/>
      <c r="I692" s="15"/>
      <c r="J692" s="15"/>
    </row>
    <row r="694" spans="1:10" ht="15" customHeight="1" x14ac:dyDescent="0.35">
      <c r="B694" s="73" t="s">
        <v>993</v>
      </c>
    </row>
    <row r="695" spans="1:10" ht="15" customHeight="1" x14ac:dyDescent="0.35">
      <c r="B695" s="74" t="s">
        <v>994</v>
      </c>
      <c r="C695" s="21" t="s">
        <v>995</v>
      </c>
      <c r="F695" s="75">
        <f>F584</f>
        <v>543</v>
      </c>
      <c r="G695" s="75">
        <f>G584</f>
        <v>1457</v>
      </c>
      <c r="H695" s="75">
        <f>H584</f>
        <v>1761</v>
      </c>
    </row>
    <row r="696" spans="1:10" ht="15" customHeight="1" x14ac:dyDescent="0.35">
      <c r="B696" s="74" t="s">
        <v>996</v>
      </c>
      <c r="C696" s="21" t="s">
        <v>995</v>
      </c>
      <c r="F696" s="75">
        <f>-(F36+F39)*F463</f>
        <v>-194.92024539877301</v>
      </c>
      <c r="G696" s="75">
        <f>-(G36+G39)*G463</f>
        <v>-356.39640410958901</v>
      </c>
      <c r="H696" s="75">
        <f>-(H36+H39)*H463</f>
        <v>-383.77544529262087</v>
      </c>
      <c r="J696" s="20" t="s">
        <v>997</v>
      </c>
    </row>
    <row r="697" spans="1:10" ht="15" customHeight="1" x14ac:dyDescent="0.35">
      <c r="B697" s="83" t="s">
        <v>998</v>
      </c>
      <c r="C697" s="84" t="s">
        <v>995</v>
      </c>
      <c r="D697" s="85"/>
      <c r="E697" s="85"/>
      <c r="F697" s="86">
        <f>F695+F696</f>
        <v>348.07975460122702</v>
      </c>
      <c r="G697" s="86">
        <f>G695+G696</f>
        <v>1100.603595890411</v>
      </c>
      <c r="H697" s="86">
        <f>H695+H696</f>
        <v>1377.2245547073792</v>
      </c>
    </row>
    <row r="699" spans="1:10" ht="15" customHeight="1" x14ac:dyDescent="0.35">
      <c r="B699" s="73" t="s">
        <v>999</v>
      </c>
    </row>
    <row r="700" spans="1:10" ht="15" customHeight="1" x14ac:dyDescent="0.35">
      <c r="B700" s="74" t="s">
        <v>994</v>
      </c>
      <c r="C700" s="21" t="s">
        <v>1000</v>
      </c>
      <c r="F700" s="75">
        <f>F584</f>
        <v>543</v>
      </c>
      <c r="G700" s="75">
        <f>G584</f>
        <v>1457</v>
      </c>
      <c r="H700" s="75">
        <f>H584</f>
        <v>1761</v>
      </c>
    </row>
    <row r="701" spans="1:10" ht="15" customHeight="1" x14ac:dyDescent="0.35">
      <c r="B701" s="74" t="s">
        <v>1001</v>
      </c>
      <c r="C701" s="21" t="s">
        <v>1000</v>
      </c>
      <c r="F701" s="75">
        <f>SUM(F588:F591)</f>
        <v>-14</v>
      </c>
      <c r="G701" s="75">
        <f>SUM(G588:G591)</f>
        <v>-49</v>
      </c>
      <c r="H701" s="75">
        <f>SUM(H588:H591)</f>
        <v>-45</v>
      </c>
    </row>
    <row r="702" spans="1:10" ht="15" customHeight="1" x14ac:dyDescent="0.35">
      <c r="B702" s="74" t="s">
        <v>1002</v>
      </c>
      <c r="C702" s="21" t="s">
        <v>1000</v>
      </c>
      <c r="F702" s="75">
        <f>F593</f>
        <v>-157</v>
      </c>
      <c r="G702" s="75">
        <f>G593</f>
        <v>-351</v>
      </c>
      <c r="H702" s="75">
        <f>H593</f>
        <v>-355</v>
      </c>
    </row>
    <row r="703" spans="1:10" ht="15" customHeight="1" x14ac:dyDescent="0.35">
      <c r="B703" s="74" t="s">
        <v>1003</v>
      </c>
      <c r="C703" s="21" t="s">
        <v>1000</v>
      </c>
      <c r="F703" s="75">
        <f>F592</f>
        <v>-25</v>
      </c>
      <c r="G703" s="75">
        <f>G592</f>
        <v>-24</v>
      </c>
      <c r="H703" s="75">
        <f>H592</f>
        <v>64</v>
      </c>
    </row>
    <row r="704" spans="1:10" ht="15" customHeight="1" x14ac:dyDescent="0.35">
      <c r="B704" s="74" t="s">
        <v>1004</v>
      </c>
      <c r="C704" s="21" t="s">
        <v>1000</v>
      </c>
      <c r="F704" s="75">
        <f>F596+F597</f>
        <v>-909</v>
      </c>
      <c r="G704" s="75">
        <f>G596+G597</f>
        <v>-484</v>
      </c>
      <c r="H704" s="75">
        <f>H596+H597</f>
        <v>20</v>
      </c>
    </row>
    <row r="705" spans="2:10" ht="15" customHeight="1" x14ac:dyDescent="0.35">
      <c r="B705" s="74" t="s">
        <v>1005</v>
      </c>
      <c r="C705" s="21" t="s">
        <v>1000</v>
      </c>
      <c r="F705" s="75">
        <f>F605</f>
        <v>802</v>
      </c>
      <c r="G705" s="75">
        <f>G605</f>
        <v>20</v>
      </c>
      <c r="H705" s="75">
        <f>H605</f>
        <v>-514</v>
      </c>
    </row>
    <row r="706" spans="2:10" ht="15" customHeight="1" x14ac:dyDescent="0.35">
      <c r="B706" s="74" t="s">
        <v>1006</v>
      </c>
      <c r="C706" s="21" t="s">
        <v>1000</v>
      </c>
      <c r="F706" s="75">
        <f>F598</f>
        <v>130</v>
      </c>
      <c r="G706" s="75">
        <f>G598</f>
        <v>0</v>
      </c>
      <c r="H706" s="75">
        <f>H598</f>
        <v>0</v>
      </c>
    </row>
    <row r="707" spans="2:10" ht="15" customHeight="1" x14ac:dyDescent="0.35">
      <c r="B707" s="81" t="s">
        <v>962</v>
      </c>
      <c r="C707" s="21" t="s">
        <v>1000</v>
      </c>
      <c r="F707" s="82">
        <f>F612</f>
        <v>0</v>
      </c>
      <c r="G707" s="82">
        <f>G612</f>
        <v>-1</v>
      </c>
      <c r="H707" s="82">
        <f>H612</f>
        <v>-2</v>
      </c>
    </row>
    <row r="708" spans="2:10" ht="15" customHeight="1" x14ac:dyDescent="0.35">
      <c r="B708" s="83" t="s">
        <v>61</v>
      </c>
      <c r="C708" s="84" t="s">
        <v>1000</v>
      </c>
      <c r="D708" s="85"/>
      <c r="E708" s="85"/>
      <c r="F708" s="86">
        <f>F700+SUM(F701:F707)</f>
        <v>370</v>
      </c>
      <c r="G708" s="86">
        <f>G700+SUM(G701:G707)</f>
        <v>568</v>
      </c>
      <c r="H708" s="86">
        <f>H700+SUM(H701:H707)</f>
        <v>929</v>
      </c>
    </row>
    <row r="709" spans="2:10" ht="15" customHeight="1" x14ac:dyDescent="0.35">
      <c r="B709" s="74" t="s">
        <v>1007</v>
      </c>
      <c r="C709" s="21" t="s">
        <v>1000</v>
      </c>
      <c r="F709" s="75">
        <f>F607+F608</f>
        <v>-190</v>
      </c>
      <c r="G709" s="75">
        <f>G607+G608</f>
        <v>-277</v>
      </c>
      <c r="H709" s="75">
        <f>H607+H608</f>
        <v>-421</v>
      </c>
    </row>
    <row r="710" spans="2:10" ht="15" customHeight="1" x14ac:dyDescent="0.35">
      <c r="B710" s="74" t="s">
        <v>1008</v>
      </c>
      <c r="C710" s="21" t="s">
        <v>1000</v>
      </c>
      <c r="F710" s="75">
        <f>F609+F610</f>
        <v>134</v>
      </c>
      <c r="G710" s="75">
        <f>G609+G610</f>
        <v>22</v>
      </c>
      <c r="H710" s="75">
        <f>H609+H610</f>
        <v>75</v>
      </c>
    </row>
    <row r="711" spans="2:10" ht="15" customHeight="1" x14ac:dyDescent="0.35">
      <c r="B711" s="77" t="s">
        <v>912</v>
      </c>
      <c r="C711" s="80" t="s">
        <v>1009</v>
      </c>
      <c r="D711" s="78"/>
      <c r="E711" s="78"/>
      <c r="F711" s="79">
        <f>F708+F709+F710</f>
        <v>314</v>
      </c>
      <c r="G711" s="79">
        <f>G708+G709+G710</f>
        <v>313</v>
      </c>
      <c r="H711" s="79">
        <f>H708+H709+H710</f>
        <v>583</v>
      </c>
    </row>
    <row r="713" spans="2:10" ht="15" customHeight="1" x14ac:dyDescent="0.35">
      <c r="B713" s="73" t="s">
        <v>1010</v>
      </c>
    </row>
    <row r="714" spans="2:10" ht="15" customHeight="1" x14ac:dyDescent="0.35">
      <c r="B714" s="74" t="s">
        <v>1011</v>
      </c>
      <c r="C714" s="21" t="s">
        <v>1009</v>
      </c>
      <c r="F714" s="75">
        <f>F697</f>
        <v>348.07975460122702</v>
      </c>
      <c r="G714" s="75">
        <f>G697</f>
        <v>1100.603595890411</v>
      </c>
      <c r="H714" s="75">
        <f>H697</f>
        <v>1377.2245547073792</v>
      </c>
    </row>
    <row r="715" spans="2:10" ht="15" customHeight="1" x14ac:dyDescent="0.35">
      <c r="B715" s="74" t="s">
        <v>1012</v>
      </c>
      <c r="C715" s="21" t="s">
        <v>1009</v>
      </c>
      <c r="F715" s="75">
        <f>SUM(F588:F590)*(1-F463)</f>
        <v>-33.080981595092027</v>
      </c>
      <c r="G715" s="75">
        <f>SUM(G588:G590)*(1-G463)</f>
        <v>-46.802226027397261</v>
      </c>
      <c r="H715" s="75">
        <f>SUM(H588:H590)*(1-H463)</f>
        <v>-49.835877862595417</v>
      </c>
    </row>
    <row r="716" spans="2:10" ht="15" customHeight="1" x14ac:dyDescent="0.35">
      <c r="B716" s="74" t="s">
        <v>1013</v>
      </c>
      <c r="C716" s="21" t="s">
        <v>1009</v>
      </c>
      <c r="F716" s="75">
        <f>F605+F598</f>
        <v>932</v>
      </c>
      <c r="G716" s="75">
        <f>G605+G598</f>
        <v>20</v>
      </c>
      <c r="H716" s="75">
        <f>H605+H598</f>
        <v>-514</v>
      </c>
    </row>
    <row r="717" spans="2:10" ht="15" customHeight="1" x14ac:dyDescent="0.35">
      <c r="B717" s="74" t="s">
        <v>1014</v>
      </c>
      <c r="C717" s="21" t="s">
        <v>1009</v>
      </c>
      <c r="F717" s="75">
        <f>F593-F696+SUM(F588:F590)*F463</f>
        <v>28.001226993865032</v>
      </c>
      <c r="G717" s="75">
        <f>G593-G696+SUM(G588:G590)*G463</f>
        <v>-12.801369863013726</v>
      </c>
      <c r="H717" s="75">
        <f>H593-H696+SUM(H588:H590)*H463</f>
        <v>12.611323155216294</v>
      </c>
      <c r="J717" s="20" t="s">
        <v>1015</v>
      </c>
    </row>
    <row r="718" spans="2:10" ht="15" customHeight="1" x14ac:dyDescent="0.35">
      <c r="B718" s="74" t="s">
        <v>885</v>
      </c>
      <c r="C718" s="21" t="s">
        <v>1009</v>
      </c>
      <c r="F718" s="75">
        <f t="shared" ref="F718:H719" si="11">F591</f>
        <v>29</v>
      </c>
      <c r="G718" s="75">
        <f t="shared" si="11"/>
        <v>16</v>
      </c>
      <c r="H718" s="75">
        <f t="shared" si="11"/>
        <v>21</v>
      </c>
    </row>
    <row r="719" spans="2:10" ht="15" customHeight="1" x14ac:dyDescent="0.35">
      <c r="B719" s="74" t="s">
        <v>1016</v>
      </c>
      <c r="C719" s="21" t="s">
        <v>1009</v>
      </c>
      <c r="F719" s="75">
        <f t="shared" si="11"/>
        <v>-25</v>
      </c>
      <c r="G719" s="75">
        <f t="shared" si="11"/>
        <v>-24</v>
      </c>
      <c r="H719" s="75">
        <f t="shared" si="11"/>
        <v>64</v>
      </c>
    </row>
    <row r="720" spans="2:10" ht="15" customHeight="1" x14ac:dyDescent="0.35">
      <c r="B720" s="74" t="s">
        <v>1017</v>
      </c>
      <c r="C720" s="21" t="s">
        <v>1009</v>
      </c>
      <c r="F720" s="75">
        <f>F596+F597</f>
        <v>-909</v>
      </c>
      <c r="G720" s="75">
        <f>G596+G597</f>
        <v>-484</v>
      </c>
      <c r="H720" s="75">
        <f>H596+H597</f>
        <v>20</v>
      </c>
    </row>
    <row r="721" spans="1:10" ht="15" customHeight="1" x14ac:dyDescent="0.35">
      <c r="B721" s="81" t="s">
        <v>962</v>
      </c>
      <c r="C721" s="21" t="s">
        <v>1009</v>
      </c>
      <c r="F721" s="82">
        <f>F612</f>
        <v>0</v>
      </c>
      <c r="G721" s="82">
        <f>G612</f>
        <v>-1</v>
      </c>
      <c r="H721" s="82">
        <f>H612</f>
        <v>-2</v>
      </c>
    </row>
    <row r="722" spans="1:10" ht="15" customHeight="1" x14ac:dyDescent="0.35">
      <c r="B722" s="77" t="s">
        <v>61</v>
      </c>
      <c r="C722" s="80" t="s">
        <v>1009</v>
      </c>
      <c r="D722" s="78"/>
      <c r="E722" s="78"/>
      <c r="F722" s="79">
        <f>F714+SUM(F715:F721)</f>
        <v>370</v>
      </c>
      <c r="G722" s="79">
        <f>G714+SUM(G715:G721)</f>
        <v>568</v>
      </c>
      <c r="H722" s="79">
        <f>H714+SUM(H715:H721)</f>
        <v>929</v>
      </c>
    </row>
    <row r="724" spans="1:10" ht="12.5" customHeight="1" x14ac:dyDescent="0.35">
      <c r="B724" s="136" t="s">
        <v>1018</v>
      </c>
      <c r="C724" s="135"/>
      <c r="D724" s="135"/>
      <c r="E724" s="135"/>
      <c r="F724" s="135"/>
      <c r="G724" s="135"/>
      <c r="H724" s="135"/>
      <c r="I724" s="135"/>
      <c r="J724" s="135"/>
    </row>
    <row r="726" spans="1:10" ht="15" customHeight="1" x14ac:dyDescent="0.35">
      <c r="A726" s="17" t="s">
        <v>5</v>
      </c>
      <c r="B726" s="18" t="s">
        <v>1019</v>
      </c>
      <c r="C726" s="15"/>
      <c r="D726" s="15"/>
      <c r="E726" s="15"/>
      <c r="F726" s="15"/>
      <c r="G726" s="15"/>
      <c r="H726" s="15"/>
      <c r="I726" s="15"/>
      <c r="J726" s="15"/>
    </row>
    <row r="728" spans="1:10" ht="15" customHeight="1" x14ac:dyDescent="0.35">
      <c r="B728" s="74" t="s">
        <v>1020</v>
      </c>
      <c r="C728" s="21" t="s">
        <v>65</v>
      </c>
      <c r="F728" s="75">
        <f>F583</f>
        <v>-396</v>
      </c>
      <c r="G728" s="75">
        <f>G583</f>
        <v>-687</v>
      </c>
      <c r="H728" s="75">
        <f>H583</f>
        <v>-862</v>
      </c>
    </row>
    <row r="729" spans="1:10" ht="15" customHeight="1" x14ac:dyDescent="0.35">
      <c r="B729" s="74" t="s">
        <v>1021</v>
      </c>
      <c r="C729" s="21" t="s">
        <v>65</v>
      </c>
      <c r="F729" s="76">
        <f>-'Reported Financials'!F427</f>
        <v>-625</v>
      </c>
      <c r="G729" s="76">
        <f>-'Reported Financials'!G427</f>
        <v>-406</v>
      </c>
      <c r="H729" s="90" t="s">
        <v>254</v>
      </c>
      <c r="J729" s="20" t="s">
        <v>1022</v>
      </c>
    </row>
    <row r="730" spans="1:10" ht="15" customHeight="1" x14ac:dyDescent="0.35">
      <c r="B730" s="74" t="s">
        <v>1023</v>
      </c>
      <c r="C730" s="21" t="s">
        <v>65</v>
      </c>
      <c r="F730" s="76">
        <f>-'Reported Financials'!F428</f>
        <v>-107</v>
      </c>
      <c r="G730" s="76">
        <f>-'Reported Financials'!G428</f>
        <v>-91</v>
      </c>
      <c r="H730" s="90" t="s">
        <v>254</v>
      </c>
    </row>
    <row r="731" spans="1:10" ht="15" customHeight="1" x14ac:dyDescent="0.35">
      <c r="B731" s="74" t="s">
        <v>1024</v>
      </c>
      <c r="C731" s="21" t="s">
        <v>65</v>
      </c>
      <c r="F731" s="76">
        <f>-SUM('Reported Financials'!F429)</f>
        <v>0</v>
      </c>
      <c r="G731" s="76">
        <f>-SUM('Reported Financials'!G429)</f>
        <v>-59</v>
      </c>
      <c r="H731" s="90" t="s">
        <v>254</v>
      </c>
      <c r="J731" s="20" t="s">
        <v>1025</v>
      </c>
    </row>
    <row r="732" spans="1:10" ht="15" customHeight="1" x14ac:dyDescent="0.35">
      <c r="B732" s="77" t="s">
        <v>1026</v>
      </c>
      <c r="C732" s="80" t="s">
        <v>65</v>
      </c>
      <c r="D732" s="78"/>
      <c r="E732" s="78"/>
      <c r="F732" s="79">
        <f>SUM(F728:F731)</f>
        <v>-1128</v>
      </c>
      <c r="G732" s="79">
        <f>SUM(G728:G731)</f>
        <v>-1243</v>
      </c>
      <c r="H732" s="91" t="s">
        <v>254</v>
      </c>
    </row>
    <row r="733" spans="1:10" ht="15" customHeight="1" x14ac:dyDescent="0.35">
      <c r="B733" s="74" t="s">
        <v>994</v>
      </c>
      <c r="C733" s="21" t="s">
        <v>65</v>
      </c>
      <c r="F733" s="75">
        <f>F584</f>
        <v>543</v>
      </c>
      <c r="G733" s="75">
        <f>G584</f>
        <v>1457</v>
      </c>
      <c r="H733" s="75">
        <f>H584</f>
        <v>1761</v>
      </c>
    </row>
    <row r="734" spans="1:10" ht="15" customHeight="1" x14ac:dyDescent="0.35">
      <c r="B734" s="83" t="s">
        <v>1027</v>
      </c>
      <c r="C734" s="84" t="s">
        <v>65</v>
      </c>
      <c r="D734" s="85"/>
      <c r="E734" s="85"/>
      <c r="F734" s="86">
        <f>F733+SUM(F729:F731)</f>
        <v>-189</v>
      </c>
      <c r="G734" s="86">
        <f>G733+SUM(G729:G731)</f>
        <v>901</v>
      </c>
      <c r="H734" s="92" t="s">
        <v>254</v>
      </c>
      <c r="J734" s="20" t="s">
        <v>1028</v>
      </c>
    </row>
    <row r="735" spans="1:10" ht="15" customHeight="1" x14ac:dyDescent="0.35">
      <c r="B735" s="81" t="s">
        <v>1029</v>
      </c>
      <c r="C735" s="21" t="s">
        <v>65</v>
      </c>
      <c r="F735" s="88">
        <f>-'Reported Financials'!F440</f>
        <v>-644</v>
      </c>
      <c r="G735" s="88">
        <f>-'Reported Financials'!G440</f>
        <v>-290</v>
      </c>
      <c r="H735" s="88">
        <f>-'Reported Financials'!H440</f>
        <v>-51</v>
      </c>
      <c r="J735" s="20" t="s">
        <v>1030</v>
      </c>
    </row>
    <row r="736" spans="1:10" ht="15" customHeight="1" x14ac:dyDescent="0.35">
      <c r="B736" s="81" t="s">
        <v>1031</v>
      </c>
      <c r="C736" s="21" t="s">
        <v>871</v>
      </c>
      <c r="F736" s="88">
        <f>-'Reported Financials'!F451</f>
        <v>-107</v>
      </c>
      <c r="G736" s="88">
        <f>-'Reported Financials'!G451</f>
        <v>-44</v>
      </c>
      <c r="H736" s="88">
        <f>-'Reported Financials'!H451</f>
        <v>-89</v>
      </c>
    </row>
    <row r="737" spans="1:10" ht="15" customHeight="1" x14ac:dyDescent="0.35">
      <c r="B737" s="81" t="s">
        <v>1032</v>
      </c>
      <c r="C737" s="21" t="s">
        <v>871</v>
      </c>
      <c r="F737" s="82">
        <f>F728+F736</f>
        <v>-503</v>
      </c>
      <c r="G737" s="82">
        <f>G728+G736</f>
        <v>-731</v>
      </c>
      <c r="H737" s="82">
        <f>H728+H736</f>
        <v>-951</v>
      </c>
      <c r="J737" s="20" t="s">
        <v>1033</v>
      </c>
    </row>
    <row r="739" spans="1:10" ht="25" customHeight="1" x14ac:dyDescent="0.35">
      <c r="B739" s="136" t="s">
        <v>1034</v>
      </c>
      <c r="C739" s="135"/>
      <c r="D739" s="135"/>
      <c r="E739" s="135"/>
      <c r="F739" s="135"/>
      <c r="G739" s="135"/>
      <c r="H739" s="135"/>
      <c r="I739" s="135"/>
      <c r="J739" s="135"/>
    </row>
    <row r="741" spans="1:10" ht="15" customHeight="1" x14ac:dyDescent="0.35">
      <c r="A741" s="17" t="s">
        <v>5</v>
      </c>
      <c r="B741" s="18" t="s">
        <v>1035</v>
      </c>
      <c r="C741" s="15"/>
      <c r="D741" s="15"/>
      <c r="E741" s="15"/>
      <c r="F741" s="15"/>
      <c r="G741" s="15"/>
      <c r="H741" s="15"/>
      <c r="I741" s="15"/>
      <c r="J741" s="15"/>
    </row>
    <row r="743" spans="1:10" ht="15" customHeight="1" x14ac:dyDescent="0.35">
      <c r="B743" s="137" t="s">
        <v>1036</v>
      </c>
      <c r="C743" s="135"/>
      <c r="D743" s="135"/>
      <c r="E743" s="135"/>
      <c r="F743" s="135"/>
      <c r="G743" s="135"/>
      <c r="H743" s="135"/>
      <c r="I743" s="135"/>
      <c r="J743" s="135"/>
    </row>
    <row r="745" spans="1:10" ht="15" customHeight="1" x14ac:dyDescent="0.35">
      <c r="A745" s="17" t="s">
        <v>5</v>
      </c>
      <c r="B745" s="18" t="s">
        <v>1037</v>
      </c>
      <c r="C745" s="15"/>
      <c r="D745" s="15"/>
      <c r="E745" s="15"/>
      <c r="F745" s="15"/>
      <c r="G745" s="15"/>
      <c r="H745" s="15"/>
      <c r="I745" s="15"/>
      <c r="J745" s="15"/>
    </row>
    <row r="747" spans="1:10" ht="15" customHeight="1" x14ac:dyDescent="0.35">
      <c r="B747" s="137" t="s">
        <v>1038</v>
      </c>
      <c r="C747" s="135"/>
      <c r="D747" s="135"/>
      <c r="E747" s="135"/>
      <c r="F747" s="135"/>
      <c r="G747" s="135"/>
      <c r="H747" s="135"/>
      <c r="I747" s="135"/>
      <c r="J747" s="135"/>
    </row>
    <row r="749" spans="1:10" ht="15" customHeight="1" x14ac:dyDescent="0.35">
      <c r="A749" s="17" t="s">
        <v>5</v>
      </c>
      <c r="B749" s="18" t="s">
        <v>1039</v>
      </c>
      <c r="C749" s="15"/>
      <c r="D749" s="15"/>
      <c r="E749" s="15"/>
      <c r="F749" s="15"/>
      <c r="G749" s="15"/>
      <c r="H749" s="15"/>
      <c r="I749" s="15"/>
      <c r="J749" s="15"/>
    </row>
    <row r="751" spans="1:10" ht="15" customHeight="1" x14ac:dyDescent="0.35">
      <c r="B751" s="137" t="s">
        <v>1040</v>
      </c>
      <c r="C751" s="135"/>
      <c r="D751" s="135"/>
      <c r="E751" s="135"/>
      <c r="F751" s="135"/>
      <c r="G751" s="135"/>
      <c r="H751" s="135"/>
      <c r="I751" s="135"/>
      <c r="J751" s="135"/>
    </row>
    <row r="753" spans="1:10" ht="15" customHeight="1" x14ac:dyDescent="0.35">
      <c r="A753" s="17" t="s">
        <v>5</v>
      </c>
      <c r="B753" s="18" t="s">
        <v>1041</v>
      </c>
      <c r="C753" s="15"/>
      <c r="D753" s="15"/>
      <c r="E753" s="15"/>
      <c r="F753" s="15"/>
      <c r="G753" s="15"/>
      <c r="H753" s="15"/>
      <c r="I753" s="15"/>
      <c r="J753" s="15"/>
    </row>
    <row r="755" spans="1:10" x14ac:dyDescent="0.35">
      <c r="B755" s="22" t="s">
        <v>1042</v>
      </c>
    </row>
    <row r="757" spans="1:10" ht="15" customHeight="1" x14ac:dyDescent="0.35">
      <c r="B757" s="74" t="s">
        <v>1043</v>
      </c>
      <c r="F757" s="75">
        <f>F615-'Reported Financials'!F372</f>
        <v>0</v>
      </c>
      <c r="G757" s="75">
        <f>G615-'Reported Financials'!G372</f>
        <v>0</v>
      </c>
      <c r="H757" s="75">
        <f>H615-'Reported Financials'!H372</f>
        <v>0</v>
      </c>
      <c r="J757" s="22" t="str">
        <f>IF(MAX(ABS(F757),ABS(G757),ABS(H757))&lt;='Reported Financials'!$E$233,"OK","CHECK")</f>
        <v>OK</v>
      </c>
    </row>
    <row r="758" spans="1:10" ht="15" customHeight="1" x14ac:dyDescent="0.35">
      <c r="B758" s="74" t="s">
        <v>1044</v>
      </c>
      <c r="F758" s="75">
        <f>F619-'Reported Financials'!F378</f>
        <v>0</v>
      </c>
      <c r="G758" s="75">
        <f>G619-'Reported Financials'!G378</f>
        <v>0</v>
      </c>
      <c r="H758" s="75">
        <f>H619-'Reported Financials'!H378</f>
        <v>0</v>
      </c>
      <c r="J758" s="22" t="str">
        <f>IF(MAX(ABS(F758),ABS(G758),ABS(H758))&lt;='Reported Financials'!$E$233,"OK","CHECK")</f>
        <v>OK</v>
      </c>
    </row>
    <row r="759" spans="1:10" ht="15" customHeight="1" x14ac:dyDescent="0.35">
      <c r="B759" s="74" t="s">
        <v>1045</v>
      </c>
      <c r="F759" s="75">
        <f>F621+F270</f>
        <v>0</v>
      </c>
      <c r="G759" s="75">
        <f>G621+G270</f>
        <v>0</v>
      </c>
      <c r="H759" s="75">
        <f>H621+H270</f>
        <v>0</v>
      </c>
      <c r="J759" s="22" t="str">
        <f>IF(MAX(ABS(F759),ABS(G759),ABS(H759))&lt;='Reported Financials'!$E$233,"OK","CHECK")</f>
        <v>OK</v>
      </c>
    </row>
    <row r="760" spans="1:10" ht="15" customHeight="1" x14ac:dyDescent="0.35">
      <c r="B760" s="74" t="s">
        <v>1046</v>
      </c>
      <c r="F760" s="75">
        <f>F568-F30</f>
        <v>0</v>
      </c>
      <c r="G760" s="75">
        <f>G568-G30</f>
        <v>0</v>
      </c>
      <c r="H760" s="75">
        <f>H568-H30</f>
        <v>0</v>
      </c>
      <c r="J760" s="22" t="str">
        <f>IF(MAX(ABS(F760),ABS(G760),ABS(H760))&lt;='Reported Financials'!$E$233,"OK","CHECK")</f>
        <v>OK</v>
      </c>
    </row>
    <row r="761" spans="1:10" ht="15" customHeight="1" x14ac:dyDescent="0.35">
      <c r="B761" s="74" t="s">
        <v>1047</v>
      </c>
      <c r="F761" s="75">
        <f>F570+F575+F576-F577</f>
        <v>0</v>
      </c>
      <c r="G761" s="75">
        <f>G570+G575+G576-G577</f>
        <v>0</v>
      </c>
      <c r="H761" s="75">
        <f>H570+H575+H576-H577</f>
        <v>0</v>
      </c>
      <c r="J761" s="22" t="str">
        <f>IF(MAX(ABS(F761),ABS(G761),ABS(H761))&lt;='Reported Financials'!$E$233,"OK","CHECK")</f>
        <v>OK</v>
      </c>
    </row>
    <row r="762" spans="1:10" ht="15" customHeight="1" x14ac:dyDescent="0.35">
      <c r="B762" s="74" t="s">
        <v>1048</v>
      </c>
      <c r="F762" s="75">
        <f>F687-F272</f>
        <v>0</v>
      </c>
      <c r="G762" s="75">
        <f>G687-G272</f>
        <v>0</v>
      </c>
      <c r="H762" s="75">
        <f>H687-H272</f>
        <v>0</v>
      </c>
      <c r="J762" s="22" t="str">
        <f>IF(MAX(ABS(F762),ABS(G762),ABS(H762))&lt;='Reported Financials'!$E$233,"OK","CHECK")</f>
        <v>OK</v>
      </c>
    </row>
    <row r="763" spans="1:10" ht="15" customHeight="1" x14ac:dyDescent="0.35">
      <c r="B763" s="74" t="s">
        <v>1049</v>
      </c>
      <c r="F763" s="75">
        <f>F666-(F615-F605-F598)</f>
        <v>0</v>
      </c>
      <c r="G763" s="75">
        <f>G666-(G615-G605-G598)</f>
        <v>0</v>
      </c>
      <c r="H763" s="75">
        <f>H666-(H615-H605-H598)</f>
        <v>0</v>
      </c>
      <c r="J763" s="22" t="str">
        <f>IF(MAX(ABS(F763),ABS(G763),ABS(H763))&lt;='Reported Financials'!$E$233,"OK","CHECK")</f>
        <v>OK</v>
      </c>
    </row>
    <row r="764" spans="1:10" ht="15" customHeight="1" x14ac:dyDescent="0.35">
      <c r="B764" s="74" t="s">
        <v>1050</v>
      </c>
      <c r="F764" s="75">
        <f>F711-'Reported Financials'!F372</f>
        <v>0</v>
      </c>
      <c r="G764" s="75">
        <f>G711-'Reported Financials'!G372</f>
        <v>0</v>
      </c>
      <c r="H764" s="75">
        <f>H711-'Reported Financials'!H372</f>
        <v>0</v>
      </c>
      <c r="J764" s="22" t="str">
        <f>IF(MAX(ABS(F764),ABS(G764),ABS(H764))&lt;='Reported Financials'!$E$233,"OK","CHECK")</f>
        <v>OK</v>
      </c>
    </row>
    <row r="765" spans="1:10" ht="15" customHeight="1" x14ac:dyDescent="0.35">
      <c r="B765" s="74" t="s">
        <v>1051</v>
      </c>
      <c r="F765" s="75">
        <f>F722-F708</f>
        <v>0</v>
      </c>
      <c r="G765" s="75">
        <f>G722-G708</f>
        <v>0</v>
      </c>
      <c r="H765" s="75">
        <f>H722-H708</f>
        <v>0</v>
      </c>
      <c r="J765" s="22" t="str">
        <f>IF(MAX(ABS(F765),ABS(G765),ABS(H765))&lt;='Reported Financials'!$E$233,"OK","CHECK")</f>
        <v>OK</v>
      </c>
    </row>
    <row r="766" spans="1:10" ht="15" customHeight="1" x14ac:dyDescent="0.35">
      <c r="B766" s="74" t="s">
        <v>1052</v>
      </c>
      <c r="F766" s="75">
        <f>'Reported Financials'!F475+F255</f>
        <v>0</v>
      </c>
      <c r="G766" s="75">
        <f>'Reported Financials'!G475+G255</f>
        <v>0</v>
      </c>
      <c r="H766" s="75">
        <f>'Reported Financials'!H475+H255</f>
        <v>0</v>
      </c>
      <c r="J766" s="22" t="str">
        <f>IF(MAX(ABS(F766),ABS(G766),ABS(H766))&lt;='Reported Financials'!$E$233,"OK","CHECK")</f>
        <v>OK</v>
      </c>
    </row>
    <row r="767" spans="1:10" ht="15" customHeight="1" x14ac:dyDescent="0.35">
      <c r="B767" s="74" t="s">
        <v>1053</v>
      </c>
      <c r="F767" s="75">
        <f>SUM('Reported Financials'!F410)+'Reported Financials'!F415-F61</f>
        <v>0</v>
      </c>
      <c r="G767" s="75">
        <f>SUM('Reported Financials'!G410)+'Reported Financials'!G415-G61</f>
        <v>0</v>
      </c>
      <c r="H767" s="75">
        <f>SUM('Reported Financials'!H410)+'Reported Financials'!H415-H61</f>
        <v>0</v>
      </c>
      <c r="J767" s="22" t="str">
        <f>IF(MAX(ABS(F767),ABS(G767),ABS(H767))&lt;='Reported Financials'!$E$233,"OK","CHECK")</f>
        <v>OK</v>
      </c>
    </row>
    <row r="768" spans="1:10" ht="15" customHeight="1" x14ac:dyDescent="0.35">
      <c r="B768" s="74" t="s">
        <v>1054</v>
      </c>
      <c r="F768" s="75">
        <f>IF('Reported Financials'!$J$550="ALL OK",0,1)</f>
        <v>0</v>
      </c>
      <c r="G768" s="75">
        <f>IF('Reported Financials'!$J$550="ALL OK",0,1)</f>
        <v>0</v>
      </c>
      <c r="H768" s="75">
        <f>IF('Reported Financials'!$J$550="ALL OK",0,1)</f>
        <v>0</v>
      </c>
      <c r="J768" s="22" t="str">
        <f>IF(MAX(ABS(F768),ABS(G768),ABS(H768))&lt;='Reported Financials'!$E$233,"OK","CHECK")</f>
        <v>OK</v>
      </c>
    </row>
    <row r="770" spans="1:10" x14ac:dyDescent="0.35">
      <c r="B770" s="23" t="s">
        <v>1055</v>
      </c>
      <c r="C770" s="15"/>
      <c r="D770" s="15"/>
      <c r="E770" s="15"/>
      <c r="F770" s="15"/>
      <c r="G770" s="15"/>
      <c r="H770" s="15"/>
      <c r="I770" s="15"/>
      <c r="J770" s="24" t="str">
        <f>IF(COUNTIF(J757:J768,"CHECK")=0,"ALL OK",COUNTIF(J757:J768,"CHECK")&amp;" to check")</f>
        <v>ALL OK</v>
      </c>
    </row>
    <row r="771" spans="1:10" x14ac:dyDescent="0.35">
      <c r="B771" s="23" t="s">
        <v>1056</v>
      </c>
      <c r="C771" s="15"/>
      <c r="D771" s="15"/>
      <c r="E771" s="15"/>
      <c r="F771" s="15"/>
      <c r="G771" s="15"/>
      <c r="H771" s="15"/>
      <c r="I771" s="15"/>
      <c r="J771" s="24" t="str">
        <f>IF(AND(J557="ALL OK",J770="ALL OK"),"ALL OK","to check")</f>
        <v>ALL OK</v>
      </c>
    </row>
    <row r="773" spans="1:10" ht="15.5" x14ac:dyDescent="0.35">
      <c r="A773" s="17" t="s">
        <v>5</v>
      </c>
      <c r="B773" s="25" t="s">
        <v>93</v>
      </c>
    </row>
  </sheetData>
  <mergeCells count="22">
    <mergeCell ref="B751:J751"/>
    <mergeCell ref="B343:J343"/>
    <mergeCell ref="B368:J368"/>
    <mergeCell ref="B479:J479"/>
    <mergeCell ref="B351:J351"/>
    <mergeCell ref="B395:J395"/>
    <mergeCell ref="B743:J743"/>
    <mergeCell ref="B690:J690"/>
    <mergeCell ref="B439:J439"/>
    <mergeCell ref="B366:J366"/>
    <mergeCell ref="B724:J724"/>
    <mergeCell ref="B639:J639"/>
    <mergeCell ref="B747:J747"/>
    <mergeCell ref="B563:J563"/>
    <mergeCell ref="B410:J410"/>
    <mergeCell ref="B375:J375"/>
    <mergeCell ref="B648:J648"/>
    <mergeCell ref="B459:J459"/>
    <mergeCell ref="B739:J739"/>
    <mergeCell ref="B623:J623"/>
    <mergeCell ref="B367:J367"/>
    <mergeCell ref="B656:J656"/>
  </mergeCells>
  <conditionalFormatting sqref="J486:J526">
    <cfRule type="expression" dxfId="29" priority="2">
      <formula>ISNUMBER(SEARCH("MATERIAL",J486))</formula>
    </cfRule>
    <cfRule type="expression" dxfId="28" priority="3">
      <formula>ISNUMBER(SEARCH("OUTSIDE",J486))</formula>
    </cfRule>
  </conditionalFormatting>
  <conditionalFormatting sqref="J531:J557">
    <cfRule type="cellIs" dxfId="27" priority="4" operator="equal">
      <formula>"OK"</formula>
    </cfRule>
    <cfRule type="cellIs" dxfId="26" priority="5" operator="equal">
      <formula>"ALL OK"</formula>
    </cfRule>
    <cfRule type="cellIs" dxfId="25" priority="6" operator="equal">
      <formula>"CHECK"</formula>
    </cfRule>
  </conditionalFormatting>
  <conditionalFormatting sqref="J561:J771">
    <cfRule type="cellIs" dxfId="24" priority="7" operator="equal">
      <formula>"OK"</formula>
    </cfRule>
    <cfRule type="cellIs" dxfId="23" priority="7" operator="equal">
      <formula>"ALL OK"</formula>
    </cfRule>
    <cfRule type="cellIs" dxfId="22" priority="8" operator="equal">
      <formula>"CHECK"</formula>
    </cfRule>
    <cfRule type="cellIs" dxfId="21" priority="9" operator="equal">
      <formula>"source missing"</formula>
    </cfRule>
  </conditionalFormatting>
  <pageMargins left="0.4" right="0.4" top="0.4" bottom="0.4" header="0.511811023622047" footer="0.511811023622047"/>
  <pageSetup paperSize="66" scale="13"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pageSetUpPr fitToPage="1"/>
  </sheetPr>
  <dimension ref="A1:K553"/>
  <sheetViews>
    <sheetView showGridLines="0" view="pageBreakPreview" zoomScale="85" zoomScaleNormal="100" zoomScalePageLayoutView="85" workbookViewId="0">
      <pane ySplit="8" topLeftCell="A9" activePane="bottomLeft" state="frozen"/>
      <selection pane="bottomLeft" activeCell="A9" sqref="A9"/>
    </sheetView>
  </sheetViews>
  <sheetFormatPr defaultColWidth="8.6328125" defaultRowHeight="14.5" x14ac:dyDescent="0.35"/>
  <cols>
    <col min="1" max="1" width="4.81640625" style="26" customWidth="1"/>
    <col min="2" max="2" width="74" style="26" customWidth="1"/>
    <col min="3" max="3" width="6" style="26" customWidth="1"/>
    <col min="4" max="4" width="2" style="26" customWidth="1"/>
    <col min="5" max="8" width="12.26953125" style="26" customWidth="1"/>
    <col min="9" max="9" width="3" style="26" customWidth="1"/>
    <col min="10" max="10" width="70" style="26" customWidth="1"/>
    <col min="11" max="11" width="3" style="26" customWidth="1"/>
  </cols>
  <sheetData>
    <row r="1" spans="1:11" ht="12" customHeight="1" x14ac:dyDescent="0.35">
      <c r="A1" s="27"/>
      <c r="B1" s="27"/>
      <c r="C1" s="27"/>
      <c r="D1" s="27"/>
      <c r="E1" s="27"/>
      <c r="F1" s="27"/>
      <c r="G1" s="27"/>
      <c r="H1" s="27"/>
      <c r="I1" s="27"/>
      <c r="J1" s="27"/>
      <c r="K1" s="27"/>
    </row>
    <row r="2" spans="1:11" ht="12" customHeight="1" x14ac:dyDescent="0.35">
      <c r="A2" s="27"/>
      <c r="B2" s="27"/>
      <c r="C2" s="27"/>
      <c r="D2" s="27"/>
      <c r="E2" s="27"/>
      <c r="F2" s="27"/>
      <c r="G2" s="27"/>
      <c r="H2" s="27"/>
      <c r="I2" s="27"/>
      <c r="J2" s="27"/>
      <c r="K2" s="27"/>
    </row>
    <row r="3" spans="1:11" ht="23.25" customHeight="1" x14ac:dyDescent="0.4">
      <c r="A3" s="27"/>
      <c r="B3" s="28" t="str">
        <f ca="1">MID(CELL("filename",B3),FIND("]",CELL("filename",B3))+1,256)</f>
        <v>Reported Financials</v>
      </c>
      <c r="C3" s="27"/>
      <c r="D3" s="27"/>
      <c r="E3" s="27"/>
      <c r="F3" s="27"/>
      <c r="G3" s="27"/>
      <c r="H3" s="27"/>
      <c r="I3" s="27"/>
      <c r="J3" s="27"/>
      <c r="K3" s="27"/>
    </row>
    <row r="4" spans="1:11" ht="12" customHeight="1" x14ac:dyDescent="0.35">
      <c r="A4" s="15"/>
      <c r="B4" s="15"/>
      <c r="C4" s="15"/>
      <c r="D4" s="15"/>
      <c r="E4" s="15"/>
      <c r="F4" s="15"/>
      <c r="G4" s="15"/>
      <c r="H4" s="15"/>
      <c r="I4" s="15"/>
      <c r="J4" s="15"/>
      <c r="K4" s="15"/>
    </row>
    <row r="5" spans="1:11" ht="12" customHeight="1" x14ac:dyDescent="0.35"/>
    <row r="6" spans="1:11" ht="15" customHeight="1" x14ac:dyDescent="0.35">
      <c r="G6" s="29" t="s">
        <v>94</v>
      </c>
    </row>
    <row r="7" spans="1:11" ht="15" customHeight="1" x14ac:dyDescent="0.35">
      <c r="B7" s="30" t="s">
        <v>95</v>
      </c>
      <c r="C7" s="31" t="s">
        <v>1057</v>
      </c>
      <c r="D7" s="32"/>
      <c r="E7" s="33" t="s">
        <v>97</v>
      </c>
      <c r="F7" s="33" t="str">
        <f>TEXT(VALUE(LEFT(E7, 4)) + 1, "####")&amp;IF(VALUE(LEFT(E7, 4)) + 1 &lt;= 2025, "A", "P")</f>
        <v>2023A</v>
      </c>
      <c r="G7" s="33" t="str">
        <f>TEXT(VALUE(LEFT(F7, 4)) + 1, "####")&amp;IF(VALUE(LEFT(F7, 4)) + 1 &lt;= 2025, "A", "P")</f>
        <v>2024A</v>
      </c>
      <c r="H7" s="33" t="str">
        <f>TEXT(VALUE(LEFT(G7, 4)) + 1, "####")&amp;IF(VALUE(LEFT(G7, 4)) + 1 &lt;= 2025, "A", "P")</f>
        <v>2025A</v>
      </c>
      <c r="J7" s="34" t="s">
        <v>1058</v>
      </c>
    </row>
    <row r="8" spans="1:11" ht="15" customHeight="1" x14ac:dyDescent="0.35">
      <c r="B8" s="35" t="s">
        <v>99</v>
      </c>
      <c r="C8" s="36"/>
      <c r="D8" s="36"/>
      <c r="E8" s="37">
        <v>44926</v>
      </c>
      <c r="F8" s="37">
        <v>45291</v>
      </c>
      <c r="G8" s="37">
        <v>45657</v>
      </c>
      <c r="H8" s="37">
        <v>46022</v>
      </c>
    </row>
    <row r="10" spans="1:11" ht="15" customHeight="1" x14ac:dyDescent="0.35">
      <c r="A10" s="38" t="s">
        <v>5</v>
      </c>
      <c r="B10" s="39" t="s">
        <v>1059</v>
      </c>
      <c r="C10" s="27"/>
      <c r="D10" s="27"/>
      <c r="E10" s="27"/>
      <c r="F10" s="27"/>
      <c r="G10" s="27"/>
      <c r="H10" s="27"/>
      <c r="I10" s="15"/>
      <c r="J10" s="15"/>
    </row>
    <row r="12" spans="1:11" ht="15" customHeight="1" x14ac:dyDescent="0.35">
      <c r="B12" s="40" t="s">
        <v>1060</v>
      </c>
      <c r="C12" s="41" t="s">
        <v>1061</v>
      </c>
      <c r="F12" s="93">
        <v>7176</v>
      </c>
      <c r="G12" s="93">
        <v>7715</v>
      </c>
      <c r="H12" s="93">
        <v>9935</v>
      </c>
      <c r="J12" s="43" t="s">
        <v>1062</v>
      </c>
    </row>
    <row r="13" spans="1:11" ht="15" customHeight="1" x14ac:dyDescent="0.35">
      <c r="B13" s="44" t="s">
        <v>104</v>
      </c>
      <c r="G13" s="45">
        <f>G12/F12-1</f>
        <v>7.5111482720178424E-2</v>
      </c>
      <c r="H13" s="45">
        <f>H12/G12-1</f>
        <v>0.28775113415424491</v>
      </c>
      <c r="J13" s="43" t="s">
        <v>1063</v>
      </c>
    </row>
    <row r="14" spans="1:11" ht="15" customHeight="1" x14ac:dyDescent="0.35">
      <c r="B14" s="40" t="s">
        <v>1064</v>
      </c>
      <c r="C14" s="41" t="s">
        <v>1065</v>
      </c>
      <c r="F14" s="49">
        <f>SUM(F15:F17)</f>
        <v>696</v>
      </c>
      <c r="G14" s="49">
        <f>SUM(G15:G17)</f>
        <v>132</v>
      </c>
      <c r="H14" s="49">
        <f>SUM(H15:H17)</f>
        <v>521</v>
      </c>
    </row>
    <row r="15" spans="1:11" ht="15" customHeight="1" x14ac:dyDescent="0.35">
      <c r="B15" s="40" t="s">
        <v>1066</v>
      </c>
      <c r="C15" s="41" t="s">
        <v>1065</v>
      </c>
      <c r="F15" s="93">
        <v>607</v>
      </c>
      <c r="G15" s="93">
        <v>6</v>
      </c>
      <c r="H15" s="93">
        <v>407</v>
      </c>
    </row>
    <row r="16" spans="1:11" ht="15" customHeight="1" x14ac:dyDescent="0.35">
      <c r="B16" s="40" t="s">
        <v>1067</v>
      </c>
      <c r="C16" s="41" t="s">
        <v>1065</v>
      </c>
      <c r="F16" s="93">
        <v>89</v>
      </c>
      <c r="G16" s="93">
        <v>126</v>
      </c>
      <c r="H16" s="93">
        <v>114</v>
      </c>
    </row>
    <row r="17" spans="2:10" ht="15" customHeight="1" x14ac:dyDescent="0.35">
      <c r="B17" s="40" t="s">
        <v>1068</v>
      </c>
      <c r="F17" s="94">
        <f>F236-(SUM(F15:F16))</f>
        <v>0</v>
      </c>
      <c r="G17" s="94">
        <f>G236-(SUM(G15:G16))</f>
        <v>0</v>
      </c>
      <c r="H17" s="94">
        <f>H236-(SUM(H15:H16))</f>
        <v>0</v>
      </c>
      <c r="J17" s="43" t="s">
        <v>1069</v>
      </c>
    </row>
    <row r="18" spans="2:10" ht="15" customHeight="1" x14ac:dyDescent="0.35">
      <c r="B18" s="46" t="s">
        <v>1070</v>
      </c>
      <c r="C18" s="47"/>
      <c r="D18" s="47"/>
      <c r="E18" s="47"/>
      <c r="F18" s="48">
        <f>F12+F14</f>
        <v>7872</v>
      </c>
      <c r="G18" s="48">
        <f>G12+G14</f>
        <v>7847</v>
      </c>
      <c r="H18" s="48">
        <f>H12+H14</f>
        <v>10456</v>
      </c>
    </row>
    <row r="20" spans="2:10" ht="15" customHeight="1" x14ac:dyDescent="0.35">
      <c r="B20" s="40" t="s">
        <v>1071</v>
      </c>
      <c r="C20" s="41" t="s">
        <v>1072</v>
      </c>
      <c r="F20" s="49">
        <f>SUM(F21:F29)</f>
        <v>153</v>
      </c>
      <c r="G20" s="49">
        <f>SUM(G21:G29)</f>
        <v>178</v>
      </c>
      <c r="H20" s="49">
        <f>SUM(H21:H29)</f>
        <v>273</v>
      </c>
    </row>
    <row r="21" spans="2:10" ht="15" customHeight="1" x14ac:dyDescent="0.35">
      <c r="B21" s="40" t="s">
        <v>1073</v>
      </c>
      <c r="C21" s="41" t="s">
        <v>1072</v>
      </c>
      <c r="F21" s="93">
        <v>5</v>
      </c>
      <c r="G21" s="93">
        <v>21</v>
      </c>
      <c r="H21" s="93">
        <v>118</v>
      </c>
      <c r="J21" s="43" t="s">
        <v>1074</v>
      </c>
    </row>
    <row r="22" spans="2:10" ht="15" customHeight="1" x14ac:dyDescent="0.35">
      <c r="B22" s="40" t="s">
        <v>1075</v>
      </c>
      <c r="C22" s="41" t="s">
        <v>1072</v>
      </c>
      <c r="F22" s="93">
        <v>16</v>
      </c>
      <c r="G22" s="93">
        <v>26</v>
      </c>
      <c r="H22" s="93">
        <v>48</v>
      </c>
    </row>
    <row r="23" spans="2:10" ht="15" customHeight="1" x14ac:dyDescent="0.35">
      <c r="B23" s="40" t="s">
        <v>1076</v>
      </c>
      <c r="C23" s="41" t="s">
        <v>1072</v>
      </c>
      <c r="F23" s="93">
        <v>53</v>
      </c>
      <c r="G23" s="93">
        <v>55</v>
      </c>
      <c r="H23" s="93">
        <v>44</v>
      </c>
    </row>
    <row r="24" spans="2:10" ht="15" customHeight="1" x14ac:dyDescent="0.35">
      <c r="B24" s="40" t="s">
        <v>1077</v>
      </c>
      <c r="C24" s="41" t="s">
        <v>1072</v>
      </c>
      <c r="F24" s="93">
        <v>6</v>
      </c>
      <c r="G24" s="93">
        <v>7</v>
      </c>
      <c r="H24" s="93">
        <v>12</v>
      </c>
    </row>
    <row r="25" spans="2:10" ht="15" customHeight="1" x14ac:dyDescent="0.35">
      <c r="B25" s="40" t="s">
        <v>1078</v>
      </c>
      <c r="C25" s="41" t="s">
        <v>1072</v>
      </c>
      <c r="F25" s="93">
        <v>8</v>
      </c>
      <c r="G25" s="93">
        <v>5</v>
      </c>
      <c r="H25" s="93">
        <v>4</v>
      </c>
    </row>
    <row r="26" spans="2:10" ht="15" customHeight="1" x14ac:dyDescent="0.35">
      <c r="B26" s="40" t="s">
        <v>1079</v>
      </c>
      <c r="C26" s="41" t="s">
        <v>1072</v>
      </c>
      <c r="F26" s="93">
        <v>0</v>
      </c>
      <c r="G26" s="93">
        <v>2</v>
      </c>
      <c r="H26" s="93">
        <v>1</v>
      </c>
    </row>
    <row r="27" spans="2:10" ht="15" customHeight="1" x14ac:dyDescent="0.35">
      <c r="B27" s="40" t="s">
        <v>1080</v>
      </c>
      <c r="C27" s="41" t="s">
        <v>1072</v>
      </c>
      <c r="F27" s="93">
        <v>2</v>
      </c>
      <c r="G27" s="93">
        <v>2</v>
      </c>
      <c r="H27" s="93">
        <v>0</v>
      </c>
    </row>
    <row r="28" spans="2:10" ht="15" customHeight="1" x14ac:dyDescent="0.35">
      <c r="B28" s="40" t="s">
        <v>1081</v>
      </c>
      <c r="C28" s="41" t="s">
        <v>1072</v>
      </c>
      <c r="F28" s="93">
        <v>64</v>
      </c>
      <c r="G28" s="93">
        <v>60</v>
      </c>
      <c r="H28" s="93">
        <v>47</v>
      </c>
    </row>
    <row r="29" spans="2:10" ht="15" customHeight="1" x14ac:dyDescent="0.35">
      <c r="B29" s="40" t="s">
        <v>1068</v>
      </c>
      <c r="F29" s="94">
        <f>F238-(SUM(F21:F28))</f>
        <v>-1</v>
      </c>
      <c r="G29" s="94">
        <f>G238-(SUM(G21:G28))</f>
        <v>0</v>
      </c>
      <c r="H29" s="94">
        <f>H238-(SUM(H21:H28))</f>
        <v>-1</v>
      </c>
      <c r="J29" s="43" t="s">
        <v>1069</v>
      </c>
    </row>
    <row r="31" spans="2:10" ht="15" customHeight="1" x14ac:dyDescent="0.35">
      <c r="B31" s="40" t="s">
        <v>1082</v>
      </c>
      <c r="C31" s="41" t="s">
        <v>1083</v>
      </c>
      <c r="F31" s="49">
        <f>SUM(F32:F34)</f>
        <v>-3935</v>
      </c>
      <c r="G31" s="49">
        <f>SUM(G32:G34)</f>
        <v>-3693</v>
      </c>
      <c r="H31" s="49">
        <f>SUM(H32:H34)</f>
        <v>-5252</v>
      </c>
      <c r="J31" s="43" t="s">
        <v>1084</v>
      </c>
    </row>
    <row r="32" spans="2:10" ht="15" customHeight="1" x14ac:dyDescent="0.35">
      <c r="B32" s="40" t="s">
        <v>1085</v>
      </c>
      <c r="C32" s="41" t="s">
        <v>1083</v>
      </c>
      <c r="F32" s="93">
        <v>-2883</v>
      </c>
      <c r="G32" s="93">
        <v>-2435</v>
      </c>
      <c r="H32" s="93">
        <v>-3784</v>
      </c>
    </row>
    <row r="33" spans="2:10" ht="15" customHeight="1" x14ac:dyDescent="0.35">
      <c r="B33" s="40" t="s">
        <v>1086</v>
      </c>
      <c r="C33" s="41" t="s">
        <v>1083</v>
      </c>
      <c r="F33" s="93">
        <v>-1053</v>
      </c>
      <c r="G33" s="93">
        <v>-1258</v>
      </c>
      <c r="H33" s="93">
        <v>-1469</v>
      </c>
    </row>
    <row r="34" spans="2:10" ht="15" customHeight="1" x14ac:dyDescent="0.35">
      <c r="B34" s="40" t="s">
        <v>1068</v>
      </c>
      <c r="F34" s="94">
        <f>F239-(SUM(F32:F33))</f>
        <v>1</v>
      </c>
      <c r="G34" s="94">
        <f>G239-(SUM(G32:G33))</f>
        <v>0</v>
      </c>
      <c r="H34" s="94">
        <f>H239-(SUM(H32:H33))</f>
        <v>1</v>
      </c>
      <c r="J34" s="43" t="s">
        <v>1069</v>
      </c>
    </row>
    <row r="35" spans="2:10" ht="15" customHeight="1" x14ac:dyDescent="0.35">
      <c r="B35" s="40" t="s">
        <v>1087</v>
      </c>
      <c r="C35" s="41" t="s">
        <v>1088</v>
      </c>
      <c r="F35" s="49">
        <f>SUM(F36:F40)</f>
        <v>-2047</v>
      </c>
      <c r="G35" s="49">
        <f>SUM(G36:G40)</f>
        <v>-1844</v>
      </c>
      <c r="H35" s="49">
        <f>SUM(H36:H40)</f>
        <v>-2314</v>
      </c>
    </row>
    <row r="36" spans="2:10" ht="15" customHeight="1" x14ac:dyDescent="0.35">
      <c r="B36" s="40" t="s">
        <v>1089</v>
      </c>
      <c r="C36" s="41" t="s">
        <v>1088</v>
      </c>
      <c r="F36" s="93">
        <v>-1711</v>
      </c>
      <c r="G36" s="93">
        <v>-1533</v>
      </c>
      <c r="H36" s="93">
        <v>-1907</v>
      </c>
    </row>
    <row r="37" spans="2:10" ht="15" customHeight="1" x14ac:dyDescent="0.35">
      <c r="B37" s="40" t="s">
        <v>1090</v>
      </c>
      <c r="C37" s="41" t="s">
        <v>1088</v>
      </c>
      <c r="F37" s="93">
        <v>-205</v>
      </c>
      <c r="G37" s="93">
        <v>-194</v>
      </c>
      <c r="H37" s="93">
        <v>-264</v>
      </c>
    </row>
    <row r="38" spans="2:10" ht="15" customHeight="1" x14ac:dyDescent="0.35">
      <c r="B38" s="40" t="s">
        <v>1091</v>
      </c>
      <c r="C38" s="41" t="s">
        <v>1088</v>
      </c>
      <c r="F38" s="93">
        <v>-115</v>
      </c>
      <c r="G38" s="93">
        <v>-104</v>
      </c>
      <c r="H38" s="93">
        <v>-128</v>
      </c>
    </row>
    <row r="39" spans="2:10" ht="15" customHeight="1" x14ac:dyDescent="0.35">
      <c r="B39" s="40" t="s">
        <v>1092</v>
      </c>
      <c r="C39" s="41" t="s">
        <v>1088</v>
      </c>
      <c r="F39" s="93">
        <v>-16</v>
      </c>
      <c r="G39" s="93">
        <v>-13</v>
      </c>
      <c r="H39" s="93">
        <v>-16</v>
      </c>
    </row>
    <row r="40" spans="2:10" ht="15" customHeight="1" x14ac:dyDescent="0.35">
      <c r="B40" s="40" t="s">
        <v>1068</v>
      </c>
      <c r="F40" s="94">
        <f>F240-(SUM(F36:F39))</f>
        <v>0</v>
      </c>
      <c r="G40" s="94">
        <f>G240-(SUM(G36:G39))</f>
        <v>0</v>
      </c>
      <c r="H40" s="94">
        <f>H240-(SUM(H36:H39))</f>
        <v>1</v>
      </c>
      <c r="J40" s="43" t="s">
        <v>1069</v>
      </c>
    </row>
    <row r="41" spans="2:10" ht="15" customHeight="1" x14ac:dyDescent="0.35">
      <c r="B41" s="40" t="s">
        <v>1093</v>
      </c>
      <c r="C41" s="41" t="s">
        <v>1094</v>
      </c>
      <c r="F41" s="49">
        <f>SUM(F42:F45)</f>
        <v>-308</v>
      </c>
      <c r="G41" s="49">
        <f>SUM(G42:G45)</f>
        <v>-284</v>
      </c>
      <c r="H41" s="49">
        <f>SUM(H42:H45)</f>
        <v>-406</v>
      </c>
    </row>
    <row r="42" spans="2:10" ht="15" customHeight="1" x14ac:dyDescent="0.35">
      <c r="B42" s="40" t="s">
        <v>420</v>
      </c>
      <c r="C42" s="41" t="s">
        <v>1094</v>
      </c>
      <c r="F42" s="93">
        <v>-87</v>
      </c>
      <c r="G42" s="93">
        <v>-132</v>
      </c>
      <c r="H42" s="93">
        <v>-185</v>
      </c>
    </row>
    <row r="43" spans="2:10" ht="15" customHeight="1" x14ac:dyDescent="0.35">
      <c r="B43" s="40" t="s">
        <v>421</v>
      </c>
      <c r="C43" s="41" t="s">
        <v>1094</v>
      </c>
      <c r="F43" s="93">
        <v>-47</v>
      </c>
      <c r="G43" s="93">
        <v>-41</v>
      </c>
      <c r="H43" s="93">
        <v>-51</v>
      </c>
    </row>
    <row r="44" spans="2:10" ht="15" customHeight="1" x14ac:dyDescent="0.35">
      <c r="B44" s="40" t="s">
        <v>1095</v>
      </c>
      <c r="C44" s="41" t="s">
        <v>1094</v>
      </c>
      <c r="F44" s="93">
        <v>-174</v>
      </c>
      <c r="G44" s="93">
        <v>-110</v>
      </c>
      <c r="H44" s="93">
        <v>-169</v>
      </c>
    </row>
    <row r="45" spans="2:10" ht="15" customHeight="1" x14ac:dyDescent="0.35">
      <c r="B45" s="40" t="s">
        <v>1068</v>
      </c>
      <c r="F45" s="94">
        <f>F241-(SUM(F42:F44))</f>
        <v>0</v>
      </c>
      <c r="G45" s="94">
        <f>G241-(SUM(G42:G44))</f>
        <v>-1</v>
      </c>
      <c r="H45" s="94">
        <f>H241-(SUM(H42:H44))</f>
        <v>-1</v>
      </c>
      <c r="J45" s="43" t="s">
        <v>1069</v>
      </c>
    </row>
    <row r="46" spans="2:10" ht="15" customHeight="1" x14ac:dyDescent="0.35">
      <c r="B46" s="44" t="s">
        <v>1096</v>
      </c>
      <c r="F46" s="45">
        <f>-F41/F12</f>
        <v>4.2920847268673352E-2</v>
      </c>
      <c r="G46" s="45">
        <f>-G41/G12</f>
        <v>3.6811406351263773E-2</v>
      </c>
      <c r="H46" s="45">
        <f>-H41/H12</f>
        <v>4.0865626572722698E-2</v>
      </c>
    </row>
    <row r="47" spans="2:10" ht="15" customHeight="1" x14ac:dyDescent="0.35">
      <c r="B47" s="40" t="s">
        <v>1097</v>
      </c>
      <c r="C47" s="41" t="s">
        <v>1098</v>
      </c>
      <c r="F47" s="49">
        <f>SUM(F48:F64)</f>
        <v>-889</v>
      </c>
      <c r="G47" s="49">
        <f>SUM(G48:G64)</f>
        <v>-891</v>
      </c>
      <c r="H47" s="49">
        <f>SUM(H48:H64)</f>
        <v>-1112</v>
      </c>
    </row>
    <row r="48" spans="2:10" ht="15" customHeight="1" x14ac:dyDescent="0.35">
      <c r="B48" s="40" t="s">
        <v>1099</v>
      </c>
      <c r="C48" s="41" t="s">
        <v>1098</v>
      </c>
      <c r="F48" s="93">
        <v>-175</v>
      </c>
      <c r="G48" s="93">
        <v>-179</v>
      </c>
      <c r="H48" s="93">
        <v>-252</v>
      </c>
    </row>
    <row r="49" spans="2:10" ht="15" customHeight="1" x14ac:dyDescent="0.35">
      <c r="B49" s="40" t="s">
        <v>1100</v>
      </c>
      <c r="C49" s="41" t="s">
        <v>1098</v>
      </c>
      <c r="F49" s="93">
        <v>-159</v>
      </c>
      <c r="G49" s="93">
        <v>-163</v>
      </c>
      <c r="H49" s="93">
        <v>-159</v>
      </c>
    </row>
    <row r="50" spans="2:10" ht="15" customHeight="1" x14ac:dyDescent="0.35">
      <c r="B50" s="40" t="s">
        <v>1101</v>
      </c>
      <c r="C50" s="41" t="s">
        <v>1098</v>
      </c>
      <c r="F50" s="93">
        <v>-117</v>
      </c>
      <c r="G50" s="93">
        <v>-110</v>
      </c>
      <c r="H50" s="93">
        <v>-133</v>
      </c>
    </row>
    <row r="51" spans="2:10" ht="15" customHeight="1" x14ac:dyDescent="0.35">
      <c r="B51" s="40" t="s">
        <v>291</v>
      </c>
      <c r="C51" s="41" t="s">
        <v>1098</v>
      </c>
      <c r="F51" s="93">
        <v>-74</v>
      </c>
      <c r="G51" s="93">
        <v>-76</v>
      </c>
      <c r="H51" s="93">
        <v>-97</v>
      </c>
    </row>
    <row r="52" spans="2:10" ht="15" customHeight="1" x14ac:dyDescent="0.35">
      <c r="B52" s="40" t="s">
        <v>1102</v>
      </c>
      <c r="C52" s="41" t="s">
        <v>1098</v>
      </c>
      <c r="F52" s="93">
        <v>-54</v>
      </c>
      <c r="G52" s="93">
        <v>-65</v>
      </c>
      <c r="H52" s="93">
        <v>-93</v>
      </c>
    </row>
    <row r="53" spans="2:10" ht="15" customHeight="1" x14ac:dyDescent="0.35">
      <c r="B53" s="40" t="s">
        <v>1103</v>
      </c>
      <c r="C53" s="41" t="s">
        <v>1098</v>
      </c>
      <c r="F53" s="93">
        <v>-58</v>
      </c>
      <c r="G53" s="93">
        <v>-57</v>
      </c>
      <c r="H53" s="93">
        <v>-65</v>
      </c>
    </row>
    <row r="54" spans="2:10" ht="15" customHeight="1" x14ac:dyDescent="0.35">
      <c r="B54" s="40" t="s">
        <v>1104</v>
      </c>
      <c r="C54" s="41" t="s">
        <v>1098</v>
      </c>
      <c r="F54" s="93">
        <v>-43</v>
      </c>
      <c r="G54" s="93">
        <v>-42</v>
      </c>
      <c r="H54" s="93">
        <v>-52</v>
      </c>
    </row>
    <row r="55" spans="2:10" ht="15" customHeight="1" x14ac:dyDescent="0.35">
      <c r="B55" s="40" t="s">
        <v>1105</v>
      </c>
      <c r="C55" s="41" t="s">
        <v>1098</v>
      </c>
      <c r="F55" s="93">
        <v>-4</v>
      </c>
      <c r="G55" s="93">
        <v>-14</v>
      </c>
      <c r="H55" s="93">
        <v>-47</v>
      </c>
    </row>
    <row r="56" spans="2:10" ht="15" customHeight="1" x14ac:dyDescent="0.35">
      <c r="B56" s="40" t="s">
        <v>1106</v>
      </c>
      <c r="C56" s="41" t="s">
        <v>1098</v>
      </c>
      <c r="F56" s="93">
        <v>-50</v>
      </c>
      <c r="G56" s="93">
        <v>-50</v>
      </c>
      <c r="H56" s="93">
        <v>-41</v>
      </c>
    </row>
    <row r="57" spans="2:10" ht="15" customHeight="1" x14ac:dyDescent="0.35">
      <c r="B57" s="40" t="s">
        <v>1107</v>
      </c>
      <c r="C57" s="41" t="s">
        <v>1098</v>
      </c>
      <c r="F57" s="93">
        <v>-7</v>
      </c>
      <c r="G57" s="93">
        <v>-2</v>
      </c>
      <c r="H57" s="93">
        <v>-33</v>
      </c>
    </row>
    <row r="58" spans="2:10" ht="15" customHeight="1" x14ac:dyDescent="0.35">
      <c r="B58" s="40" t="s">
        <v>1108</v>
      </c>
      <c r="C58" s="41" t="s">
        <v>1098</v>
      </c>
      <c r="F58" s="93">
        <v>-31</v>
      </c>
      <c r="G58" s="93">
        <v>-21</v>
      </c>
      <c r="H58" s="93">
        <v>-29</v>
      </c>
    </row>
    <row r="59" spans="2:10" ht="15" customHeight="1" x14ac:dyDescent="0.35">
      <c r="B59" s="40" t="s">
        <v>1109</v>
      </c>
      <c r="C59" s="41" t="s">
        <v>1098</v>
      </c>
      <c r="F59" s="93">
        <v>-13</v>
      </c>
      <c r="G59" s="93">
        <v>-15</v>
      </c>
      <c r="H59" s="93">
        <v>-20</v>
      </c>
    </row>
    <row r="60" spans="2:10" ht="15" customHeight="1" x14ac:dyDescent="0.35">
      <c r="B60" s="40" t="s">
        <v>1110</v>
      </c>
      <c r="C60" s="41" t="s">
        <v>1098</v>
      </c>
      <c r="F60" s="93">
        <v>-11</v>
      </c>
      <c r="G60" s="93">
        <v>-14</v>
      </c>
      <c r="H60" s="93">
        <v>-10</v>
      </c>
    </row>
    <row r="61" spans="2:10" ht="15" customHeight="1" x14ac:dyDescent="0.35">
      <c r="B61" s="40" t="s">
        <v>1111</v>
      </c>
      <c r="C61" s="41" t="s">
        <v>1098</v>
      </c>
      <c r="F61" s="93">
        <v>-8</v>
      </c>
      <c r="G61" s="93">
        <v>-21</v>
      </c>
      <c r="H61" s="93">
        <v>-9</v>
      </c>
    </row>
    <row r="62" spans="2:10" ht="15" customHeight="1" x14ac:dyDescent="0.35">
      <c r="B62" s="40" t="s">
        <v>1112</v>
      </c>
      <c r="C62" s="41" t="s">
        <v>1098</v>
      </c>
      <c r="F62" s="93">
        <v>-10</v>
      </c>
      <c r="G62" s="93">
        <v>-7</v>
      </c>
      <c r="H62" s="93">
        <v>-9</v>
      </c>
    </row>
    <row r="63" spans="2:10" ht="15" customHeight="1" x14ac:dyDescent="0.35">
      <c r="B63" s="40" t="s">
        <v>1113</v>
      </c>
      <c r="C63" s="41" t="s">
        <v>1098</v>
      </c>
      <c r="F63" s="93">
        <v>-75</v>
      </c>
      <c r="G63" s="93">
        <v>-54</v>
      </c>
      <c r="H63" s="93">
        <v>-62</v>
      </c>
    </row>
    <row r="64" spans="2:10" ht="15" customHeight="1" x14ac:dyDescent="0.35">
      <c r="B64" s="40" t="s">
        <v>1068</v>
      </c>
      <c r="F64" s="94">
        <f>F242-(SUM(F48:F63))</f>
        <v>0</v>
      </c>
      <c r="G64" s="94">
        <f>G242-(SUM(G48:G63))</f>
        <v>-1</v>
      </c>
      <c r="H64" s="94">
        <f>H242-(SUM(H48:H63))</f>
        <v>-1</v>
      </c>
      <c r="J64" s="43" t="s">
        <v>1069</v>
      </c>
    </row>
    <row r="66" spans="2:10" ht="15" customHeight="1" x14ac:dyDescent="0.35">
      <c r="B66" s="40" t="s">
        <v>1114</v>
      </c>
      <c r="C66" s="41" t="s">
        <v>1115</v>
      </c>
      <c r="F66" s="93">
        <v>57</v>
      </c>
      <c r="G66" s="93">
        <v>-33</v>
      </c>
      <c r="H66" s="93">
        <v>47</v>
      </c>
      <c r="J66" s="43" t="s">
        <v>1116</v>
      </c>
    </row>
    <row r="67" spans="2:10" ht="15" customHeight="1" x14ac:dyDescent="0.35">
      <c r="B67" s="40" t="s">
        <v>1117</v>
      </c>
      <c r="F67" s="93">
        <v>-6</v>
      </c>
      <c r="G67" s="93">
        <v>-9</v>
      </c>
      <c r="H67" s="93">
        <v>-7</v>
      </c>
      <c r="J67" s="43" t="s">
        <v>1118</v>
      </c>
    </row>
    <row r="68" spans="2:10" ht="15" customHeight="1" x14ac:dyDescent="0.35">
      <c r="B68" s="40" t="s">
        <v>1119</v>
      </c>
      <c r="F68" s="94">
        <f>F243-(F18+F20+F31+F35+F41+F47+F66+F67)</f>
        <v>0</v>
      </c>
      <c r="G68" s="94">
        <f>G243-(G18+G20+G31+G35+G41+G47+G66+G67)</f>
        <v>-1</v>
      </c>
      <c r="H68" s="94">
        <f>H243-(H18+H20+H31+H35+H41+H47+H66+H67)</f>
        <v>-1</v>
      </c>
      <c r="J68" s="43" t="s">
        <v>1069</v>
      </c>
    </row>
    <row r="69" spans="2:10" ht="15" customHeight="1" x14ac:dyDescent="0.35">
      <c r="B69" s="46" t="s">
        <v>1120</v>
      </c>
      <c r="C69" s="47"/>
      <c r="D69" s="47"/>
      <c r="E69" s="47"/>
      <c r="F69" s="48">
        <f>F18+F20+F31+F35+F41+F47+F66+F67+F68</f>
        <v>897</v>
      </c>
      <c r="G69" s="48">
        <f>G18+G20+G31+G35+G41+G47+G66+G67+G68</f>
        <v>1270</v>
      </c>
      <c r="H69" s="48">
        <f>H18+H20+H31+H35+H41+H47+H66+H67+H68</f>
        <v>1684</v>
      </c>
    </row>
    <row r="70" spans="2:10" ht="15" customHeight="1" x14ac:dyDescent="0.35">
      <c r="B70" s="44" t="s">
        <v>1121</v>
      </c>
      <c r="F70" s="45">
        <f>F69/F12</f>
        <v>0.125</v>
      </c>
      <c r="G70" s="45">
        <f>G69/G12</f>
        <v>0.16461438755670771</v>
      </c>
      <c r="H70" s="45">
        <f>H69/H12</f>
        <v>0.16950176144942125</v>
      </c>
    </row>
    <row r="71" spans="2:10" ht="15" customHeight="1" x14ac:dyDescent="0.35">
      <c r="B71" s="40" t="s">
        <v>1122</v>
      </c>
      <c r="F71" s="93">
        <v>29</v>
      </c>
      <c r="G71" s="93">
        <v>14</v>
      </c>
      <c r="H71" s="93">
        <v>4</v>
      </c>
    </row>
    <row r="72" spans="2:10" ht="15" customHeight="1" x14ac:dyDescent="0.35">
      <c r="B72" s="40" t="s">
        <v>1123</v>
      </c>
      <c r="F72" s="93">
        <v>-111</v>
      </c>
      <c r="G72" s="93">
        <v>-116</v>
      </c>
      <c r="H72" s="93">
        <v>-116</v>
      </c>
      <c r="J72" s="43" t="s">
        <v>1124</v>
      </c>
    </row>
    <row r="73" spans="2:10" ht="15" customHeight="1" x14ac:dyDescent="0.35">
      <c r="B73" s="46" t="s">
        <v>1125</v>
      </c>
      <c r="C73" s="47"/>
      <c r="D73" s="47"/>
      <c r="E73" s="47"/>
      <c r="F73" s="48">
        <f>F69+F71+F72</f>
        <v>815</v>
      </c>
      <c r="G73" s="48">
        <f>G69+G71+G72</f>
        <v>1168</v>
      </c>
      <c r="H73" s="48">
        <f>H69+H71+H72</f>
        <v>1572</v>
      </c>
    </row>
    <row r="74" spans="2:10" ht="15" customHeight="1" x14ac:dyDescent="0.35">
      <c r="B74" s="40" t="s">
        <v>210</v>
      </c>
      <c r="C74" s="41" t="s">
        <v>1126</v>
      </c>
      <c r="F74" s="93">
        <v>-185</v>
      </c>
      <c r="G74" s="93">
        <v>-328</v>
      </c>
      <c r="H74" s="93">
        <v>-396</v>
      </c>
    </row>
    <row r="75" spans="2:10" ht="15" customHeight="1" x14ac:dyDescent="0.35">
      <c r="B75" s="44" t="s">
        <v>1127</v>
      </c>
      <c r="F75" s="45">
        <f>-F74/F73</f>
        <v>0.22699386503067484</v>
      </c>
      <c r="G75" s="45">
        <f>-G74/G73</f>
        <v>0.28082191780821919</v>
      </c>
      <c r="H75" s="45">
        <f>-H74/H73</f>
        <v>0.25190839694656486</v>
      </c>
    </row>
    <row r="76" spans="2:10" ht="15" customHeight="1" x14ac:dyDescent="0.35">
      <c r="B76" s="46" t="s">
        <v>1128</v>
      </c>
      <c r="C76" s="47"/>
      <c r="D76" s="47"/>
      <c r="E76" s="47"/>
      <c r="F76" s="48">
        <f>F73+F74</f>
        <v>630</v>
      </c>
      <c r="G76" s="48">
        <f>G73+G74</f>
        <v>840</v>
      </c>
      <c r="H76" s="48">
        <f>H73+H74</f>
        <v>1176</v>
      </c>
    </row>
    <row r="77" spans="2:10" ht="15" customHeight="1" x14ac:dyDescent="0.35">
      <c r="B77" s="40" t="s">
        <v>1129</v>
      </c>
      <c r="C77" s="41" t="s">
        <v>1130</v>
      </c>
      <c r="F77" s="93">
        <v>-44</v>
      </c>
      <c r="G77" s="93">
        <v>-32</v>
      </c>
      <c r="H77" s="93">
        <v>-341</v>
      </c>
      <c r="J77" s="43" t="s">
        <v>1131</v>
      </c>
    </row>
    <row r="78" spans="2:10" ht="15" customHeight="1" x14ac:dyDescent="0.35">
      <c r="B78" s="46" t="s">
        <v>1132</v>
      </c>
      <c r="C78" s="47"/>
      <c r="D78" s="47"/>
      <c r="E78" s="47"/>
      <c r="F78" s="48">
        <f>F76+F77</f>
        <v>586</v>
      </c>
      <c r="G78" s="48">
        <f>G76+G77</f>
        <v>808</v>
      </c>
      <c r="H78" s="48">
        <f>H76+H77</f>
        <v>835</v>
      </c>
    </row>
    <row r="79" spans="2:10" ht="15" customHeight="1" x14ac:dyDescent="0.35">
      <c r="B79" s="40" t="s">
        <v>469</v>
      </c>
      <c r="F79" s="93">
        <v>51</v>
      </c>
      <c r="G79" s="93">
        <v>91</v>
      </c>
      <c r="H79" s="93">
        <v>139</v>
      </c>
    </row>
    <row r="80" spans="2:10" ht="15" customHeight="1" x14ac:dyDescent="0.35">
      <c r="B80" s="40" t="s">
        <v>1133</v>
      </c>
      <c r="F80" s="49">
        <f>F78-F79</f>
        <v>535</v>
      </c>
      <c r="G80" s="49">
        <f>G78-G79</f>
        <v>717</v>
      </c>
      <c r="H80" s="49">
        <f>H78-H79</f>
        <v>696</v>
      </c>
    </row>
    <row r="81" spans="1:10" ht="15" customHeight="1" x14ac:dyDescent="0.35">
      <c r="B81" s="44" t="s">
        <v>1134</v>
      </c>
      <c r="F81" s="45">
        <f>F78/F12</f>
        <v>8.1661092530657745E-2</v>
      </c>
      <c r="G81" s="45">
        <f>G78/G12</f>
        <v>0.10473104342190538</v>
      </c>
      <c r="H81" s="45">
        <f>H78/H12</f>
        <v>8.4046300956215403E-2</v>
      </c>
    </row>
    <row r="83" spans="1:10" ht="15" customHeight="1" x14ac:dyDescent="0.35">
      <c r="A83" s="38" t="s">
        <v>5</v>
      </c>
      <c r="B83" s="39" t="s">
        <v>1135</v>
      </c>
      <c r="C83" s="27"/>
      <c r="D83" s="27"/>
      <c r="E83" s="27"/>
      <c r="F83" s="27"/>
      <c r="G83" s="27"/>
      <c r="H83" s="27"/>
      <c r="I83" s="15"/>
      <c r="J83" s="15"/>
    </row>
    <row r="85" spans="1:10" ht="15" customHeight="1" x14ac:dyDescent="0.35">
      <c r="B85" s="40" t="s">
        <v>1136</v>
      </c>
      <c r="C85" s="41" t="s">
        <v>1094</v>
      </c>
      <c r="F85" s="93">
        <v>-47</v>
      </c>
      <c r="G85" s="93">
        <v>-102</v>
      </c>
      <c r="H85" s="93">
        <v>-139</v>
      </c>
      <c r="J85" s="43" t="s">
        <v>1137</v>
      </c>
    </row>
    <row r="86" spans="1:10" ht="15" customHeight="1" x14ac:dyDescent="0.35">
      <c r="B86" s="40" t="s">
        <v>1138</v>
      </c>
      <c r="C86" s="41" t="s">
        <v>1094</v>
      </c>
      <c r="F86" s="93">
        <v>-6</v>
      </c>
      <c r="G86" s="93">
        <v>0</v>
      </c>
      <c r="H86" s="93">
        <v>-17</v>
      </c>
      <c r="J86" s="43" t="s">
        <v>1137</v>
      </c>
    </row>
    <row r="87" spans="1:10" ht="15" customHeight="1" x14ac:dyDescent="0.35">
      <c r="B87" s="40" t="s">
        <v>1139</v>
      </c>
      <c r="C87" s="41" t="s">
        <v>1140</v>
      </c>
      <c r="F87" s="93">
        <v>-10</v>
      </c>
      <c r="G87" s="93">
        <v>-12</v>
      </c>
      <c r="H87" s="93">
        <v>-5</v>
      </c>
      <c r="J87" s="43" t="s">
        <v>1141</v>
      </c>
    </row>
    <row r="88" spans="1:10" ht="15" customHeight="1" x14ac:dyDescent="0.35">
      <c r="B88" s="40" t="s">
        <v>1142</v>
      </c>
      <c r="C88" s="41" t="s">
        <v>1143</v>
      </c>
      <c r="F88" s="93">
        <v>-10</v>
      </c>
      <c r="G88" s="93">
        <v>-10</v>
      </c>
      <c r="H88" s="93">
        <v>-14</v>
      </c>
      <c r="J88" s="43" t="s">
        <v>1144</v>
      </c>
    </row>
    <row r="89" spans="1:10" ht="15" customHeight="1" x14ac:dyDescent="0.35">
      <c r="B89" s="40" t="s">
        <v>1145</v>
      </c>
      <c r="F89" s="93">
        <v>53</v>
      </c>
      <c r="G89" s="93">
        <v>0</v>
      </c>
      <c r="H89" s="93">
        <v>0</v>
      </c>
      <c r="J89" s="43" t="s">
        <v>1146</v>
      </c>
    </row>
    <row r="90" spans="1:10" ht="15" customHeight="1" x14ac:dyDescent="0.35">
      <c r="B90" s="40" t="s">
        <v>1147</v>
      </c>
      <c r="F90" s="93">
        <v>0</v>
      </c>
      <c r="G90" s="93">
        <v>0</v>
      </c>
      <c r="H90" s="93">
        <v>46</v>
      </c>
      <c r="J90" s="43" t="s">
        <v>1148</v>
      </c>
    </row>
    <row r="91" spans="1:10" ht="15" customHeight="1" x14ac:dyDescent="0.35">
      <c r="B91" s="40" t="s">
        <v>1149</v>
      </c>
      <c r="F91" s="93">
        <v>5</v>
      </c>
      <c r="G91" s="93">
        <v>0</v>
      </c>
      <c r="H91" s="93">
        <v>15</v>
      </c>
      <c r="J91" s="43" t="s">
        <v>1150</v>
      </c>
    </row>
    <row r="92" spans="1:10" ht="15" customHeight="1" x14ac:dyDescent="0.35">
      <c r="B92" s="40" t="s">
        <v>1151</v>
      </c>
      <c r="F92" s="93">
        <v>0</v>
      </c>
      <c r="G92" s="93">
        <v>-6</v>
      </c>
      <c r="H92" s="93">
        <v>0</v>
      </c>
      <c r="J92" s="43" t="s">
        <v>1152</v>
      </c>
    </row>
    <row r="93" spans="1:10" ht="15" customHeight="1" x14ac:dyDescent="0.35">
      <c r="B93" s="40" t="s">
        <v>1153</v>
      </c>
      <c r="C93" s="41" t="s">
        <v>1126</v>
      </c>
      <c r="F93" s="93">
        <v>3</v>
      </c>
      <c r="G93" s="93">
        <v>-1</v>
      </c>
      <c r="H93" s="93">
        <v>-11</v>
      </c>
      <c r="J93" s="43" t="s">
        <v>1154</v>
      </c>
    </row>
    <row r="94" spans="1:10" ht="15" customHeight="1" x14ac:dyDescent="0.35">
      <c r="B94" s="40" t="s">
        <v>1155</v>
      </c>
      <c r="F94" s="93">
        <v>2081</v>
      </c>
      <c r="G94" s="93">
        <v>2032</v>
      </c>
      <c r="H94" s="95"/>
      <c r="J94" s="43" t="s">
        <v>1156</v>
      </c>
    </row>
    <row r="95" spans="1:10" ht="15" customHeight="1" x14ac:dyDescent="0.35">
      <c r="B95" s="40" t="s">
        <v>1157</v>
      </c>
      <c r="F95" s="93">
        <v>129</v>
      </c>
      <c r="G95" s="93">
        <v>75</v>
      </c>
      <c r="H95" s="95"/>
      <c r="J95" s="43" t="s">
        <v>1158</v>
      </c>
    </row>
    <row r="96" spans="1:10" ht="15" customHeight="1" x14ac:dyDescent="0.35">
      <c r="B96" s="40" t="s">
        <v>1159</v>
      </c>
      <c r="F96" s="93">
        <v>-1</v>
      </c>
      <c r="G96" s="93">
        <v>-2</v>
      </c>
      <c r="H96" s="93">
        <v>-7</v>
      </c>
      <c r="J96" s="43" t="s">
        <v>1160</v>
      </c>
    </row>
    <row r="97" spans="1:10" ht="15" customHeight="1" x14ac:dyDescent="0.35">
      <c r="B97" s="40" t="s">
        <v>1161</v>
      </c>
      <c r="F97" s="93">
        <v>-6</v>
      </c>
      <c r="G97" s="93">
        <v>11</v>
      </c>
      <c r="H97" s="93">
        <v>-1</v>
      </c>
      <c r="J97" s="43" t="s">
        <v>1162</v>
      </c>
    </row>
    <row r="98" spans="1:10" ht="15" customHeight="1" x14ac:dyDescent="0.35">
      <c r="B98" s="40" t="s">
        <v>1163</v>
      </c>
      <c r="C98" s="41" t="s">
        <v>1072</v>
      </c>
      <c r="F98" s="93">
        <v>0</v>
      </c>
      <c r="G98" s="93">
        <v>0</v>
      </c>
      <c r="H98" s="93">
        <v>97</v>
      </c>
      <c r="J98" s="43" t="s">
        <v>1164</v>
      </c>
    </row>
    <row r="99" spans="1:10" ht="15" customHeight="1" x14ac:dyDescent="0.35">
      <c r="B99" s="40" t="s">
        <v>1165</v>
      </c>
      <c r="C99" s="41" t="s">
        <v>1166</v>
      </c>
      <c r="E99" s="93">
        <v>55</v>
      </c>
      <c r="F99" s="93">
        <v>46</v>
      </c>
      <c r="G99" s="93">
        <v>52</v>
      </c>
      <c r="H99" s="93">
        <v>25</v>
      </c>
      <c r="J99" s="43" t="s">
        <v>1167</v>
      </c>
    </row>
    <row r="100" spans="1:10" ht="15" customHeight="1" x14ac:dyDescent="0.35">
      <c r="B100" s="40" t="s">
        <v>1168</v>
      </c>
      <c r="C100" s="41" t="s">
        <v>1130</v>
      </c>
      <c r="F100" s="93">
        <v>-59</v>
      </c>
      <c r="G100" s="93">
        <v>-17</v>
      </c>
      <c r="H100" s="93">
        <v>-315</v>
      </c>
      <c r="J100" s="43" t="s">
        <v>1169</v>
      </c>
    </row>
    <row r="101" spans="1:10" ht="15" customHeight="1" x14ac:dyDescent="0.35">
      <c r="B101" s="40" t="s">
        <v>1170</v>
      </c>
      <c r="C101" s="41" t="s">
        <v>1130</v>
      </c>
      <c r="F101" s="93">
        <v>15</v>
      </c>
      <c r="G101" s="93">
        <v>-14</v>
      </c>
      <c r="H101" s="93">
        <v>-27</v>
      </c>
      <c r="J101" s="43" t="s">
        <v>1171</v>
      </c>
    </row>
    <row r="102" spans="1:10" ht="15" customHeight="1" x14ac:dyDescent="0.35">
      <c r="B102" s="40" t="s">
        <v>1172</v>
      </c>
      <c r="C102" s="41" t="s">
        <v>1173</v>
      </c>
      <c r="F102" s="93">
        <v>35</v>
      </c>
      <c r="G102" s="93">
        <v>207</v>
      </c>
      <c r="H102" s="93">
        <v>79</v>
      </c>
    </row>
    <row r="103" spans="1:10" ht="15" customHeight="1" x14ac:dyDescent="0.35">
      <c r="B103" s="40" t="s">
        <v>1174</v>
      </c>
      <c r="C103" s="41" t="s">
        <v>1173</v>
      </c>
      <c r="F103" s="93">
        <v>0</v>
      </c>
      <c r="G103" s="93">
        <v>-2</v>
      </c>
      <c r="H103" s="93">
        <v>0</v>
      </c>
    </row>
    <row r="104" spans="1:10" ht="15" customHeight="1" x14ac:dyDescent="0.35">
      <c r="B104" s="40" t="s">
        <v>1175</v>
      </c>
      <c r="C104" s="41" t="s">
        <v>1173</v>
      </c>
      <c r="F104" s="93">
        <v>-25</v>
      </c>
      <c r="G104" s="93">
        <v>16</v>
      </c>
      <c r="H104" s="93">
        <v>43</v>
      </c>
    </row>
    <row r="105" spans="1:10" ht="15" customHeight="1" x14ac:dyDescent="0.35">
      <c r="B105" s="40" t="s">
        <v>1176</v>
      </c>
      <c r="C105" s="41" t="s">
        <v>1173</v>
      </c>
      <c r="F105" s="93">
        <v>7</v>
      </c>
      <c r="G105" s="93">
        <v>12</v>
      </c>
      <c r="H105" s="93">
        <v>-138</v>
      </c>
    </row>
    <row r="106" spans="1:10" ht="15" customHeight="1" x14ac:dyDescent="0.35">
      <c r="B106" s="40" t="s">
        <v>1177</v>
      </c>
      <c r="C106" s="41" t="s">
        <v>1173</v>
      </c>
      <c r="F106" s="93">
        <v>-8</v>
      </c>
      <c r="G106" s="93">
        <v>4</v>
      </c>
      <c r="H106" s="93">
        <v>6</v>
      </c>
    </row>
    <row r="107" spans="1:10" ht="15" customHeight="1" x14ac:dyDescent="0.35">
      <c r="B107" s="40" t="s">
        <v>1178</v>
      </c>
      <c r="C107" s="41" t="s">
        <v>1173</v>
      </c>
      <c r="F107" s="93">
        <v>2</v>
      </c>
      <c r="G107" s="93">
        <v>-47</v>
      </c>
      <c r="H107" s="93">
        <v>-38</v>
      </c>
      <c r="J107" s="43" t="s">
        <v>1179</v>
      </c>
    </row>
    <row r="108" spans="1:10" ht="15" customHeight="1" x14ac:dyDescent="0.35">
      <c r="B108" s="40" t="s">
        <v>1180</v>
      </c>
      <c r="C108" s="41" t="s">
        <v>1181</v>
      </c>
      <c r="F108" s="93">
        <v>-217</v>
      </c>
      <c r="G108" s="93">
        <v>-99</v>
      </c>
      <c r="H108" s="93">
        <v>-105</v>
      </c>
      <c r="J108" s="43" t="s">
        <v>1182</v>
      </c>
    </row>
    <row r="109" spans="1:10" ht="15" customHeight="1" x14ac:dyDescent="0.35">
      <c r="B109" s="44" t="s">
        <v>1183</v>
      </c>
      <c r="C109" s="41" t="s">
        <v>1126</v>
      </c>
      <c r="F109" s="96">
        <v>0.3</v>
      </c>
      <c r="G109" s="96">
        <v>0.3</v>
      </c>
      <c r="H109" s="96">
        <v>0.3</v>
      </c>
      <c r="J109" s="43" t="s">
        <v>1184</v>
      </c>
    </row>
    <row r="111" spans="1:10" ht="15" customHeight="1" x14ac:dyDescent="0.35">
      <c r="A111" s="38" t="s">
        <v>5</v>
      </c>
      <c r="B111" s="39" t="s">
        <v>1185</v>
      </c>
      <c r="C111" s="27"/>
      <c r="D111" s="27"/>
      <c r="E111" s="27"/>
      <c r="F111" s="27"/>
      <c r="G111" s="27"/>
      <c r="H111" s="27"/>
      <c r="I111" s="15"/>
      <c r="J111" s="15"/>
    </row>
    <row r="113" spans="1:10" ht="15" customHeight="1" x14ac:dyDescent="0.35">
      <c r="B113" s="40" t="s">
        <v>1186</v>
      </c>
      <c r="F113" s="93">
        <v>30</v>
      </c>
      <c r="G113" s="93">
        <v>165</v>
      </c>
      <c r="H113" s="93">
        <v>52</v>
      </c>
    </row>
    <row r="114" spans="1:10" ht="15" customHeight="1" x14ac:dyDescent="0.35">
      <c r="B114" s="40" t="s">
        <v>1187</v>
      </c>
      <c r="F114" s="93">
        <v>0</v>
      </c>
      <c r="G114" s="93">
        <v>-2</v>
      </c>
      <c r="H114" s="93">
        <v>0</v>
      </c>
    </row>
    <row r="115" spans="1:10" ht="15" customHeight="1" x14ac:dyDescent="0.35">
      <c r="B115" s="40" t="s">
        <v>1188</v>
      </c>
      <c r="F115" s="93">
        <v>-19</v>
      </c>
      <c r="G115" s="93">
        <v>11</v>
      </c>
      <c r="H115" s="93">
        <v>31</v>
      </c>
    </row>
    <row r="116" spans="1:10" ht="15" customHeight="1" x14ac:dyDescent="0.35">
      <c r="B116" s="40" t="s">
        <v>1189</v>
      </c>
      <c r="F116" s="93">
        <v>7</v>
      </c>
      <c r="G116" s="93">
        <v>12</v>
      </c>
      <c r="H116" s="93">
        <v>-138</v>
      </c>
    </row>
    <row r="117" spans="1:10" ht="15" customHeight="1" x14ac:dyDescent="0.35">
      <c r="B117" s="40" t="s">
        <v>1190</v>
      </c>
      <c r="F117" s="93">
        <v>-8</v>
      </c>
      <c r="G117" s="93">
        <v>4</v>
      </c>
      <c r="H117" s="93">
        <v>6</v>
      </c>
      <c r="J117" s="43" t="s">
        <v>1191</v>
      </c>
    </row>
    <row r="118" spans="1:10" ht="15" customHeight="1" x14ac:dyDescent="0.35">
      <c r="B118" s="40" t="s">
        <v>1119</v>
      </c>
      <c r="F118" s="94">
        <f>F247-(SUM(F113:F117))</f>
        <v>1</v>
      </c>
      <c r="G118" s="94">
        <f>G247-(SUM(G113:G117))</f>
        <v>1</v>
      </c>
      <c r="H118" s="94">
        <f>H247-(SUM(H113:H117))</f>
        <v>0</v>
      </c>
      <c r="J118" s="43" t="s">
        <v>1069</v>
      </c>
    </row>
    <row r="119" spans="1:10" ht="15" customHeight="1" x14ac:dyDescent="0.35">
      <c r="B119" s="46" t="s">
        <v>1192</v>
      </c>
      <c r="C119" s="47"/>
      <c r="D119" s="47"/>
      <c r="E119" s="47"/>
      <c r="F119" s="48">
        <f>SUM(F113:F118)</f>
        <v>11</v>
      </c>
      <c r="G119" s="48">
        <f>SUM(G113:G118)</f>
        <v>191</v>
      </c>
      <c r="H119" s="48">
        <f>SUM(H113:H118)</f>
        <v>-49</v>
      </c>
    </row>
    <row r="120" spans="1:10" ht="15" customHeight="1" x14ac:dyDescent="0.35">
      <c r="B120" s="46" t="s">
        <v>1193</v>
      </c>
      <c r="C120" s="47"/>
      <c r="D120" s="47"/>
      <c r="E120" s="47"/>
      <c r="F120" s="48">
        <f>F78+F119</f>
        <v>597</v>
      </c>
      <c r="G120" s="48">
        <f>G78+G119</f>
        <v>999</v>
      </c>
      <c r="H120" s="48">
        <f>H78+H119</f>
        <v>786</v>
      </c>
    </row>
    <row r="121" spans="1:10" ht="15" customHeight="1" x14ac:dyDescent="0.35">
      <c r="B121" s="40" t="s">
        <v>469</v>
      </c>
      <c r="F121" s="93">
        <v>39</v>
      </c>
      <c r="G121" s="93">
        <v>98</v>
      </c>
      <c r="H121" s="93">
        <v>150</v>
      </c>
    </row>
    <row r="122" spans="1:10" ht="15" customHeight="1" x14ac:dyDescent="0.35">
      <c r="B122" s="40" t="s">
        <v>1133</v>
      </c>
      <c r="F122" s="49">
        <f>F120-F121</f>
        <v>558</v>
      </c>
      <c r="G122" s="49">
        <f>G120-G121</f>
        <v>901</v>
      </c>
      <c r="H122" s="49">
        <f>H120-H121</f>
        <v>636</v>
      </c>
    </row>
    <row r="124" spans="1:10" ht="15" customHeight="1" x14ac:dyDescent="0.35">
      <c r="A124" s="38" t="s">
        <v>5</v>
      </c>
      <c r="B124" s="39" t="s">
        <v>1194</v>
      </c>
      <c r="C124" s="27"/>
      <c r="D124" s="27"/>
      <c r="E124" s="27"/>
      <c r="F124" s="27"/>
      <c r="G124" s="27"/>
      <c r="H124" s="27"/>
      <c r="I124" s="15"/>
      <c r="J124" s="15"/>
    </row>
    <row r="126" spans="1:10" ht="15" customHeight="1" x14ac:dyDescent="0.35">
      <c r="B126" s="40" t="s">
        <v>1195</v>
      </c>
      <c r="C126" s="41" t="s">
        <v>1181</v>
      </c>
      <c r="E126" s="93">
        <v>483</v>
      </c>
      <c r="F126" s="93">
        <v>1125</v>
      </c>
      <c r="G126" s="93">
        <v>1426</v>
      </c>
      <c r="H126" s="93">
        <v>1354</v>
      </c>
    </row>
    <row r="127" spans="1:10" ht="15" customHeight="1" x14ac:dyDescent="0.35">
      <c r="B127" s="40" t="s">
        <v>1196</v>
      </c>
      <c r="C127" s="41" t="s">
        <v>1181</v>
      </c>
      <c r="E127" s="93">
        <v>338</v>
      </c>
      <c r="F127" s="93">
        <v>952</v>
      </c>
      <c r="G127" s="93">
        <v>1376</v>
      </c>
      <c r="H127" s="93">
        <v>1244</v>
      </c>
    </row>
    <row r="128" spans="1:10" ht="15" customHeight="1" x14ac:dyDescent="0.35">
      <c r="B128" s="40" t="s">
        <v>1197</v>
      </c>
      <c r="C128" s="41" t="s">
        <v>1143</v>
      </c>
      <c r="E128" s="93">
        <v>209</v>
      </c>
      <c r="F128" s="93">
        <v>271</v>
      </c>
      <c r="G128" s="93">
        <v>334</v>
      </c>
      <c r="H128" s="93">
        <v>338</v>
      </c>
    </row>
    <row r="129" spans="2:10" ht="15" customHeight="1" x14ac:dyDescent="0.35">
      <c r="B129" s="40" t="s">
        <v>1198</v>
      </c>
      <c r="C129" s="41" t="s">
        <v>1199</v>
      </c>
      <c r="E129" s="93">
        <v>1137</v>
      </c>
      <c r="F129" s="93">
        <v>1370</v>
      </c>
      <c r="G129" s="93">
        <v>1853</v>
      </c>
      <c r="H129" s="93">
        <v>1962</v>
      </c>
    </row>
    <row r="130" spans="2:10" ht="15" customHeight="1" x14ac:dyDescent="0.35">
      <c r="B130" s="40" t="s">
        <v>1200</v>
      </c>
      <c r="C130" s="41" t="s">
        <v>1201</v>
      </c>
      <c r="E130" s="93">
        <v>24</v>
      </c>
      <c r="F130" s="93">
        <v>22</v>
      </c>
      <c r="G130" s="93">
        <v>20</v>
      </c>
      <c r="H130" s="93">
        <v>2</v>
      </c>
    </row>
    <row r="131" spans="2:10" ht="15" customHeight="1" x14ac:dyDescent="0.35">
      <c r="B131" s="40" t="s">
        <v>1202</v>
      </c>
      <c r="C131" s="41" t="s">
        <v>1115</v>
      </c>
      <c r="E131" s="93">
        <v>442</v>
      </c>
      <c r="F131" s="93">
        <v>373</v>
      </c>
      <c r="G131" s="93">
        <v>346</v>
      </c>
      <c r="H131" s="93">
        <v>213</v>
      </c>
    </row>
    <row r="132" spans="2:10" ht="15" customHeight="1" x14ac:dyDescent="0.35">
      <c r="B132" s="40" t="s">
        <v>1203</v>
      </c>
      <c r="C132" s="41" t="s">
        <v>1204</v>
      </c>
      <c r="E132" s="93">
        <v>187</v>
      </c>
      <c r="F132" s="93">
        <v>339</v>
      </c>
      <c r="G132" s="93">
        <v>585</v>
      </c>
      <c r="H132" s="93">
        <v>592</v>
      </c>
      <c r="J132" s="43" t="s">
        <v>1205</v>
      </c>
    </row>
    <row r="133" spans="2:10" ht="15" customHeight="1" x14ac:dyDescent="0.35">
      <c r="B133" s="40" t="s">
        <v>1206</v>
      </c>
      <c r="C133" s="41" t="s">
        <v>1126</v>
      </c>
      <c r="E133" s="93">
        <v>98</v>
      </c>
      <c r="F133" s="93">
        <v>164</v>
      </c>
      <c r="G133" s="93">
        <v>172</v>
      </c>
      <c r="H133" s="93">
        <v>165</v>
      </c>
    </row>
    <row r="134" spans="2:10" ht="15" customHeight="1" x14ac:dyDescent="0.35">
      <c r="B134" s="40" t="s">
        <v>1119</v>
      </c>
      <c r="E134" s="94">
        <f>E249-(SUM(E126:E133))</f>
        <v>0</v>
      </c>
      <c r="F134" s="94">
        <f>F249-(SUM(F126:F133))</f>
        <v>-1</v>
      </c>
      <c r="G134" s="94">
        <f>G249-(SUM(G126:G133))</f>
        <v>0</v>
      </c>
      <c r="H134" s="94">
        <f>H249-(SUM(H126:H133))</f>
        <v>1</v>
      </c>
      <c r="J134" s="43" t="s">
        <v>1069</v>
      </c>
    </row>
    <row r="135" spans="2:10" ht="15" customHeight="1" x14ac:dyDescent="0.35">
      <c r="B135" s="46" t="s">
        <v>1207</v>
      </c>
      <c r="C135" s="47"/>
      <c r="D135" s="47"/>
      <c r="E135" s="48">
        <f>SUM(E126:E134)</f>
        <v>2918</v>
      </c>
      <c r="F135" s="48">
        <f>SUM(F126:F134)</f>
        <v>4615</v>
      </c>
      <c r="G135" s="48">
        <f>SUM(G126:G134)</f>
        <v>6112</v>
      </c>
      <c r="H135" s="48">
        <f>SUM(H126:H134)</f>
        <v>5871</v>
      </c>
    </row>
    <row r="136" spans="2:10" ht="15" customHeight="1" x14ac:dyDescent="0.35">
      <c r="B136" s="40" t="s">
        <v>1208</v>
      </c>
      <c r="C136" s="41" t="s">
        <v>1209</v>
      </c>
      <c r="E136" s="93">
        <v>1976</v>
      </c>
      <c r="F136" s="93">
        <v>3244</v>
      </c>
      <c r="G136" s="93">
        <v>3989</v>
      </c>
      <c r="H136" s="93">
        <v>4721</v>
      </c>
    </row>
    <row r="137" spans="2:10" ht="15" customHeight="1" x14ac:dyDescent="0.35">
      <c r="B137" s="40" t="s">
        <v>1210</v>
      </c>
      <c r="C137" s="41" t="s">
        <v>1061</v>
      </c>
      <c r="E137" s="93">
        <v>362</v>
      </c>
      <c r="F137" s="93">
        <v>516</v>
      </c>
      <c r="G137" s="93">
        <v>692</v>
      </c>
      <c r="H137" s="93">
        <v>957</v>
      </c>
    </row>
    <row r="138" spans="2:10" ht="15" customHeight="1" x14ac:dyDescent="0.35">
      <c r="B138" s="40" t="s">
        <v>1211</v>
      </c>
      <c r="C138" s="41" t="s">
        <v>1061</v>
      </c>
      <c r="E138" s="93">
        <v>1548</v>
      </c>
      <c r="F138" s="93">
        <v>2021</v>
      </c>
      <c r="G138" s="93">
        <v>1959</v>
      </c>
      <c r="H138" s="93">
        <v>1907</v>
      </c>
    </row>
    <row r="139" spans="2:10" ht="15" customHeight="1" x14ac:dyDescent="0.35">
      <c r="B139" s="40" t="s">
        <v>1212</v>
      </c>
      <c r="C139" s="41" t="s">
        <v>1204</v>
      </c>
      <c r="E139" s="93">
        <v>242</v>
      </c>
      <c r="F139" s="93">
        <v>251</v>
      </c>
      <c r="G139" s="93">
        <v>350</v>
      </c>
      <c r="H139" s="93">
        <v>384</v>
      </c>
    </row>
    <row r="140" spans="2:10" ht="15" customHeight="1" x14ac:dyDescent="0.35">
      <c r="B140" s="40" t="s">
        <v>1213</v>
      </c>
      <c r="E140" s="93">
        <v>23</v>
      </c>
      <c r="F140" s="93">
        <v>13</v>
      </c>
      <c r="G140" s="93">
        <v>57</v>
      </c>
      <c r="H140" s="93">
        <v>11</v>
      </c>
    </row>
    <row r="141" spans="2:10" ht="15" customHeight="1" x14ac:dyDescent="0.35">
      <c r="B141" s="40" t="s">
        <v>1214</v>
      </c>
      <c r="C141" s="41" t="s">
        <v>1215</v>
      </c>
      <c r="E141" s="93">
        <v>132</v>
      </c>
      <c r="F141" s="93">
        <v>0</v>
      </c>
      <c r="G141" s="93">
        <v>0</v>
      </c>
      <c r="H141" s="93">
        <v>0</v>
      </c>
      <c r="J141" s="43" t="s">
        <v>1216</v>
      </c>
    </row>
    <row r="142" spans="2:10" ht="15" customHeight="1" x14ac:dyDescent="0.35">
      <c r="B142" s="40" t="s">
        <v>1217</v>
      </c>
      <c r="C142" s="41" t="s">
        <v>1215</v>
      </c>
      <c r="E142" s="93">
        <v>545</v>
      </c>
      <c r="F142" s="93">
        <v>850</v>
      </c>
      <c r="G142" s="93">
        <v>1184</v>
      </c>
      <c r="H142" s="93">
        <v>1650</v>
      </c>
    </row>
    <row r="143" spans="2:10" ht="15" customHeight="1" x14ac:dyDescent="0.35">
      <c r="B143" s="40" t="s">
        <v>1218</v>
      </c>
      <c r="C143" s="41" t="s">
        <v>1130</v>
      </c>
      <c r="E143" s="93">
        <v>349</v>
      </c>
      <c r="F143" s="93">
        <v>196</v>
      </c>
      <c r="G143" s="93">
        <v>0</v>
      </c>
      <c r="H143" s="93">
        <v>1270</v>
      </c>
    </row>
    <row r="144" spans="2:10" ht="15" customHeight="1" x14ac:dyDescent="0.35">
      <c r="B144" s="40" t="s">
        <v>1119</v>
      </c>
      <c r="E144" s="94">
        <f>E250-(SUM(E136:E143))</f>
        <v>1</v>
      </c>
      <c r="F144" s="94">
        <f>F250-(SUM(F136:F143))</f>
        <v>1</v>
      </c>
      <c r="G144" s="94">
        <f>G250-(SUM(G136:G143))</f>
        <v>0</v>
      </c>
      <c r="H144" s="94">
        <f>H250-(SUM(H136:H143))</f>
        <v>1</v>
      </c>
      <c r="J144" s="43" t="s">
        <v>1069</v>
      </c>
    </row>
    <row r="145" spans="1:10" ht="15" customHeight="1" x14ac:dyDescent="0.35">
      <c r="B145" s="46" t="s">
        <v>1219</v>
      </c>
      <c r="C145" s="47"/>
      <c r="D145" s="47"/>
      <c r="E145" s="48">
        <f>SUM(E136:E144)</f>
        <v>5178</v>
      </c>
      <c r="F145" s="48">
        <f>SUM(F136:F144)</f>
        <v>7092</v>
      </c>
      <c r="G145" s="48">
        <f>SUM(G136:G144)</f>
        <v>8231</v>
      </c>
      <c r="H145" s="48">
        <f>SUM(H136:H144)</f>
        <v>10901</v>
      </c>
    </row>
    <row r="146" spans="1:10" ht="15" customHeight="1" x14ac:dyDescent="0.35">
      <c r="B146" s="40" t="s">
        <v>1119</v>
      </c>
      <c r="E146" s="94">
        <f>E251-(E135+E145)</f>
        <v>0</v>
      </c>
      <c r="F146" s="94">
        <f>F251-(F135+F145)</f>
        <v>0</v>
      </c>
      <c r="G146" s="94">
        <f>G251-(G135+G145)</f>
        <v>1</v>
      </c>
      <c r="H146" s="94">
        <f>H251-(H135+H145)</f>
        <v>0</v>
      </c>
      <c r="J146" s="43" t="s">
        <v>1069</v>
      </c>
    </row>
    <row r="147" spans="1:10" ht="15" customHeight="1" x14ac:dyDescent="0.35">
      <c r="B147" s="46" t="s">
        <v>1220</v>
      </c>
      <c r="C147" s="47"/>
      <c r="D147" s="47"/>
      <c r="E147" s="48">
        <f>E135+E145+E146</f>
        <v>8096</v>
      </c>
      <c r="F147" s="48">
        <f>F135+F145+F146</f>
        <v>11707</v>
      </c>
      <c r="G147" s="48">
        <f>G135+G145+G146</f>
        <v>14344</v>
      </c>
      <c r="H147" s="48">
        <f>H135+H145+H146</f>
        <v>16772</v>
      </c>
    </row>
    <row r="149" spans="1:10" ht="15" customHeight="1" x14ac:dyDescent="0.35">
      <c r="A149" s="38" t="s">
        <v>5</v>
      </c>
      <c r="B149" s="39" t="s">
        <v>1221</v>
      </c>
      <c r="C149" s="27"/>
      <c r="D149" s="27"/>
      <c r="E149" s="27"/>
      <c r="F149" s="27"/>
      <c r="G149" s="27"/>
      <c r="H149" s="27"/>
      <c r="I149" s="15"/>
      <c r="J149" s="15"/>
    </row>
    <row r="151" spans="1:10" ht="15" customHeight="1" x14ac:dyDescent="0.35">
      <c r="B151" s="40" t="s">
        <v>1222</v>
      </c>
      <c r="C151" s="41" t="s">
        <v>1173</v>
      </c>
      <c r="E151" s="93">
        <v>112</v>
      </c>
      <c r="F151" s="93">
        <v>112</v>
      </c>
      <c r="G151" s="93">
        <v>112</v>
      </c>
      <c r="H151" s="93">
        <v>118</v>
      </c>
    </row>
    <row r="152" spans="1:10" ht="15" customHeight="1" x14ac:dyDescent="0.35">
      <c r="B152" s="40" t="s">
        <v>1223</v>
      </c>
      <c r="C152" s="41" t="s">
        <v>1173</v>
      </c>
      <c r="E152" s="93">
        <v>566</v>
      </c>
      <c r="F152" s="93">
        <v>676</v>
      </c>
      <c r="G152" s="93">
        <v>696</v>
      </c>
      <c r="H152" s="93">
        <v>1394</v>
      </c>
      <c r="J152" s="43" t="s">
        <v>1224</v>
      </c>
    </row>
    <row r="153" spans="1:10" ht="15" customHeight="1" x14ac:dyDescent="0.35">
      <c r="B153" s="40" t="s">
        <v>1225</v>
      </c>
      <c r="C153" s="41" t="s">
        <v>1173</v>
      </c>
      <c r="E153" s="93">
        <v>2147</v>
      </c>
      <c r="F153" s="93">
        <v>2533</v>
      </c>
      <c r="G153" s="93">
        <v>3247</v>
      </c>
      <c r="H153" s="93">
        <v>3503</v>
      </c>
    </row>
    <row r="154" spans="1:10" ht="15" customHeight="1" x14ac:dyDescent="0.35">
      <c r="B154" s="40" t="s">
        <v>1226</v>
      </c>
      <c r="C154" s="41" t="s">
        <v>1173</v>
      </c>
      <c r="E154" s="93">
        <v>-6</v>
      </c>
      <c r="F154" s="93">
        <v>-5</v>
      </c>
      <c r="G154" s="93">
        <v>-4</v>
      </c>
      <c r="H154" s="93">
        <v>-4</v>
      </c>
    </row>
    <row r="155" spans="1:10" ht="15" customHeight="1" x14ac:dyDescent="0.35">
      <c r="B155" s="40" t="s">
        <v>1119</v>
      </c>
      <c r="E155" s="94">
        <f>E252-(SUM(E151:E154))</f>
        <v>0</v>
      </c>
      <c r="F155" s="94">
        <f>F252-(SUM(F151:F154))</f>
        <v>0</v>
      </c>
      <c r="G155" s="94">
        <f>G252-(SUM(G151:G154))</f>
        <v>-1</v>
      </c>
      <c r="H155" s="94">
        <f>H252-(SUM(H151:H154))</f>
        <v>0</v>
      </c>
      <c r="J155" s="43" t="s">
        <v>1069</v>
      </c>
    </row>
    <row r="156" spans="1:10" ht="15" customHeight="1" x14ac:dyDescent="0.35">
      <c r="B156" s="46" t="s">
        <v>1227</v>
      </c>
      <c r="C156" s="47"/>
      <c r="D156" s="47"/>
      <c r="E156" s="48">
        <f>SUM(E151:E155)</f>
        <v>2819</v>
      </c>
      <c r="F156" s="48">
        <f>SUM(F151:F155)</f>
        <v>3316</v>
      </c>
      <c r="G156" s="48">
        <f>SUM(G151:G155)</f>
        <v>4050</v>
      </c>
      <c r="H156" s="48">
        <f>SUM(H151:H155)</f>
        <v>5011</v>
      </c>
    </row>
    <row r="157" spans="1:10" ht="15" customHeight="1" x14ac:dyDescent="0.35">
      <c r="B157" s="40" t="s">
        <v>1228</v>
      </c>
      <c r="E157" s="93">
        <v>271</v>
      </c>
      <c r="F157" s="93">
        <v>327</v>
      </c>
      <c r="G157" s="93">
        <v>414</v>
      </c>
      <c r="H157" s="93">
        <v>604</v>
      </c>
    </row>
    <row r="158" spans="1:10" ht="15" customHeight="1" x14ac:dyDescent="0.35">
      <c r="B158" s="40" t="s">
        <v>1119</v>
      </c>
      <c r="E158" s="94">
        <f>E253-(E156+E157)</f>
        <v>0</v>
      </c>
      <c r="F158" s="94">
        <f>F253-(F156+F157)</f>
        <v>0</v>
      </c>
      <c r="G158" s="94">
        <f>G253-(G156+G157)</f>
        <v>1</v>
      </c>
      <c r="H158" s="94">
        <f>H253-(H156+H157)</f>
        <v>-1</v>
      </c>
      <c r="J158" s="43" t="s">
        <v>1069</v>
      </c>
    </row>
    <row r="159" spans="1:10" ht="15" customHeight="1" x14ac:dyDescent="0.35">
      <c r="B159" s="46" t="s">
        <v>1229</v>
      </c>
      <c r="C159" s="47"/>
      <c r="D159" s="47"/>
      <c r="E159" s="48">
        <f>E156+E157+E158</f>
        <v>3090</v>
      </c>
      <c r="F159" s="48">
        <f>F156+F157+F158</f>
        <v>3643</v>
      </c>
      <c r="G159" s="48">
        <f>G156+G157+G158</f>
        <v>4465</v>
      </c>
      <c r="H159" s="48">
        <f>H156+H157+H158</f>
        <v>5614</v>
      </c>
    </row>
    <row r="160" spans="1:10" ht="15" customHeight="1" x14ac:dyDescent="0.35">
      <c r="B160" s="40" t="s">
        <v>1230</v>
      </c>
      <c r="C160" s="41" t="s">
        <v>1140</v>
      </c>
      <c r="E160" s="93">
        <v>484</v>
      </c>
      <c r="F160" s="93">
        <v>562</v>
      </c>
      <c r="G160" s="93">
        <v>527</v>
      </c>
      <c r="H160" s="93">
        <v>278</v>
      </c>
    </row>
    <row r="161" spans="2:10" ht="15" customHeight="1" x14ac:dyDescent="0.35">
      <c r="B161" s="40" t="s">
        <v>1231</v>
      </c>
      <c r="C161" s="41" t="s">
        <v>1166</v>
      </c>
      <c r="E161" s="93">
        <v>205</v>
      </c>
      <c r="F161" s="93">
        <v>230</v>
      </c>
      <c r="G161" s="93">
        <v>285</v>
      </c>
      <c r="H161" s="93">
        <v>280</v>
      </c>
    </row>
    <row r="162" spans="2:10" ht="15" customHeight="1" x14ac:dyDescent="0.35">
      <c r="B162" s="40" t="s">
        <v>1232</v>
      </c>
      <c r="C162" s="41" t="s">
        <v>1233</v>
      </c>
      <c r="E162" s="93">
        <v>517</v>
      </c>
      <c r="F162" s="93">
        <v>1503</v>
      </c>
      <c r="G162" s="93">
        <v>1871</v>
      </c>
      <c r="H162" s="93">
        <v>1155</v>
      </c>
    </row>
    <row r="163" spans="2:10" ht="15" customHeight="1" x14ac:dyDescent="0.35">
      <c r="B163" s="40" t="s">
        <v>1234</v>
      </c>
      <c r="C163" s="41" t="s">
        <v>1235</v>
      </c>
      <c r="E163" s="93">
        <v>56</v>
      </c>
      <c r="F163" s="93">
        <v>51</v>
      </c>
      <c r="G163" s="93">
        <v>58</v>
      </c>
      <c r="H163" s="93">
        <v>10</v>
      </c>
    </row>
    <row r="164" spans="2:10" ht="15" customHeight="1" x14ac:dyDescent="0.35">
      <c r="B164" s="40" t="s">
        <v>1206</v>
      </c>
      <c r="C164" s="41" t="s">
        <v>1126</v>
      </c>
      <c r="E164" s="93">
        <v>78</v>
      </c>
      <c r="F164" s="93">
        <v>260</v>
      </c>
      <c r="G164" s="93">
        <v>356</v>
      </c>
      <c r="H164" s="93">
        <v>363</v>
      </c>
    </row>
    <row r="165" spans="2:10" ht="15" customHeight="1" x14ac:dyDescent="0.35">
      <c r="B165" s="40" t="s">
        <v>1119</v>
      </c>
      <c r="E165" s="94">
        <f>E254-(SUM(E160:E164))</f>
        <v>1</v>
      </c>
      <c r="F165" s="94">
        <f>F254-(SUM(F160:F164))</f>
        <v>-1</v>
      </c>
      <c r="G165" s="94">
        <f>G254-(SUM(G160:G164))</f>
        <v>0</v>
      </c>
      <c r="H165" s="94">
        <f>H254-(SUM(H160:H164))</f>
        <v>0</v>
      </c>
      <c r="J165" s="43" t="s">
        <v>1069</v>
      </c>
    </row>
    <row r="166" spans="2:10" ht="15" customHeight="1" x14ac:dyDescent="0.35">
      <c r="B166" s="46" t="s">
        <v>1236</v>
      </c>
      <c r="C166" s="47"/>
      <c r="D166" s="47"/>
      <c r="E166" s="48">
        <f>SUM(E160:E165)</f>
        <v>1341</v>
      </c>
      <c r="F166" s="48">
        <f>SUM(F160:F165)</f>
        <v>2605</v>
      </c>
      <c r="G166" s="48">
        <f>SUM(G160:G165)</f>
        <v>3097</v>
      </c>
      <c r="H166" s="48">
        <f>SUM(H160:H165)</f>
        <v>2086</v>
      </c>
    </row>
    <row r="167" spans="2:10" ht="15" customHeight="1" x14ac:dyDescent="0.35">
      <c r="B167" s="40" t="s">
        <v>1237</v>
      </c>
      <c r="C167" s="41" t="s">
        <v>1166</v>
      </c>
      <c r="E167" s="93">
        <v>674</v>
      </c>
      <c r="F167" s="93">
        <v>690</v>
      </c>
      <c r="G167" s="93">
        <v>807</v>
      </c>
      <c r="H167" s="93">
        <v>891</v>
      </c>
    </row>
    <row r="168" spans="2:10" ht="15" customHeight="1" x14ac:dyDescent="0.35">
      <c r="B168" s="40" t="s">
        <v>1238</v>
      </c>
      <c r="C168" s="41" t="s">
        <v>1233</v>
      </c>
      <c r="E168" s="93">
        <v>454</v>
      </c>
      <c r="F168" s="93">
        <v>410</v>
      </c>
      <c r="G168" s="93">
        <v>552</v>
      </c>
      <c r="H168" s="93">
        <v>126</v>
      </c>
    </row>
    <row r="169" spans="2:10" ht="15" customHeight="1" x14ac:dyDescent="0.35">
      <c r="B169" s="40" t="s">
        <v>1239</v>
      </c>
      <c r="C169" s="41" t="s">
        <v>1061</v>
      </c>
      <c r="E169" s="93">
        <v>1120</v>
      </c>
      <c r="F169" s="93">
        <v>2594</v>
      </c>
      <c r="G169" s="93">
        <v>3866</v>
      </c>
      <c r="H169" s="93">
        <v>5642</v>
      </c>
      <c r="J169" s="43" t="s">
        <v>1240</v>
      </c>
    </row>
    <row r="170" spans="2:10" ht="15" customHeight="1" x14ac:dyDescent="0.35">
      <c r="B170" s="40" t="s">
        <v>1241</v>
      </c>
      <c r="E170" s="93">
        <v>931</v>
      </c>
      <c r="F170" s="93">
        <v>1222</v>
      </c>
      <c r="G170" s="93">
        <v>1151</v>
      </c>
      <c r="H170" s="93">
        <v>1186</v>
      </c>
    </row>
    <row r="171" spans="2:10" ht="15" customHeight="1" x14ac:dyDescent="0.35">
      <c r="B171" s="40" t="s">
        <v>1242</v>
      </c>
      <c r="C171" s="41" t="s">
        <v>1235</v>
      </c>
      <c r="E171" s="93">
        <v>200</v>
      </c>
      <c r="F171" s="93">
        <v>274</v>
      </c>
      <c r="G171" s="93">
        <v>288</v>
      </c>
      <c r="H171" s="93">
        <v>318</v>
      </c>
    </row>
    <row r="172" spans="2:10" ht="15" customHeight="1" x14ac:dyDescent="0.35">
      <c r="B172" s="40" t="s">
        <v>1243</v>
      </c>
      <c r="E172" s="93">
        <v>67</v>
      </c>
      <c r="F172" s="93">
        <v>108</v>
      </c>
      <c r="G172" s="93">
        <v>118</v>
      </c>
      <c r="H172" s="93">
        <v>200</v>
      </c>
    </row>
    <row r="173" spans="2:10" ht="15" customHeight="1" x14ac:dyDescent="0.35">
      <c r="B173" s="40" t="s">
        <v>1244</v>
      </c>
      <c r="C173" s="41" t="s">
        <v>1130</v>
      </c>
      <c r="E173" s="93">
        <v>220</v>
      </c>
      <c r="F173" s="93">
        <v>161</v>
      </c>
      <c r="G173" s="93">
        <v>0</v>
      </c>
      <c r="H173" s="93">
        <v>708</v>
      </c>
    </row>
    <row r="174" spans="2:10" ht="15" customHeight="1" x14ac:dyDescent="0.35">
      <c r="B174" s="40" t="s">
        <v>1119</v>
      </c>
      <c r="E174" s="94">
        <f>E255-(SUM(E167:E173))</f>
        <v>-1</v>
      </c>
      <c r="F174" s="94">
        <f>F255-(SUM(F167:F173))</f>
        <v>0</v>
      </c>
      <c r="G174" s="94">
        <f>G255-(SUM(G167:G173))</f>
        <v>0</v>
      </c>
      <c r="H174" s="94">
        <f>H255-(SUM(H167:H173))</f>
        <v>0</v>
      </c>
      <c r="J174" s="43" t="s">
        <v>1069</v>
      </c>
    </row>
    <row r="175" spans="2:10" ht="15" customHeight="1" x14ac:dyDescent="0.35">
      <c r="B175" s="46" t="s">
        <v>1245</v>
      </c>
      <c r="C175" s="47"/>
      <c r="D175" s="47"/>
      <c r="E175" s="48">
        <f>SUM(E167:E174)</f>
        <v>3665</v>
      </c>
      <c r="F175" s="48">
        <f>SUM(F167:F174)</f>
        <v>5459</v>
      </c>
      <c r="G175" s="48">
        <f>SUM(G167:G174)</f>
        <v>6782</v>
      </c>
      <c r="H175" s="48">
        <f>SUM(H167:H174)</f>
        <v>9071</v>
      </c>
    </row>
    <row r="176" spans="2:10" ht="15" customHeight="1" x14ac:dyDescent="0.35">
      <c r="B176" s="40" t="s">
        <v>1119</v>
      </c>
      <c r="E176" s="94">
        <f>E256-(E159+E166+E175)</f>
        <v>0</v>
      </c>
      <c r="F176" s="94">
        <f>F256-(F159+F166+F175)</f>
        <v>0</v>
      </c>
      <c r="G176" s="94">
        <f>G256-(G159+G166+G175)</f>
        <v>0</v>
      </c>
      <c r="H176" s="94">
        <f>H256-(H159+H166+H175)</f>
        <v>1</v>
      </c>
      <c r="J176" s="43" t="s">
        <v>1069</v>
      </c>
    </row>
    <row r="177" spans="1:10" ht="15" customHeight="1" x14ac:dyDescent="0.35">
      <c r="B177" s="46" t="s">
        <v>1246</v>
      </c>
      <c r="C177" s="47"/>
      <c r="D177" s="47"/>
      <c r="E177" s="48">
        <f>E159+E166+E175+E176</f>
        <v>8096</v>
      </c>
      <c r="F177" s="48">
        <f>F159+F166+F175+F176</f>
        <v>11707</v>
      </c>
      <c r="G177" s="48">
        <f>G159+G166+G175+G176</f>
        <v>14344</v>
      </c>
      <c r="H177" s="48">
        <f>H159+H166+H175+H176</f>
        <v>16772</v>
      </c>
    </row>
    <row r="179" spans="1:10" ht="15" customHeight="1" x14ac:dyDescent="0.35">
      <c r="A179" s="38" t="s">
        <v>5</v>
      </c>
      <c r="B179" s="39" t="s">
        <v>1247</v>
      </c>
      <c r="C179" s="27"/>
      <c r="D179" s="27"/>
      <c r="E179" s="27"/>
      <c r="F179" s="27"/>
      <c r="G179" s="27"/>
      <c r="H179" s="27"/>
      <c r="I179" s="15"/>
      <c r="J179" s="15"/>
    </row>
    <row r="181" spans="1:10" ht="15" customHeight="1" x14ac:dyDescent="0.35">
      <c r="B181" s="40" t="s">
        <v>1248</v>
      </c>
      <c r="C181" s="41" t="s">
        <v>1204</v>
      </c>
      <c r="E181" s="49">
        <f>SUM(E182:E192)</f>
        <v>429</v>
      </c>
      <c r="F181" s="49">
        <f>SUM(F182:F192)</f>
        <v>590</v>
      </c>
      <c r="G181" s="49">
        <f>SUM(G182:G192)</f>
        <v>935</v>
      </c>
      <c r="H181" s="49">
        <f>SUM(H182:H192)</f>
        <v>976</v>
      </c>
    </row>
    <row r="182" spans="1:10" ht="15" customHeight="1" x14ac:dyDescent="0.35">
      <c r="B182" s="40" t="s">
        <v>1249</v>
      </c>
      <c r="C182" s="41" t="s">
        <v>1204</v>
      </c>
      <c r="E182" s="93">
        <v>41</v>
      </c>
      <c r="F182" s="93">
        <v>25</v>
      </c>
      <c r="G182" s="93">
        <v>41</v>
      </c>
      <c r="H182" s="93">
        <v>80</v>
      </c>
    </row>
    <row r="183" spans="1:10" ht="15" customHeight="1" x14ac:dyDescent="0.35">
      <c r="B183" s="40" t="s">
        <v>1250</v>
      </c>
      <c r="C183" s="41" t="s">
        <v>1204</v>
      </c>
      <c r="E183" s="93">
        <v>11</v>
      </c>
      <c r="F183" s="93">
        <v>11</v>
      </c>
      <c r="G183" s="93">
        <v>19</v>
      </c>
      <c r="H183" s="93">
        <v>26</v>
      </c>
    </row>
    <row r="184" spans="1:10" ht="15" customHeight="1" x14ac:dyDescent="0.35">
      <c r="B184" s="40" t="s">
        <v>1251</v>
      </c>
      <c r="C184" s="41" t="s">
        <v>1204</v>
      </c>
      <c r="E184" s="93">
        <v>0</v>
      </c>
      <c r="F184" s="93">
        <v>28</v>
      </c>
      <c r="G184" s="93">
        <v>0</v>
      </c>
      <c r="H184" s="93">
        <v>0</v>
      </c>
      <c r="J184" s="43" t="s">
        <v>1252</v>
      </c>
    </row>
    <row r="185" spans="1:10" ht="15" customHeight="1" x14ac:dyDescent="0.35">
      <c r="B185" s="40" t="s">
        <v>1253</v>
      </c>
      <c r="C185" s="41" t="s">
        <v>1204</v>
      </c>
      <c r="E185" s="93">
        <v>65</v>
      </c>
      <c r="F185" s="93">
        <v>84</v>
      </c>
      <c r="G185" s="93">
        <v>143</v>
      </c>
      <c r="H185" s="93">
        <v>60</v>
      </c>
      <c r="J185" s="43" t="s">
        <v>1254</v>
      </c>
    </row>
    <row r="186" spans="1:10" ht="15" customHeight="1" x14ac:dyDescent="0.35">
      <c r="B186" s="40" t="s">
        <v>1112</v>
      </c>
      <c r="C186" s="41" t="s">
        <v>1204</v>
      </c>
      <c r="E186" s="93">
        <v>105</v>
      </c>
      <c r="F186" s="93">
        <v>83</v>
      </c>
      <c r="G186" s="93">
        <v>114</v>
      </c>
      <c r="H186" s="93">
        <v>186</v>
      </c>
    </row>
    <row r="187" spans="1:10" ht="15" customHeight="1" x14ac:dyDescent="0.35">
      <c r="B187" s="40" t="s">
        <v>1255</v>
      </c>
      <c r="C187" s="41" t="s">
        <v>1204</v>
      </c>
      <c r="E187" s="93">
        <v>94</v>
      </c>
      <c r="F187" s="93">
        <v>93</v>
      </c>
      <c r="G187" s="93">
        <v>139</v>
      </c>
      <c r="H187" s="93">
        <v>122</v>
      </c>
    </row>
    <row r="188" spans="1:10" ht="15" customHeight="1" x14ac:dyDescent="0.35">
      <c r="B188" s="40" t="s">
        <v>1256</v>
      </c>
      <c r="C188" s="41" t="s">
        <v>1204</v>
      </c>
      <c r="E188" s="93">
        <v>6</v>
      </c>
      <c r="F188" s="93">
        <v>41</v>
      </c>
      <c r="G188" s="93">
        <v>44</v>
      </c>
      <c r="H188" s="93">
        <v>76</v>
      </c>
    </row>
    <row r="189" spans="1:10" ht="15" customHeight="1" x14ac:dyDescent="0.35">
      <c r="B189" s="40" t="s">
        <v>1257</v>
      </c>
      <c r="C189" s="41" t="s">
        <v>1204</v>
      </c>
      <c r="E189" s="93">
        <v>49</v>
      </c>
      <c r="F189" s="93">
        <v>67</v>
      </c>
      <c r="G189" s="93">
        <v>80</v>
      </c>
      <c r="H189" s="93">
        <v>78</v>
      </c>
    </row>
    <row r="190" spans="1:10" ht="15" customHeight="1" x14ac:dyDescent="0.35">
      <c r="B190" s="40" t="s">
        <v>1258</v>
      </c>
      <c r="C190" s="41" t="s">
        <v>1204</v>
      </c>
      <c r="E190" s="93">
        <v>0</v>
      </c>
      <c r="F190" s="93">
        <v>99</v>
      </c>
      <c r="G190" s="93">
        <v>275</v>
      </c>
      <c r="H190" s="93">
        <v>289</v>
      </c>
    </row>
    <row r="191" spans="1:10" ht="15" customHeight="1" x14ac:dyDescent="0.35">
      <c r="B191" s="40" t="s">
        <v>1259</v>
      </c>
      <c r="C191" s="41" t="s">
        <v>1204</v>
      </c>
      <c r="E191" s="93">
        <v>57</v>
      </c>
      <c r="F191" s="93">
        <v>60</v>
      </c>
      <c r="G191" s="93">
        <v>80</v>
      </c>
      <c r="H191" s="93">
        <v>59</v>
      </c>
      <c r="J191" s="43" t="s">
        <v>1260</v>
      </c>
    </row>
    <row r="192" spans="1:10" ht="15" customHeight="1" x14ac:dyDescent="0.35">
      <c r="B192" s="40" t="s">
        <v>1068</v>
      </c>
      <c r="E192" s="94">
        <f>E132+E139-(SUM(E182:E191))</f>
        <v>1</v>
      </c>
      <c r="F192" s="94">
        <f>F132+F139-(SUM(F182:F191))</f>
        <v>-1</v>
      </c>
      <c r="G192" s="94">
        <f>G132+G139-(SUM(G182:G191))</f>
        <v>0</v>
      </c>
      <c r="H192" s="94">
        <f>H132+H139-(SUM(H182:H191))</f>
        <v>0</v>
      </c>
      <c r="J192" s="43" t="s">
        <v>1069</v>
      </c>
    </row>
    <row r="194" spans="2:10" ht="15" customHeight="1" x14ac:dyDescent="0.35">
      <c r="B194" s="40" t="s">
        <v>1261</v>
      </c>
      <c r="C194" s="41" t="s">
        <v>1233</v>
      </c>
      <c r="E194" s="49">
        <f>SUM(E195:E201)</f>
        <v>971</v>
      </c>
      <c r="F194" s="49">
        <f>SUM(F195:F201)</f>
        <v>1913</v>
      </c>
      <c r="G194" s="49">
        <f>SUM(G195:G201)</f>
        <v>2423</v>
      </c>
      <c r="H194" s="49">
        <f>SUM(H195:H201)</f>
        <v>1281</v>
      </c>
    </row>
    <row r="195" spans="2:10" ht="15" customHeight="1" x14ac:dyDescent="0.35">
      <c r="B195" s="40" t="s">
        <v>1262</v>
      </c>
      <c r="C195" s="41" t="s">
        <v>1233</v>
      </c>
      <c r="E195" s="93">
        <v>0</v>
      </c>
      <c r="F195" s="93">
        <v>897</v>
      </c>
      <c r="G195" s="93">
        <v>915</v>
      </c>
      <c r="H195" s="93">
        <v>224</v>
      </c>
    </row>
    <row r="196" spans="2:10" ht="15" customHeight="1" x14ac:dyDescent="0.35">
      <c r="B196" s="40" t="s">
        <v>1263</v>
      </c>
      <c r="C196" s="41" t="s">
        <v>1233</v>
      </c>
      <c r="E196" s="93">
        <v>253</v>
      </c>
      <c r="F196" s="93">
        <v>428</v>
      </c>
      <c r="G196" s="93">
        <v>600</v>
      </c>
      <c r="H196" s="93">
        <v>577</v>
      </c>
    </row>
    <row r="197" spans="2:10" ht="15" customHeight="1" x14ac:dyDescent="0.35">
      <c r="B197" s="40" t="s">
        <v>1264</v>
      </c>
      <c r="C197" s="41" t="s">
        <v>1233</v>
      </c>
      <c r="E197" s="93">
        <v>376</v>
      </c>
      <c r="F197" s="93">
        <v>92</v>
      </c>
      <c r="G197" s="93">
        <v>361</v>
      </c>
      <c r="H197" s="93">
        <v>173</v>
      </c>
    </row>
    <row r="198" spans="2:10" ht="15" customHeight="1" x14ac:dyDescent="0.35">
      <c r="B198" s="40" t="s">
        <v>1265</v>
      </c>
      <c r="C198" s="41" t="s">
        <v>1233</v>
      </c>
      <c r="E198" s="93">
        <v>211</v>
      </c>
      <c r="F198" s="93">
        <v>272</v>
      </c>
      <c r="G198" s="93">
        <v>327</v>
      </c>
      <c r="H198" s="93">
        <v>306</v>
      </c>
    </row>
    <row r="199" spans="2:10" ht="15" customHeight="1" x14ac:dyDescent="0.35">
      <c r="B199" s="40" t="s">
        <v>1266</v>
      </c>
      <c r="C199" s="41" t="s">
        <v>1233</v>
      </c>
      <c r="E199" s="93">
        <v>128</v>
      </c>
      <c r="F199" s="93">
        <v>215</v>
      </c>
      <c r="G199" s="93">
        <v>217</v>
      </c>
      <c r="H199" s="93">
        <v>0</v>
      </c>
    </row>
    <row r="200" spans="2:10" ht="15" customHeight="1" x14ac:dyDescent="0.35">
      <c r="B200" s="40" t="s">
        <v>1267</v>
      </c>
      <c r="C200" s="41" t="s">
        <v>1233</v>
      </c>
      <c r="E200" s="93">
        <v>4</v>
      </c>
      <c r="F200" s="93">
        <v>9</v>
      </c>
      <c r="G200" s="93">
        <v>3</v>
      </c>
      <c r="H200" s="93">
        <v>2</v>
      </c>
    </row>
    <row r="201" spans="2:10" ht="15" customHeight="1" x14ac:dyDescent="0.35">
      <c r="B201" s="40" t="s">
        <v>1068</v>
      </c>
      <c r="E201" s="94">
        <f>E162+E168-(SUM(E195:E200))</f>
        <v>-1</v>
      </c>
      <c r="F201" s="94">
        <f>F162+F168-(SUM(F195:F200))</f>
        <v>0</v>
      </c>
      <c r="G201" s="94">
        <f>G162+G168-(SUM(G195:G200))</f>
        <v>0</v>
      </c>
      <c r="H201" s="94">
        <f>H162+H168-(SUM(H195:H200))</f>
        <v>-1</v>
      </c>
      <c r="J201" s="43" t="s">
        <v>1069</v>
      </c>
    </row>
    <row r="203" spans="2:10" ht="15" customHeight="1" x14ac:dyDescent="0.35">
      <c r="B203" s="40" t="s">
        <v>1268</v>
      </c>
      <c r="C203" s="41" t="s">
        <v>1235</v>
      </c>
      <c r="E203" s="49">
        <f>SUM(E204:E209)</f>
        <v>256</v>
      </c>
      <c r="F203" s="49">
        <f>SUM(F204:F209)</f>
        <v>325</v>
      </c>
      <c r="G203" s="49">
        <f>SUM(G204:G209)</f>
        <v>346</v>
      </c>
      <c r="H203" s="49">
        <f>SUM(H204:H209)</f>
        <v>328</v>
      </c>
    </row>
    <row r="204" spans="2:10" ht="15" customHeight="1" x14ac:dyDescent="0.35">
      <c r="B204" s="40" t="s">
        <v>1249</v>
      </c>
      <c r="C204" s="41" t="s">
        <v>1235</v>
      </c>
      <c r="E204" s="93">
        <v>25</v>
      </c>
      <c r="F204" s="93">
        <v>24</v>
      </c>
      <c r="G204" s="93">
        <v>22</v>
      </c>
      <c r="H204" s="93">
        <v>20</v>
      </c>
    </row>
    <row r="205" spans="2:10" ht="15" customHeight="1" x14ac:dyDescent="0.35">
      <c r="B205" s="40" t="s">
        <v>1269</v>
      </c>
      <c r="C205" s="41" t="s">
        <v>1235</v>
      </c>
      <c r="E205" s="93">
        <v>55</v>
      </c>
      <c r="F205" s="93">
        <v>97</v>
      </c>
      <c r="G205" s="93">
        <v>77</v>
      </c>
      <c r="H205" s="93">
        <v>23</v>
      </c>
      <c r="J205" s="43" t="s">
        <v>1270</v>
      </c>
    </row>
    <row r="206" spans="2:10" ht="15" customHeight="1" x14ac:dyDescent="0.35">
      <c r="B206" s="40" t="s">
        <v>1271</v>
      </c>
      <c r="C206" s="41" t="s">
        <v>1235</v>
      </c>
      <c r="E206" s="93">
        <v>101</v>
      </c>
      <c r="F206" s="93">
        <v>113</v>
      </c>
      <c r="G206" s="93">
        <v>102</v>
      </c>
      <c r="H206" s="93">
        <v>184</v>
      </c>
    </row>
    <row r="207" spans="2:10" ht="15" customHeight="1" x14ac:dyDescent="0.35">
      <c r="B207" s="40" t="s">
        <v>1272</v>
      </c>
      <c r="C207" s="41" t="s">
        <v>1235</v>
      </c>
      <c r="E207" s="93">
        <v>11</v>
      </c>
      <c r="F207" s="93">
        <v>14</v>
      </c>
      <c r="G207" s="93">
        <v>14</v>
      </c>
      <c r="H207" s="93">
        <v>11</v>
      </c>
    </row>
    <row r="208" spans="2:10" ht="15" customHeight="1" x14ac:dyDescent="0.35">
      <c r="B208" s="40" t="s">
        <v>1273</v>
      </c>
      <c r="C208" s="41" t="s">
        <v>1235</v>
      </c>
      <c r="E208" s="93">
        <v>64</v>
      </c>
      <c r="F208" s="93">
        <v>77</v>
      </c>
      <c r="G208" s="93">
        <v>130</v>
      </c>
      <c r="H208" s="93">
        <v>89</v>
      </c>
    </row>
    <row r="209" spans="1:10" ht="15" customHeight="1" x14ac:dyDescent="0.35">
      <c r="B209" s="40" t="s">
        <v>1068</v>
      </c>
      <c r="E209" s="94">
        <f>E163+E171-(SUM(E204:E208))</f>
        <v>0</v>
      </c>
      <c r="F209" s="94">
        <f>F163+F171-(SUM(F204:F208))</f>
        <v>0</v>
      </c>
      <c r="G209" s="94">
        <f>G163+G171-(SUM(G204:G208))</f>
        <v>1</v>
      </c>
      <c r="H209" s="94">
        <f>H163+H171-(SUM(H204:H208))</f>
        <v>1</v>
      </c>
      <c r="J209" s="43" t="s">
        <v>1069</v>
      </c>
    </row>
    <row r="211" spans="1:10" ht="15" customHeight="1" x14ac:dyDescent="0.35">
      <c r="B211" s="40" t="s">
        <v>1274</v>
      </c>
      <c r="C211" s="41" t="s">
        <v>1275</v>
      </c>
      <c r="E211" s="49">
        <f>SUM(E212:E215)</f>
        <v>3498</v>
      </c>
      <c r="F211" s="49">
        <f>SUM(F212:F215)</f>
        <v>3936</v>
      </c>
      <c r="G211" s="49">
        <f>SUM(G212:G215)</f>
        <v>4351</v>
      </c>
      <c r="H211" s="49">
        <f>SUM(H212:H215)</f>
        <v>3015</v>
      </c>
    </row>
    <row r="212" spans="1:10" ht="15" customHeight="1" x14ac:dyDescent="0.35">
      <c r="B212" s="40" t="s">
        <v>1276</v>
      </c>
      <c r="C212" s="41" t="s">
        <v>1181</v>
      </c>
      <c r="E212" s="93">
        <v>540</v>
      </c>
      <c r="F212" s="93">
        <v>678</v>
      </c>
      <c r="G212" s="93">
        <v>815</v>
      </c>
      <c r="H212" s="93">
        <v>899</v>
      </c>
    </row>
    <row r="213" spans="1:10" ht="15" customHeight="1" x14ac:dyDescent="0.35">
      <c r="B213" s="40" t="s">
        <v>421</v>
      </c>
      <c r="C213" s="41" t="s">
        <v>1143</v>
      </c>
      <c r="E213" s="93">
        <v>165</v>
      </c>
      <c r="F213" s="93">
        <v>213</v>
      </c>
      <c r="G213" s="93">
        <v>250</v>
      </c>
      <c r="H213" s="93">
        <v>226</v>
      </c>
    </row>
    <row r="214" spans="1:10" ht="15" customHeight="1" x14ac:dyDescent="0.35">
      <c r="B214" s="40" t="s">
        <v>423</v>
      </c>
      <c r="C214" s="41" t="s">
        <v>1199</v>
      </c>
      <c r="E214" s="93">
        <v>2780</v>
      </c>
      <c r="F214" s="93">
        <v>3033</v>
      </c>
      <c r="G214" s="93">
        <v>3273</v>
      </c>
      <c r="H214" s="93">
        <v>1887</v>
      </c>
      <c r="J214" s="43" t="s">
        <v>1277</v>
      </c>
    </row>
    <row r="215" spans="1:10" ht="15" customHeight="1" x14ac:dyDescent="0.35">
      <c r="B215" s="40" t="s">
        <v>425</v>
      </c>
      <c r="C215" s="41" t="s">
        <v>1201</v>
      </c>
      <c r="E215" s="93">
        <v>13</v>
      </c>
      <c r="F215" s="93">
        <v>12</v>
      </c>
      <c r="G215" s="93">
        <v>13</v>
      </c>
      <c r="H215" s="93">
        <v>3</v>
      </c>
    </row>
    <row r="217" spans="1:10" ht="15" customHeight="1" x14ac:dyDescent="0.35">
      <c r="A217" s="38" t="s">
        <v>5</v>
      </c>
      <c r="B217" s="39" t="s">
        <v>1278</v>
      </c>
      <c r="C217" s="27"/>
      <c r="D217" s="27"/>
      <c r="E217" s="27"/>
      <c r="F217" s="27"/>
      <c r="G217" s="27"/>
      <c r="H217" s="27"/>
      <c r="I217" s="15"/>
      <c r="J217" s="15"/>
    </row>
    <row r="219" spans="1:10" ht="15" customHeight="1" x14ac:dyDescent="0.35">
      <c r="B219" s="40" t="s">
        <v>1279</v>
      </c>
      <c r="F219" s="93">
        <v>743</v>
      </c>
      <c r="G219" s="93">
        <v>1720</v>
      </c>
      <c r="H219" s="93">
        <v>2287</v>
      </c>
      <c r="J219" s="43" t="s">
        <v>1280</v>
      </c>
    </row>
    <row r="220" spans="1:10" ht="15" customHeight="1" x14ac:dyDescent="0.35">
      <c r="B220" s="40" t="s">
        <v>1281</v>
      </c>
      <c r="F220" s="93">
        <v>308</v>
      </c>
      <c r="G220" s="93">
        <v>403</v>
      </c>
      <c r="H220" s="93">
        <v>501</v>
      </c>
    </row>
    <row r="221" spans="1:10" ht="15" customHeight="1" x14ac:dyDescent="0.35">
      <c r="B221" s="40" t="s">
        <v>1282</v>
      </c>
      <c r="F221" s="93">
        <v>-398</v>
      </c>
      <c r="G221" s="93">
        <v>-732</v>
      </c>
      <c r="H221" s="93">
        <v>-872</v>
      </c>
      <c r="J221" s="43" t="s">
        <v>1283</v>
      </c>
    </row>
    <row r="222" spans="1:10" ht="15" customHeight="1" x14ac:dyDescent="0.35">
      <c r="B222" s="40" t="s">
        <v>1284</v>
      </c>
      <c r="F222" s="93">
        <v>2</v>
      </c>
      <c r="G222" s="93">
        <v>10</v>
      </c>
      <c r="H222" s="93">
        <v>10</v>
      </c>
    </row>
    <row r="224" spans="1:10" ht="15" customHeight="1" x14ac:dyDescent="0.35">
      <c r="A224" s="38" t="s">
        <v>5</v>
      </c>
      <c r="B224" s="39" t="s">
        <v>1285</v>
      </c>
      <c r="C224" s="27"/>
      <c r="D224" s="27"/>
      <c r="E224" s="27"/>
      <c r="F224" s="27"/>
      <c r="G224" s="27"/>
      <c r="H224" s="27"/>
      <c r="I224" s="15"/>
      <c r="J224" s="15"/>
    </row>
    <row r="226" spans="1:10" ht="15" customHeight="1" x14ac:dyDescent="0.35">
      <c r="B226" s="40" t="s">
        <v>1286</v>
      </c>
      <c r="F226" s="93">
        <v>918</v>
      </c>
      <c r="G226" s="93">
        <v>1389</v>
      </c>
      <c r="H226" s="93">
        <v>1841</v>
      </c>
      <c r="J226" s="43" t="s">
        <v>1287</v>
      </c>
    </row>
    <row r="227" spans="1:10" ht="15" customHeight="1" x14ac:dyDescent="0.35">
      <c r="B227" s="40" t="s">
        <v>1288</v>
      </c>
      <c r="F227" s="93">
        <v>49</v>
      </c>
      <c r="G227" s="93">
        <v>6</v>
      </c>
      <c r="H227" s="93">
        <v>9</v>
      </c>
    </row>
    <row r="228" spans="1:10" ht="15" customHeight="1" x14ac:dyDescent="0.35">
      <c r="B228" s="40" t="s">
        <v>1289</v>
      </c>
      <c r="F228" s="93">
        <v>-70</v>
      </c>
      <c r="G228" s="93">
        <v>-125</v>
      </c>
      <c r="H228" s="93">
        <v>-167</v>
      </c>
    </row>
    <row r="229" spans="1:10" ht="15" customHeight="1" x14ac:dyDescent="0.35">
      <c r="B229" s="46" t="s">
        <v>1290</v>
      </c>
      <c r="C229" s="47"/>
      <c r="D229" s="47"/>
      <c r="E229" s="47"/>
      <c r="F229" s="48">
        <f>F226+F227+F228</f>
        <v>897</v>
      </c>
      <c r="G229" s="48">
        <f>G226+G227+G228</f>
        <v>1270</v>
      </c>
      <c r="H229" s="48">
        <f>H226+H227+H228</f>
        <v>1683</v>
      </c>
    </row>
    <row r="231" spans="1:10" ht="15" customHeight="1" x14ac:dyDescent="0.35">
      <c r="A231" s="38" t="s">
        <v>5</v>
      </c>
      <c r="B231" s="39" t="s">
        <v>88</v>
      </c>
      <c r="C231" s="27"/>
      <c r="D231" s="27"/>
      <c r="E231" s="27"/>
      <c r="F231" s="27"/>
      <c r="G231" s="27"/>
      <c r="H231" s="27"/>
      <c r="I231" s="15"/>
      <c r="J231" s="15"/>
    </row>
    <row r="233" spans="1:10" ht="15" customHeight="1" x14ac:dyDescent="0.35">
      <c r="B233" s="34" t="s">
        <v>1291</v>
      </c>
      <c r="E233" s="97">
        <v>2</v>
      </c>
    </row>
    <row r="235" spans="1:10" ht="15" customHeight="1" x14ac:dyDescent="0.35">
      <c r="B235" s="53" t="s">
        <v>1292</v>
      </c>
    </row>
    <row r="236" spans="1:10" ht="15" customHeight="1" x14ac:dyDescent="0.35">
      <c r="B236" s="40" t="s">
        <v>1064</v>
      </c>
      <c r="F236" s="93">
        <v>696</v>
      </c>
      <c r="G236" s="93">
        <v>132</v>
      </c>
      <c r="H236" s="93">
        <v>521</v>
      </c>
    </row>
    <row r="237" spans="1:10" ht="15" customHeight="1" x14ac:dyDescent="0.35">
      <c r="B237" s="40" t="s">
        <v>1070</v>
      </c>
      <c r="F237" s="93">
        <v>7872</v>
      </c>
      <c r="G237" s="93">
        <v>7847</v>
      </c>
      <c r="H237" s="93">
        <v>10456</v>
      </c>
    </row>
    <row r="238" spans="1:10" ht="15" customHeight="1" x14ac:dyDescent="0.35">
      <c r="B238" s="40" t="s">
        <v>1071</v>
      </c>
      <c r="F238" s="93">
        <v>153</v>
      </c>
      <c r="G238" s="93">
        <v>178</v>
      </c>
      <c r="H238" s="93">
        <v>273</v>
      </c>
    </row>
    <row r="239" spans="1:10" ht="15" customHeight="1" x14ac:dyDescent="0.35">
      <c r="B239" s="40" t="s">
        <v>1082</v>
      </c>
      <c r="F239" s="93">
        <v>-3935</v>
      </c>
      <c r="G239" s="93">
        <v>-3693</v>
      </c>
      <c r="H239" s="93">
        <v>-5252</v>
      </c>
    </row>
    <row r="240" spans="1:10" ht="15" customHeight="1" x14ac:dyDescent="0.35">
      <c r="B240" s="40" t="s">
        <v>1087</v>
      </c>
      <c r="F240" s="93">
        <v>-2047</v>
      </c>
      <c r="G240" s="93">
        <v>-1844</v>
      </c>
      <c r="H240" s="93">
        <v>-2314</v>
      </c>
    </row>
    <row r="241" spans="2:8" ht="15" customHeight="1" x14ac:dyDescent="0.35">
      <c r="B241" s="40" t="s">
        <v>1093</v>
      </c>
      <c r="F241" s="93">
        <v>-308</v>
      </c>
      <c r="G241" s="93">
        <v>-284</v>
      </c>
      <c r="H241" s="93">
        <v>-406</v>
      </c>
    </row>
    <row r="242" spans="2:8" ht="15" customHeight="1" x14ac:dyDescent="0.35">
      <c r="B242" s="40" t="s">
        <v>1097</v>
      </c>
      <c r="F242" s="93">
        <v>-889</v>
      </c>
      <c r="G242" s="93">
        <v>-891</v>
      </c>
      <c r="H242" s="93">
        <v>-1112</v>
      </c>
    </row>
    <row r="243" spans="2:8" ht="15" customHeight="1" x14ac:dyDescent="0.35">
      <c r="B243" s="40" t="s">
        <v>1293</v>
      </c>
      <c r="F243" s="93">
        <v>897</v>
      </c>
      <c r="G243" s="93">
        <v>1270</v>
      </c>
      <c r="H243" s="93">
        <v>1684</v>
      </c>
    </row>
    <row r="244" spans="2:8" ht="15" customHeight="1" x14ac:dyDescent="0.35">
      <c r="B244" s="40" t="s">
        <v>1294</v>
      </c>
      <c r="F244" s="93">
        <v>815</v>
      </c>
      <c r="G244" s="93">
        <v>1168</v>
      </c>
      <c r="H244" s="93">
        <v>1572</v>
      </c>
    </row>
    <row r="245" spans="2:8" ht="15" customHeight="1" x14ac:dyDescent="0.35">
      <c r="B245" s="40" t="s">
        <v>1128</v>
      </c>
      <c r="F245" s="93">
        <v>630</v>
      </c>
      <c r="G245" s="93">
        <v>840</v>
      </c>
      <c r="H245" s="93">
        <v>1176</v>
      </c>
    </row>
    <row r="246" spans="2:8" ht="15" customHeight="1" x14ac:dyDescent="0.35">
      <c r="B246" s="40" t="s">
        <v>1132</v>
      </c>
      <c r="F246" s="93">
        <v>586</v>
      </c>
      <c r="G246" s="93">
        <v>808</v>
      </c>
      <c r="H246" s="93">
        <v>835</v>
      </c>
    </row>
    <row r="247" spans="2:8" ht="15" customHeight="1" x14ac:dyDescent="0.35">
      <c r="B247" s="40" t="s">
        <v>1192</v>
      </c>
      <c r="F247" s="93">
        <v>11</v>
      </c>
      <c r="G247" s="93">
        <v>191</v>
      </c>
      <c r="H247" s="93">
        <v>-49</v>
      </c>
    </row>
    <row r="248" spans="2:8" ht="15" customHeight="1" x14ac:dyDescent="0.35">
      <c r="B248" s="40" t="s">
        <v>1193</v>
      </c>
      <c r="F248" s="93">
        <v>597</v>
      </c>
      <c r="G248" s="93">
        <v>999</v>
      </c>
      <c r="H248" s="93">
        <v>786</v>
      </c>
    </row>
    <row r="249" spans="2:8" ht="15" customHeight="1" x14ac:dyDescent="0.35">
      <c r="B249" s="40" t="s">
        <v>1207</v>
      </c>
      <c r="E249" s="93">
        <v>2918</v>
      </c>
      <c r="F249" s="93">
        <v>4615</v>
      </c>
      <c r="G249" s="93">
        <v>6112</v>
      </c>
      <c r="H249" s="93">
        <v>5871</v>
      </c>
    </row>
    <row r="250" spans="2:8" ht="15" customHeight="1" x14ac:dyDescent="0.35">
      <c r="B250" s="40" t="s">
        <v>1219</v>
      </c>
      <c r="E250" s="93">
        <v>5178</v>
      </c>
      <c r="F250" s="93">
        <v>7092</v>
      </c>
      <c r="G250" s="93">
        <v>8231</v>
      </c>
      <c r="H250" s="93">
        <v>10901</v>
      </c>
    </row>
    <row r="251" spans="2:8" ht="15" customHeight="1" x14ac:dyDescent="0.35">
      <c r="B251" s="40" t="s">
        <v>1220</v>
      </c>
      <c r="E251" s="93">
        <v>8096</v>
      </c>
      <c r="F251" s="93">
        <v>11707</v>
      </c>
      <c r="G251" s="93">
        <v>14344</v>
      </c>
      <c r="H251" s="93">
        <v>16772</v>
      </c>
    </row>
    <row r="252" spans="2:8" ht="15" customHeight="1" x14ac:dyDescent="0.35">
      <c r="B252" s="40" t="s">
        <v>1227</v>
      </c>
      <c r="E252" s="93">
        <v>2819</v>
      </c>
      <c r="F252" s="93">
        <v>3316</v>
      </c>
      <c r="G252" s="93">
        <v>4050</v>
      </c>
      <c r="H252" s="93">
        <v>5011</v>
      </c>
    </row>
    <row r="253" spans="2:8" ht="15" customHeight="1" x14ac:dyDescent="0.35">
      <c r="B253" s="40" t="s">
        <v>1229</v>
      </c>
      <c r="E253" s="93">
        <v>3090</v>
      </c>
      <c r="F253" s="93">
        <v>3643</v>
      </c>
      <c r="G253" s="93">
        <v>4465</v>
      </c>
      <c r="H253" s="93">
        <v>5614</v>
      </c>
    </row>
    <row r="254" spans="2:8" ht="15" customHeight="1" x14ac:dyDescent="0.35">
      <c r="B254" s="40" t="s">
        <v>1236</v>
      </c>
      <c r="E254" s="93">
        <v>1341</v>
      </c>
      <c r="F254" s="93">
        <v>2605</v>
      </c>
      <c r="G254" s="93">
        <v>3097</v>
      </c>
      <c r="H254" s="93">
        <v>2086</v>
      </c>
    </row>
    <row r="255" spans="2:8" ht="15" customHeight="1" x14ac:dyDescent="0.35">
      <c r="B255" s="40" t="s">
        <v>1245</v>
      </c>
      <c r="E255" s="93">
        <v>3665</v>
      </c>
      <c r="F255" s="93">
        <v>5459</v>
      </c>
      <c r="G255" s="93">
        <v>6782</v>
      </c>
      <c r="H255" s="93">
        <v>9071</v>
      </c>
    </row>
    <row r="256" spans="2:8" ht="15" customHeight="1" x14ac:dyDescent="0.35">
      <c r="B256" s="40" t="s">
        <v>1246</v>
      </c>
      <c r="E256" s="93">
        <v>8096</v>
      </c>
      <c r="F256" s="93">
        <v>11707</v>
      </c>
      <c r="G256" s="93">
        <v>14344</v>
      </c>
      <c r="H256" s="93">
        <v>16772</v>
      </c>
    </row>
    <row r="257" spans="2:10" ht="15" customHeight="1" x14ac:dyDescent="0.35">
      <c r="B257" s="40" t="s">
        <v>1295</v>
      </c>
      <c r="E257" s="93">
        <v>429</v>
      </c>
      <c r="F257" s="93">
        <v>590</v>
      </c>
      <c r="G257" s="93">
        <v>935</v>
      </c>
      <c r="H257" s="93">
        <v>976</v>
      </c>
    </row>
    <row r="258" spans="2:10" ht="15" customHeight="1" x14ac:dyDescent="0.35">
      <c r="B258" s="40" t="s">
        <v>1296</v>
      </c>
      <c r="E258" s="93">
        <v>971</v>
      </c>
      <c r="F258" s="93">
        <v>1913</v>
      </c>
      <c r="G258" s="93">
        <v>2423</v>
      </c>
      <c r="H258" s="93">
        <v>1281</v>
      </c>
    </row>
    <row r="259" spans="2:10" ht="15" customHeight="1" x14ac:dyDescent="0.35">
      <c r="B259" s="40" t="s">
        <v>1297</v>
      </c>
      <c r="E259" s="93">
        <v>256</v>
      </c>
      <c r="F259" s="93">
        <v>325</v>
      </c>
      <c r="G259" s="93">
        <v>345</v>
      </c>
      <c r="H259" s="93">
        <v>327</v>
      </c>
    </row>
    <row r="261" spans="2:10" ht="15" customHeight="1" x14ac:dyDescent="0.35">
      <c r="B261" s="53" t="s">
        <v>1298</v>
      </c>
    </row>
    <row r="262" spans="2:10" ht="15" customHeight="1" x14ac:dyDescent="0.35">
      <c r="B262" s="40" t="s">
        <v>1299</v>
      </c>
      <c r="E262" s="49">
        <f>E147-E177</f>
        <v>0</v>
      </c>
      <c r="F262" s="49">
        <f>F147-F177</f>
        <v>0</v>
      </c>
      <c r="G262" s="49">
        <f>G147-G177</f>
        <v>0</v>
      </c>
      <c r="H262" s="49">
        <f>H147-H177</f>
        <v>0</v>
      </c>
      <c r="J262" s="34" t="str">
        <f>IF(MAX(ABS(E262),ABS(F262),ABS(G262),ABS(H262))&lt;=$E$233,"OK","CHECK")</f>
        <v>OK</v>
      </c>
    </row>
    <row r="263" spans="2:10" ht="15" customHeight="1" x14ac:dyDescent="0.35">
      <c r="B263" s="40" t="s">
        <v>1300</v>
      </c>
      <c r="F263" s="49">
        <f>F17</f>
        <v>0</v>
      </c>
      <c r="G263" s="49">
        <f>G17</f>
        <v>0</v>
      </c>
      <c r="H263" s="49">
        <f>H17</f>
        <v>0</v>
      </c>
      <c r="J263" s="34" t="str">
        <f t="shared" ref="J263:J270" si="0">IF(MAX(ABS(F263),ABS(G263),ABS(H263))&lt;=$E$233,"OK","CHECK")</f>
        <v>OK</v>
      </c>
    </row>
    <row r="264" spans="2:10" ht="15" customHeight="1" x14ac:dyDescent="0.35">
      <c r="B264" s="40" t="s">
        <v>1301</v>
      </c>
      <c r="F264" s="49">
        <f>F29</f>
        <v>-1</v>
      </c>
      <c r="G264" s="49">
        <f>G29</f>
        <v>0</v>
      </c>
      <c r="H264" s="49">
        <f>H29</f>
        <v>-1</v>
      </c>
      <c r="J264" s="34" t="str">
        <f t="shared" si="0"/>
        <v>OK</v>
      </c>
    </row>
    <row r="265" spans="2:10" ht="15" customHeight="1" x14ac:dyDescent="0.35">
      <c r="B265" s="40" t="s">
        <v>1302</v>
      </c>
      <c r="F265" s="49">
        <f>F34</f>
        <v>1</v>
      </c>
      <c r="G265" s="49">
        <f>G34</f>
        <v>0</v>
      </c>
      <c r="H265" s="49">
        <f>H34</f>
        <v>1</v>
      </c>
      <c r="J265" s="34" t="str">
        <f t="shared" si="0"/>
        <v>OK</v>
      </c>
    </row>
    <row r="266" spans="2:10" ht="15" customHeight="1" x14ac:dyDescent="0.35">
      <c r="B266" s="40" t="s">
        <v>1303</v>
      </c>
      <c r="F266" s="49">
        <f>F40</f>
        <v>0</v>
      </c>
      <c r="G266" s="49">
        <f>G40</f>
        <v>0</v>
      </c>
      <c r="H266" s="49">
        <f>H40</f>
        <v>1</v>
      </c>
      <c r="J266" s="34" t="str">
        <f t="shared" si="0"/>
        <v>OK</v>
      </c>
    </row>
    <row r="267" spans="2:10" ht="15" customHeight="1" x14ac:dyDescent="0.35">
      <c r="B267" s="40" t="s">
        <v>1304</v>
      </c>
      <c r="F267" s="49">
        <f>F45</f>
        <v>0</v>
      </c>
      <c r="G267" s="49">
        <f>G45</f>
        <v>-1</v>
      </c>
      <c r="H267" s="49">
        <f>H45</f>
        <v>-1</v>
      </c>
      <c r="J267" s="34" t="str">
        <f t="shared" si="0"/>
        <v>OK</v>
      </c>
    </row>
    <row r="268" spans="2:10" ht="15" customHeight="1" x14ac:dyDescent="0.35">
      <c r="B268" s="40" t="s">
        <v>1305</v>
      </c>
      <c r="F268" s="49">
        <f>F64</f>
        <v>0</v>
      </c>
      <c r="G268" s="49">
        <f>G64</f>
        <v>-1</v>
      </c>
      <c r="H268" s="49">
        <f>H64</f>
        <v>-1</v>
      </c>
      <c r="J268" s="34" t="str">
        <f t="shared" si="0"/>
        <v>OK</v>
      </c>
    </row>
    <row r="269" spans="2:10" ht="15" customHeight="1" x14ac:dyDescent="0.35">
      <c r="B269" s="40" t="s">
        <v>1306</v>
      </c>
      <c r="F269" s="49">
        <f>F68</f>
        <v>0</v>
      </c>
      <c r="G269" s="49">
        <f>G68</f>
        <v>-1</v>
      </c>
      <c r="H269" s="49">
        <f>H68</f>
        <v>-1</v>
      </c>
      <c r="J269" s="34" t="str">
        <f t="shared" si="0"/>
        <v>OK</v>
      </c>
    </row>
    <row r="270" spans="2:10" ht="15" customHeight="1" x14ac:dyDescent="0.35">
      <c r="B270" s="40" t="s">
        <v>1307</v>
      </c>
      <c r="F270" s="49">
        <f>F118</f>
        <v>1</v>
      </c>
      <c r="G270" s="49">
        <f>G118</f>
        <v>1</v>
      </c>
      <c r="H270" s="49">
        <f>H118</f>
        <v>0</v>
      </c>
      <c r="J270" s="34" t="str">
        <f t="shared" si="0"/>
        <v>OK</v>
      </c>
    </row>
    <row r="271" spans="2:10" ht="15" customHeight="1" x14ac:dyDescent="0.35">
      <c r="B271" s="40" t="s">
        <v>1308</v>
      </c>
      <c r="E271" s="49">
        <f>E134</f>
        <v>0</v>
      </c>
      <c r="F271" s="49">
        <f>F134</f>
        <v>-1</v>
      </c>
      <c r="G271" s="49">
        <f>G134</f>
        <v>0</v>
      </c>
      <c r="H271" s="49">
        <f>H134</f>
        <v>1</v>
      </c>
      <c r="J271" s="34" t="str">
        <f t="shared" ref="J271:J281" si="1">IF(MAX(ABS(E271),ABS(F271),ABS(G271),ABS(H271))&lt;=$E$233,"OK","CHECK")</f>
        <v>OK</v>
      </c>
    </row>
    <row r="272" spans="2:10" ht="15" customHeight="1" x14ac:dyDescent="0.35">
      <c r="B272" s="40" t="s">
        <v>1309</v>
      </c>
      <c r="E272" s="49">
        <f>E144</f>
        <v>1</v>
      </c>
      <c r="F272" s="49">
        <f>F144</f>
        <v>1</v>
      </c>
      <c r="G272" s="49">
        <f>G144</f>
        <v>0</v>
      </c>
      <c r="H272" s="49">
        <f>H144</f>
        <v>1</v>
      </c>
      <c r="J272" s="34" t="str">
        <f t="shared" si="1"/>
        <v>OK</v>
      </c>
    </row>
    <row r="273" spans="2:10" ht="15" customHeight="1" x14ac:dyDescent="0.35">
      <c r="B273" s="40" t="s">
        <v>1310</v>
      </c>
      <c r="E273" s="49">
        <f>E146</f>
        <v>0</v>
      </c>
      <c r="F273" s="49">
        <f>F146</f>
        <v>0</v>
      </c>
      <c r="G273" s="49">
        <f>G146</f>
        <v>1</v>
      </c>
      <c r="H273" s="49">
        <f>H146</f>
        <v>0</v>
      </c>
      <c r="J273" s="34" t="str">
        <f t="shared" si="1"/>
        <v>OK</v>
      </c>
    </row>
    <row r="274" spans="2:10" ht="15" customHeight="1" x14ac:dyDescent="0.35">
      <c r="B274" s="40" t="s">
        <v>1311</v>
      </c>
      <c r="E274" s="49">
        <f>E155</f>
        <v>0</v>
      </c>
      <c r="F274" s="49">
        <f>F155</f>
        <v>0</v>
      </c>
      <c r="G274" s="49">
        <f>G155</f>
        <v>-1</v>
      </c>
      <c r="H274" s="49">
        <f>H155</f>
        <v>0</v>
      </c>
      <c r="J274" s="34" t="str">
        <f t="shared" si="1"/>
        <v>OK</v>
      </c>
    </row>
    <row r="275" spans="2:10" ht="15" customHeight="1" x14ac:dyDescent="0.35">
      <c r="B275" s="40" t="s">
        <v>1312</v>
      </c>
      <c r="E275" s="49">
        <f>E158</f>
        <v>0</v>
      </c>
      <c r="F275" s="49">
        <f>F158</f>
        <v>0</v>
      </c>
      <c r="G275" s="49">
        <f>G158</f>
        <v>1</v>
      </c>
      <c r="H275" s="49">
        <f>H158</f>
        <v>-1</v>
      </c>
      <c r="J275" s="34" t="str">
        <f t="shared" si="1"/>
        <v>OK</v>
      </c>
    </row>
    <row r="276" spans="2:10" ht="15" customHeight="1" x14ac:dyDescent="0.35">
      <c r="B276" s="40" t="s">
        <v>1313</v>
      </c>
      <c r="E276" s="49">
        <f>E165</f>
        <v>1</v>
      </c>
      <c r="F276" s="49">
        <f>F165</f>
        <v>-1</v>
      </c>
      <c r="G276" s="49">
        <f>G165</f>
        <v>0</v>
      </c>
      <c r="H276" s="49">
        <f>H165</f>
        <v>0</v>
      </c>
      <c r="J276" s="34" t="str">
        <f t="shared" si="1"/>
        <v>OK</v>
      </c>
    </row>
    <row r="277" spans="2:10" ht="15" customHeight="1" x14ac:dyDescent="0.35">
      <c r="B277" s="40" t="s">
        <v>1314</v>
      </c>
      <c r="E277" s="49">
        <f>E174</f>
        <v>-1</v>
      </c>
      <c r="F277" s="49">
        <f>F174</f>
        <v>0</v>
      </c>
      <c r="G277" s="49">
        <f>G174</f>
        <v>0</v>
      </c>
      <c r="H277" s="49">
        <f>H174</f>
        <v>0</v>
      </c>
      <c r="J277" s="34" t="str">
        <f t="shared" si="1"/>
        <v>OK</v>
      </c>
    </row>
    <row r="278" spans="2:10" ht="15" customHeight="1" x14ac:dyDescent="0.35">
      <c r="B278" s="40" t="s">
        <v>1315</v>
      </c>
      <c r="E278" s="49">
        <f>E176</f>
        <v>0</v>
      </c>
      <c r="F278" s="49">
        <f>F176</f>
        <v>0</v>
      </c>
      <c r="G278" s="49">
        <f>G176</f>
        <v>0</v>
      </c>
      <c r="H278" s="49">
        <f>H176</f>
        <v>1</v>
      </c>
      <c r="J278" s="34" t="str">
        <f t="shared" si="1"/>
        <v>OK</v>
      </c>
    </row>
    <row r="279" spans="2:10" ht="15" customHeight="1" x14ac:dyDescent="0.35">
      <c r="B279" s="40" t="s">
        <v>1316</v>
      </c>
      <c r="E279" s="49">
        <f>E192</f>
        <v>1</v>
      </c>
      <c r="F279" s="49">
        <f>F192</f>
        <v>-1</v>
      </c>
      <c r="G279" s="49">
        <f>G192</f>
        <v>0</v>
      </c>
      <c r="H279" s="49">
        <f>H192</f>
        <v>0</v>
      </c>
      <c r="J279" s="34" t="str">
        <f t="shared" si="1"/>
        <v>OK</v>
      </c>
    </row>
    <row r="280" spans="2:10" ht="15" customHeight="1" x14ac:dyDescent="0.35">
      <c r="B280" s="40" t="s">
        <v>1317</v>
      </c>
      <c r="E280" s="49">
        <f>E201</f>
        <v>-1</v>
      </c>
      <c r="F280" s="49">
        <f>F201</f>
        <v>0</v>
      </c>
      <c r="G280" s="49">
        <f>G201</f>
        <v>0</v>
      </c>
      <c r="H280" s="49">
        <f>H201</f>
        <v>-1</v>
      </c>
      <c r="J280" s="34" t="str">
        <f t="shared" si="1"/>
        <v>OK</v>
      </c>
    </row>
    <row r="281" spans="2:10" ht="15" customHeight="1" x14ac:dyDescent="0.35">
      <c r="B281" s="40" t="s">
        <v>1318</v>
      </c>
      <c r="E281" s="49">
        <f>E209</f>
        <v>0</v>
      </c>
      <c r="F281" s="49">
        <f>F209</f>
        <v>0</v>
      </c>
      <c r="G281" s="49">
        <f>G209</f>
        <v>1</v>
      </c>
      <c r="H281" s="49">
        <f>H209</f>
        <v>1</v>
      </c>
      <c r="J281" s="34" t="str">
        <f t="shared" si="1"/>
        <v>OK</v>
      </c>
    </row>
    <row r="282" spans="2:10" ht="15" customHeight="1" x14ac:dyDescent="0.35">
      <c r="B282" s="40" t="s">
        <v>1064</v>
      </c>
      <c r="F282" s="49">
        <f>F14-F236</f>
        <v>0</v>
      </c>
      <c r="G282" s="49">
        <f>G14-G236</f>
        <v>0</v>
      </c>
      <c r="H282" s="49">
        <f>H14-H236</f>
        <v>0</v>
      </c>
      <c r="J282" s="34" t="str">
        <f t="shared" ref="J282:J294" si="2">IF(MAX(ABS(F282),ABS(G282),ABS(H282))&lt;=$E$233,"OK","CHECK")</f>
        <v>OK</v>
      </c>
    </row>
    <row r="283" spans="2:10" ht="15" customHeight="1" x14ac:dyDescent="0.35">
      <c r="B283" s="40" t="s">
        <v>1070</v>
      </c>
      <c r="F283" s="49">
        <f>F18-F237</f>
        <v>0</v>
      </c>
      <c r="G283" s="49">
        <f>G18-G237</f>
        <v>0</v>
      </c>
      <c r="H283" s="49">
        <f>H18-H237</f>
        <v>0</v>
      </c>
      <c r="J283" s="34" t="str">
        <f t="shared" si="2"/>
        <v>OK</v>
      </c>
    </row>
    <row r="284" spans="2:10" ht="15" customHeight="1" x14ac:dyDescent="0.35">
      <c r="B284" s="40" t="s">
        <v>1071</v>
      </c>
      <c r="F284" s="49">
        <f>F20-F238</f>
        <v>0</v>
      </c>
      <c r="G284" s="49">
        <f>G20-G238</f>
        <v>0</v>
      </c>
      <c r="H284" s="49">
        <f>H20-H238</f>
        <v>0</v>
      </c>
      <c r="J284" s="34" t="str">
        <f t="shared" si="2"/>
        <v>OK</v>
      </c>
    </row>
    <row r="285" spans="2:10" ht="15" customHeight="1" x14ac:dyDescent="0.35">
      <c r="B285" s="40" t="s">
        <v>1082</v>
      </c>
      <c r="F285" s="49">
        <f>F31-F239</f>
        <v>0</v>
      </c>
      <c r="G285" s="49">
        <f>G31-G239</f>
        <v>0</v>
      </c>
      <c r="H285" s="49">
        <f>H31-H239</f>
        <v>0</v>
      </c>
      <c r="J285" s="34" t="str">
        <f t="shared" si="2"/>
        <v>OK</v>
      </c>
    </row>
    <row r="286" spans="2:10" ht="15" customHeight="1" x14ac:dyDescent="0.35">
      <c r="B286" s="40" t="s">
        <v>1087</v>
      </c>
      <c r="F286" s="49">
        <f>F35-F240</f>
        <v>0</v>
      </c>
      <c r="G286" s="49">
        <f>G35-G240</f>
        <v>0</v>
      </c>
      <c r="H286" s="49">
        <f>H35-H240</f>
        <v>0</v>
      </c>
      <c r="J286" s="34" t="str">
        <f t="shared" si="2"/>
        <v>OK</v>
      </c>
    </row>
    <row r="287" spans="2:10" ht="15" customHeight="1" x14ac:dyDescent="0.35">
      <c r="B287" s="40" t="s">
        <v>1093</v>
      </c>
      <c r="F287" s="49">
        <f>F41-F241</f>
        <v>0</v>
      </c>
      <c r="G287" s="49">
        <f>G41-G241</f>
        <v>0</v>
      </c>
      <c r="H287" s="49">
        <f>H41-H241</f>
        <v>0</v>
      </c>
      <c r="J287" s="34" t="str">
        <f t="shared" si="2"/>
        <v>OK</v>
      </c>
    </row>
    <row r="288" spans="2:10" ht="15" customHeight="1" x14ac:dyDescent="0.35">
      <c r="B288" s="40" t="s">
        <v>1097</v>
      </c>
      <c r="F288" s="49">
        <f>F47-F242</f>
        <v>0</v>
      </c>
      <c r="G288" s="49">
        <f>G47-G242</f>
        <v>0</v>
      </c>
      <c r="H288" s="49">
        <f>H47-H242</f>
        <v>0</v>
      </c>
      <c r="J288" s="34" t="str">
        <f t="shared" si="2"/>
        <v>OK</v>
      </c>
    </row>
    <row r="289" spans="2:10" ht="15" customHeight="1" x14ac:dyDescent="0.35">
      <c r="B289" s="40" t="s">
        <v>1293</v>
      </c>
      <c r="F289" s="49">
        <f>F69-F243</f>
        <v>0</v>
      </c>
      <c r="G289" s="49">
        <f>G69-G243</f>
        <v>0</v>
      </c>
      <c r="H289" s="49">
        <f>H69-H243</f>
        <v>0</v>
      </c>
      <c r="J289" s="34" t="str">
        <f t="shared" si="2"/>
        <v>OK</v>
      </c>
    </row>
    <row r="290" spans="2:10" ht="15" customHeight="1" x14ac:dyDescent="0.35">
      <c r="B290" s="40" t="s">
        <v>1294</v>
      </c>
      <c r="F290" s="49">
        <f>F73-F244</f>
        <v>0</v>
      </c>
      <c r="G290" s="49">
        <f>G73-G244</f>
        <v>0</v>
      </c>
      <c r="H290" s="49">
        <f>H73-H244</f>
        <v>0</v>
      </c>
      <c r="J290" s="34" t="str">
        <f t="shared" si="2"/>
        <v>OK</v>
      </c>
    </row>
    <row r="291" spans="2:10" ht="15" customHeight="1" x14ac:dyDescent="0.35">
      <c r="B291" s="40" t="s">
        <v>1128</v>
      </c>
      <c r="F291" s="49">
        <f>F76-F245</f>
        <v>0</v>
      </c>
      <c r="G291" s="49">
        <f>G76-G245</f>
        <v>0</v>
      </c>
      <c r="H291" s="49">
        <f>H76-H245</f>
        <v>0</v>
      </c>
      <c r="J291" s="34" t="str">
        <f t="shared" si="2"/>
        <v>OK</v>
      </c>
    </row>
    <row r="292" spans="2:10" ht="15" customHeight="1" x14ac:dyDescent="0.35">
      <c r="B292" s="40" t="s">
        <v>1132</v>
      </c>
      <c r="F292" s="49">
        <f>F78-F246</f>
        <v>0</v>
      </c>
      <c r="G292" s="49">
        <f>G78-G246</f>
        <v>0</v>
      </c>
      <c r="H292" s="49">
        <f>H78-H246</f>
        <v>0</v>
      </c>
      <c r="J292" s="34" t="str">
        <f t="shared" si="2"/>
        <v>OK</v>
      </c>
    </row>
    <row r="293" spans="2:10" ht="15" customHeight="1" x14ac:dyDescent="0.35">
      <c r="B293" s="40" t="s">
        <v>1192</v>
      </c>
      <c r="F293" s="49">
        <f t="shared" ref="F293:H294" si="3">F119-F247</f>
        <v>0</v>
      </c>
      <c r="G293" s="49">
        <f t="shared" si="3"/>
        <v>0</v>
      </c>
      <c r="H293" s="49">
        <f t="shared" si="3"/>
        <v>0</v>
      </c>
      <c r="J293" s="34" t="str">
        <f t="shared" si="2"/>
        <v>OK</v>
      </c>
    </row>
    <row r="294" spans="2:10" ht="15" customHeight="1" x14ac:dyDescent="0.35">
      <c r="B294" s="40" t="s">
        <v>1193</v>
      </c>
      <c r="F294" s="49">
        <f t="shared" si="3"/>
        <v>0</v>
      </c>
      <c r="G294" s="49">
        <f t="shared" si="3"/>
        <v>0</v>
      </c>
      <c r="H294" s="49">
        <f t="shared" si="3"/>
        <v>0</v>
      </c>
      <c r="J294" s="34" t="str">
        <f t="shared" si="2"/>
        <v>OK</v>
      </c>
    </row>
    <row r="295" spans="2:10" ht="15" customHeight="1" x14ac:dyDescent="0.35">
      <c r="B295" s="40" t="s">
        <v>1207</v>
      </c>
      <c r="E295" s="49">
        <f>E135-E249</f>
        <v>0</v>
      </c>
      <c r="F295" s="49">
        <f>F135-F249</f>
        <v>0</v>
      </c>
      <c r="G295" s="49">
        <f>G135-G249</f>
        <v>0</v>
      </c>
      <c r="H295" s="49">
        <f>H135-H249</f>
        <v>0</v>
      </c>
      <c r="J295" s="34" t="str">
        <f t="shared" ref="J295:J308" si="4">IF(MAX(ABS(E295),ABS(F295),ABS(G295),ABS(H295))&lt;=$E$233,"OK","CHECK")</f>
        <v>OK</v>
      </c>
    </row>
    <row r="296" spans="2:10" ht="15" customHeight="1" x14ac:dyDescent="0.35">
      <c r="B296" s="40" t="s">
        <v>1219</v>
      </c>
      <c r="E296" s="49">
        <f>E145-E250</f>
        <v>0</v>
      </c>
      <c r="F296" s="49">
        <f>F145-F250</f>
        <v>0</v>
      </c>
      <c r="G296" s="49">
        <f>G145-G250</f>
        <v>0</v>
      </c>
      <c r="H296" s="49">
        <f>H145-H250</f>
        <v>0</v>
      </c>
      <c r="J296" s="34" t="str">
        <f t="shared" si="4"/>
        <v>OK</v>
      </c>
    </row>
    <row r="297" spans="2:10" ht="15" customHeight="1" x14ac:dyDescent="0.35">
      <c r="B297" s="40" t="s">
        <v>1220</v>
      </c>
      <c r="E297" s="49">
        <f>E147-E251</f>
        <v>0</v>
      </c>
      <c r="F297" s="49">
        <f>F147-F251</f>
        <v>0</v>
      </c>
      <c r="G297" s="49">
        <f>G147-G251</f>
        <v>0</v>
      </c>
      <c r="H297" s="49">
        <f>H147-H251</f>
        <v>0</v>
      </c>
      <c r="J297" s="34" t="str">
        <f t="shared" si="4"/>
        <v>OK</v>
      </c>
    </row>
    <row r="298" spans="2:10" ht="15" customHeight="1" x14ac:dyDescent="0.35">
      <c r="B298" s="40" t="s">
        <v>1227</v>
      </c>
      <c r="E298" s="49">
        <f>E156-E252</f>
        <v>0</v>
      </c>
      <c r="F298" s="49">
        <f>F156-F252</f>
        <v>0</v>
      </c>
      <c r="G298" s="49">
        <f>G156-G252</f>
        <v>0</v>
      </c>
      <c r="H298" s="49">
        <f>H156-H252</f>
        <v>0</v>
      </c>
      <c r="J298" s="34" t="str">
        <f t="shared" si="4"/>
        <v>OK</v>
      </c>
    </row>
    <row r="299" spans="2:10" ht="15" customHeight="1" x14ac:dyDescent="0.35">
      <c r="B299" s="40" t="s">
        <v>1229</v>
      </c>
      <c r="E299" s="49">
        <f>E159-E253</f>
        <v>0</v>
      </c>
      <c r="F299" s="49">
        <f>F159-F253</f>
        <v>0</v>
      </c>
      <c r="G299" s="49">
        <f>G159-G253</f>
        <v>0</v>
      </c>
      <c r="H299" s="49">
        <f>H159-H253</f>
        <v>0</v>
      </c>
      <c r="J299" s="34" t="str">
        <f t="shared" si="4"/>
        <v>OK</v>
      </c>
    </row>
    <row r="300" spans="2:10" ht="15" customHeight="1" x14ac:dyDescent="0.35">
      <c r="B300" s="40" t="s">
        <v>1236</v>
      </c>
      <c r="E300" s="49">
        <f>E166-E254</f>
        <v>0</v>
      </c>
      <c r="F300" s="49">
        <f>F166-F254</f>
        <v>0</v>
      </c>
      <c r="G300" s="49">
        <f>G166-G254</f>
        <v>0</v>
      </c>
      <c r="H300" s="49">
        <f>H166-H254</f>
        <v>0</v>
      </c>
      <c r="J300" s="34" t="str">
        <f t="shared" si="4"/>
        <v>OK</v>
      </c>
    </row>
    <row r="301" spans="2:10" ht="15" customHeight="1" x14ac:dyDescent="0.35">
      <c r="B301" s="40" t="s">
        <v>1245</v>
      </c>
      <c r="E301" s="49">
        <f>E175-E255</f>
        <v>0</v>
      </c>
      <c r="F301" s="49">
        <f>F175-F255</f>
        <v>0</v>
      </c>
      <c r="G301" s="49">
        <f>G175-G255</f>
        <v>0</v>
      </c>
      <c r="H301" s="49">
        <f>H175-H255</f>
        <v>0</v>
      </c>
      <c r="J301" s="34" t="str">
        <f t="shared" si="4"/>
        <v>OK</v>
      </c>
    </row>
    <row r="302" spans="2:10" ht="15" customHeight="1" x14ac:dyDescent="0.35">
      <c r="B302" s="40" t="s">
        <v>1246</v>
      </c>
      <c r="E302" s="49">
        <f>E177-E256</f>
        <v>0</v>
      </c>
      <c r="F302" s="49">
        <f>F177-F256</f>
        <v>0</v>
      </c>
      <c r="G302" s="49">
        <f>G177-G256</f>
        <v>0</v>
      </c>
      <c r="H302" s="49">
        <f>H177-H256</f>
        <v>0</v>
      </c>
      <c r="J302" s="34" t="str">
        <f t="shared" si="4"/>
        <v>OK</v>
      </c>
    </row>
    <row r="303" spans="2:10" ht="15" customHeight="1" x14ac:dyDescent="0.35">
      <c r="B303" s="40" t="s">
        <v>1295</v>
      </c>
      <c r="E303" s="49">
        <f>E181-E257</f>
        <v>0</v>
      </c>
      <c r="F303" s="49">
        <f>F181-F257</f>
        <v>0</v>
      </c>
      <c r="G303" s="49">
        <f>G181-G257</f>
        <v>0</v>
      </c>
      <c r="H303" s="49">
        <f>H181-H257</f>
        <v>0</v>
      </c>
      <c r="J303" s="34" t="str">
        <f t="shared" si="4"/>
        <v>OK</v>
      </c>
    </row>
    <row r="304" spans="2:10" ht="15" customHeight="1" x14ac:dyDescent="0.35">
      <c r="B304" s="40" t="s">
        <v>1296</v>
      </c>
      <c r="E304" s="49">
        <f>E194-E258</f>
        <v>0</v>
      </c>
      <c r="F304" s="49">
        <f>F194-F258</f>
        <v>0</v>
      </c>
      <c r="G304" s="49">
        <f>G194-G258</f>
        <v>0</v>
      </c>
      <c r="H304" s="49">
        <f>H194-H258</f>
        <v>0</v>
      </c>
      <c r="J304" s="34" t="str">
        <f t="shared" si="4"/>
        <v>OK</v>
      </c>
    </row>
    <row r="305" spans="1:10" ht="15" customHeight="1" x14ac:dyDescent="0.35">
      <c r="B305" s="40" t="s">
        <v>1297</v>
      </c>
      <c r="E305" s="49">
        <f>E203-E259</f>
        <v>0</v>
      </c>
      <c r="F305" s="49">
        <f>F203-F259</f>
        <v>0</v>
      </c>
      <c r="G305" s="49">
        <f>G203-G259</f>
        <v>1</v>
      </c>
      <c r="H305" s="49">
        <f>H203-H259</f>
        <v>1</v>
      </c>
      <c r="J305" s="34" t="str">
        <f t="shared" si="4"/>
        <v>OK</v>
      </c>
    </row>
    <row r="306" spans="1:10" ht="15" customHeight="1" x14ac:dyDescent="0.35">
      <c r="B306" s="40" t="s">
        <v>1319</v>
      </c>
      <c r="E306" s="49">
        <f>E181-E132-E139</f>
        <v>0</v>
      </c>
      <c r="F306" s="49">
        <f>F181-F132-F139</f>
        <v>0</v>
      </c>
      <c r="G306" s="49">
        <f>G181-G132-G139</f>
        <v>0</v>
      </c>
      <c r="H306" s="49">
        <f>H181-H132-H139</f>
        <v>0</v>
      </c>
      <c r="J306" s="34" t="str">
        <f t="shared" si="4"/>
        <v>OK</v>
      </c>
    </row>
    <row r="307" spans="1:10" ht="15" customHeight="1" x14ac:dyDescent="0.35">
      <c r="B307" s="40" t="s">
        <v>1320</v>
      </c>
      <c r="E307" s="49">
        <f>E194-E162-E168</f>
        <v>0</v>
      </c>
      <c r="F307" s="49">
        <f>F194-F162-F168</f>
        <v>0</v>
      </c>
      <c r="G307" s="49">
        <f>G194-G162-G168</f>
        <v>0</v>
      </c>
      <c r="H307" s="49">
        <f>H194-H162-H168</f>
        <v>0</v>
      </c>
      <c r="J307" s="34" t="str">
        <f t="shared" si="4"/>
        <v>OK</v>
      </c>
    </row>
    <row r="308" spans="1:10" ht="15" customHeight="1" x14ac:dyDescent="0.35">
      <c r="B308" s="40" t="s">
        <v>1321</v>
      </c>
      <c r="E308" s="49">
        <f>E203-E163-E171</f>
        <v>0</v>
      </c>
      <c r="F308" s="49">
        <f>F203-F163-F171</f>
        <v>0</v>
      </c>
      <c r="G308" s="49">
        <f>G203-G163-G171</f>
        <v>0</v>
      </c>
      <c r="H308" s="49">
        <f>H203-H163-H171</f>
        <v>0</v>
      </c>
      <c r="J308" s="34" t="str">
        <f t="shared" si="4"/>
        <v>OK</v>
      </c>
    </row>
    <row r="309" spans="1:10" ht="15" customHeight="1" x14ac:dyDescent="0.35">
      <c r="B309" s="40" t="s">
        <v>1322</v>
      </c>
      <c r="F309" s="49">
        <f>F100+F101-F77</f>
        <v>0</v>
      </c>
      <c r="G309" s="49">
        <f>G100+G101-G77</f>
        <v>1</v>
      </c>
      <c r="H309" s="49">
        <f>H100+H101-H77</f>
        <v>-1</v>
      </c>
      <c r="J309" s="34" t="str">
        <f>IF(MAX(ABS(F309),ABS(G309),ABS(H309))&lt;=$E$233,"OK","CHECK")</f>
        <v>OK</v>
      </c>
    </row>
    <row r="310" spans="1:10" ht="15" customHeight="1" x14ac:dyDescent="0.35">
      <c r="B310" s="40" t="s">
        <v>1323</v>
      </c>
      <c r="F310" s="49">
        <f>SUM(F102:F106)+F107-F119</f>
        <v>0</v>
      </c>
      <c r="G310" s="49">
        <f>SUM(G102:G106)+G107-G119</f>
        <v>-1</v>
      </c>
      <c r="H310" s="49">
        <f>SUM(H102:H106)+H107-H119</f>
        <v>1</v>
      </c>
      <c r="J310" s="34" t="str">
        <f>IF(MAX(ABS(F310),ABS(G310),ABS(H310))&lt;=$E$233,"OK","CHECK")</f>
        <v>OK</v>
      </c>
    </row>
    <row r="311" spans="1:10" ht="15" customHeight="1" x14ac:dyDescent="0.35">
      <c r="B311" s="40" t="s">
        <v>1324</v>
      </c>
      <c r="F311" s="49">
        <f>F229-F69</f>
        <v>0</v>
      </c>
      <c r="G311" s="49">
        <f>G229-G69</f>
        <v>0</v>
      </c>
      <c r="H311" s="49">
        <f>H229-H69</f>
        <v>-1</v>
      </c>
      <c r="J311" s="34" t="str">
        <f>IF(MAX(ABS(F311),ABS(G311),ABS(H311))&lt;=$E$233,"OK","CHECK")</f>
        <v>OK</v>
      </c>
    </row>
    <row r="313" spans="1:10" ht="15" customHeight="1" x14ac:dyDescent="0.35">
      <c r="B313" s="71" t="s">
        <v>92</v>
      </c>
      <c r="C313" s="27"/>
      <c r="D313" s="27"/>
      <c r="E313" s="27"/>
      <c r="F313" s="27"/>
      <c r="G313" s="27"/>
      <c r="H313" s="27"/>
      <c r="I313" s="15"/>
      <c r="J313" s="72" t="str">
        <f>IF(COUNTIF(J262:J311,"CHECK")=0,"ALL OK",COUNTIF(J262:J311,"CHECK")&amp;" to check")</f>
        <v>ALL OK</v>
      </c>
    </row>
    <row r="315" spans="1:10" ht="15" customHeight="1" x14ac:dyDescent="0.35">
      <c r="A315" s="38"/>
      <c r="B315" s="29"/>
    </row>
    <row r="317" spans="1:10" ht="15" customHeight="1" x14ac:dyDescent="0.35">
      <c r="A317" s="17" t="s">
        <v>5</v>
      </c>
      <c r="B317" s="18" t="s">
        <v>1325</v>
      </c>
      <c r="C317" s="15"/>
      <c r="D317" s="15"/>
      <c r="E317" s="15"/>
      <c r="F317" s="15"/>
      <c r="G317" s="15"/>
      <c r="H317" s="15"/>
      <c r="I317" s="15"/>
      <c r="J317" s="15"/>
    </row>
    <row r="319" spans="1:10" ht="15" customHeight="1" x14ac:dyDescent="0.35">
      <c r="B319" s="74" t="s">
        <v>1326</v>
      </c>
      <c r="J319" s="20" t="s">
        <v>1327</v>
      </c>
    </row>
    <row r="320" spans="1:10" ht="15" customHeight="1" x14ac:dyDescent="0.35">
      <c r="B320" s="74" t="s">
        <v>1328</v>
      </c>
      <c r="J320" s="20" t="s">
        <v>1329</v>
      </c>
    </row>
    <row r="321" spans="1:10" ht="15" customHeight="1" x14ac:dyDescent="0.35">
      <c r="B321" s="74" t="s">
        <v>1330</v>
      </c>
      <c r="J321" s="20" t="s">
        <v>1331</v>
      </c>
    </row>
    <row r="322" spans="1:10" ht="15" customHeight="1" x14ac:dyDescent="0.35">
      <c r="B322" s="74" t="s">
        <v>1332</v>
      </c>
      <c r="J322" s="20" t="s">
        <v>1333</v>
      </c>
    </row>
    <row r="323" spans="1:10" ht="15" customHeight="1" x14ac:dyDescent="0.35">
      <c r="B323" s="74" t="s">
        <v>1334</v>
      </c>
      <c r="J323" s="20" t="s">
        <v>1333</v>
      </c>
    </row>
    <row r="324" spans="1:10" ht="15" customHeight="1" x14ac:dyDescent="0.35">
      <c r="B324" s="74" t="s">
        <v>1335</v>
      </c>
      <c r="J324" s="20" t="s">
        <v>1336</v>
      </c>
    </row>
    <row r="325" spans="1:10" ht="15" customHeight="1" x14ac:dyDescent="0.35">
      <c r="B325" s="74" t="s">
        <v>1337</v>
      </c>
      <c r="J325" s="20" t="s">
        <v>1338</v>
      </c>
    </row>
    <row r="326" spans="1:10" ht="15" customHeight="1" x14ac:dyDescent="0.35">
      <c r="B326" s="74" t="s">
        <v>1339</v>
      </c>
      <c r="J326" s="20" t="s">
        <v>1340</v>
      </c>
    </row>
    <row r="327" spans="1:10" ht="15" customHeight="1" x14ac:dyDescent="0.35">
      <c r="B327" s="74" t="s">
        <v>1341</v>
      </c>
      <c r="J327" s="20" t="s">
        <v>1342</v>
      </c>
    </row>
    <row r="328" spans="1:10" ht="15" customHeight="1" x14ac:dyDescent="0.35">
      <c r="B328" s="74" t="s">
        <v>1343</v>
      </c>
      <c r="J328" s="20" t="s">
        <v>1344</v>
      </c>
    </row>
    <row r="330" spans="1:10" ht="15" customHeight="1" x14ac:dyDescent="0.35">
      <c r="A330" s="17" t="s">
        <v>5</v>
      </c>
      <c r="B330" s="18" t="s">
        <v>1345</v>
      </c>
      <c r="C330" s="15"/>
      <c r="D330" s="15"/>
      <c r="E330" s="15"/>
      <c r="F330" s="15"/>
      <c r="G330" s="15"/>
      <c r="H330" s="15"/>
      <c r="I330" s="15"/>
      <c r="J330" s="15"/>
    </row>
    <row r="332" spans="1:10" ht="15" customHeight="1" x14ac:dyDescent="0.35">
      <c r="B332" s="73" t="s">
        <v>1346</v>
      </c>
    </row>
    <row r="333" spans="1:10" ht="15" customHeight="1" x14ac:dyDescent="0.35">
      <c r="B333" s="74" t="s">
        <v>1347</v>
      </c>
      <c r="C333" s="98" t="s">
        <v>1348</v>
      </c>
      <c r="F333" s="99">
        <v>586</v>
      </c>
      <c r="G333" s="99">
        <v>808</v>
      </c>
      <c r="H333" s="99">
        <v>835</v>
      </c>
      <c r="J333" s="20" t="s">
        <v>1349</v>
      </c>
    </row>
    <row r="334" spans="1:10" ht="15" customHeight="1" x14ac:dyDescent="0.35">
      <c r="B334" s="74" t="s">
        <v>1350</v>
      </c>
      <c r="C334" s="98" t="s">
        <v>1348</v>
      </c>
      <c r="F334" s="99">
        <v>308</v>
      </c>
      <c r="G334" s="99">
        <v>403</v>
      </c>
      <c r="H334" s="99">
        <v>501</v>
      </c>
    </row>
    <row r="335" spans="1:10" ht="15" customHeight="1" x14ac:dyDescent="0.35">
      <c r="B335" s="74" t="s">
        <v>1351</v>
      </c>
      <c r="C335" s="98" t="s">
        <v>1348</v>
      </c>
      <c r="F335" s="99">
        <v>63</v>
      </c>
      <c r="G335" s="99">
        <v>0</v>
      </c>
      <c r="H335" s="99">
        <v>376</v>
      </c>
      <c r="J335" s="20" t="s">
        <v>1352</v>
      </c>
    </row>
    <row r="336" spans="1:10" ht="15" customHeight="1" x14ac:dyDescent="0.35">
      <c r="B336" s="74" t="s">
        <v>1353</v>
      </c>
      <c r="C336" s="98" t="s">
        <v>1348</v>
      </c>
      <c r="F336" s="99">
        <v>-20</v>
      </c>
      <c r="G336" s="99">
        <v>-18</v>
      </c>
      <c r="H336" s="99">
        <v>-28</v>
      </c>
    </row>
    <row r="337" spans="2:10" ht="15" customHeight="1" x14ac:dyDescent="0.35">
      <c r="B337" s="74" t="s">
        <v>1354</v>
      </c>
      <c r="C337" s="98" t="s">
        <v>1348</v>
      </c>
      <c r="F337" s="99">
        <v>8</v>
      </c>
      <c r="G337" s="100"/>
      <c r="H337" s="100"/>
      <c r="J337" s="20" t="s">
        <v>1355</v>
      </c>
    </row>
    <row r="338" spans="2:10" ht="15" customHeight="1" x14ac:dyDescent="0.35">
      <c r="B338" s="74" t="s">
        <v>1356</v>
      </c>
      <c r="C338" s="98" t="s">
        <v>1348</v>
      </c>
      <c r="F338" s="99">
        <v>-48</v>
      </c>
      <c r="G338" s="99">
        <v>-6</v>
      </c>
      <c r="H338" s="99">
        <v>4</v>
      </c>
    </row>
    <row r="339" spans="2:10" ht="15" customHeight="1" x14ac:dyDescent="0.35">
      <c r="B339" s="74" t="s">
        <v>1357</v>
      </c>
      <c r="C339" s="98" t="s">
        <v>1348</v>
      </c>
      <c r="F339" s="99">
        <v>-59</v>
      </c>
      <c r="G339" s="99">
        <v>103</v>
      </c>
      <c r="H339" s="99">
        <v>-24</v>
      </c>
    </row>
    <row r="340" spans="2:10" ht="15" customHeight="1" x14ac:dyDescent="0.35">
      <c r="B340" s="74" t="s">
        <v>1358</v>
      </c>
      <c r="C340" s="98" t="s">
        <v>1348</v>
      </c>
      <c r="F340" s="99">
        <v>29</v>
      </c>
      <c r="G340" s="99">
        <v>135</v>
      </c>
      <c r="H340" s="99">
        <v>117</v>
      </c>
    </row>
    <row r="341" spans="2:10" ht="15" customHeight="1" x14ac:dyDescent="0.35">
      <c r="B341" s="74" t="s">
        <v>1359</v>
      </c>
      <c r="C341" s="98" t="s">
        <v>1348</v>
      </c>
      <c r="F341" s="99">
        <v>-217</v>
      </c>
      <c r="G341" s="99">
        <v>407</v>
      </c>
      <c r="H341" s="99">
        <v>499</v>
      </c>
    </row>
    <row r="342" spans="2:10" ht="15" customHeight="1" x14ac:dyDescent="0.35">
      <c r="B342" s="74" t="s">
        <v>1360</v>
      </c>
      <c r="C342" s="98" t="s">
        <v>1348</v>
      </c>
      <c r="F342" s="99">
        <v>39</v>
      </c>
      <c r="G342" s="99">
        <v>-102</v>
      </c>
      <c r="H342" s="99">
        <v>93</v>
      </c>
    </row>
    <row r="343" spans="2:10" ht="15" customHeight="1" x14ac:dyDescent="0.35">
      <c r="B343" s="74" t="s">
        <v>1361</v>
      </c>
      <c r="C343" s="98" t="s">
        <v>1348</v>
      </c>
      <c r="F343" s="99">
        <v>-4</v>
      </c>
      <c r="G343" s="99">
        <v>15</v>
      </c>
      <c r="H343" s="99">
        <v>-9</v>
      </c>
    </row>
    <row r="344" spans="2:10" ht="15" customHeight="1" x14ac:dyDescent="0.35">
      <c r="B344" s="74" t="s">
        <v>1362</v>
      </c>
      <c r="C344" s="98" t="s">
        <v>1348</v>
      </c>
      <c r="F344" s="99">
        <v>29</v>
      </c>
      <c r="G344" s="99">
        <v>16</v>
      </c>
      <c r="H344" s="99">
        <v>21</v>
      </c>
    </row>
    <row r="345" spans="2:10" ht="15" customHeight="1" x14ac:dyDescent="0.35">
      <c r="B345" s="74" t="s">
        <v>1363</v>
      </c>
      <c r="C345" s="98" t="s">
        <v>1348</v>
      </c>
      <c r="F345" s="99">
        <v>28</v>
      </c>
      <c r="G345" s="99">
        <v>-42</v>
      </c>
      <c r="H345" s="99">
        <v>-97</v>
      </c>
    </row>
    <row r="346" spans="2:10" ht="15" customHeight="1" x14ac:dyDescent="0.35">
      <c r="B346" s="74" t="s">
        <v>1068</v>
      </c>
      <c r="F346" s="101">
        <f>F496-(SUM(F333:F345))</f>
        <v>1</v>
      </c>
      <c r="G346" s="101">
        <f>G496-(SUM(G333:G345))</f>
        <v>1</v>
      </c>
      <c r="H346" s="101">
        <f>H496-(SUM(H333:H345))</f>
        <v>-1</v>
      </c>
      <c r="J346" s="20" t="s">
        <v>1364</v>
      </c>
    </row>
    <row r="347" spans="2:10" ht="15" customHeight="1" x14ac:dyDescent="0.35">
      <c r="B347" s="77" t="s">
        <v>1279</v>
      </c>
      <c r="C347" s="102" t="s">
        <v>1348</v>
      </c>
      <c r="D347" s="78"/>
      <c r="E347" s="78"/>
      <c r="F347" s="79">
        <f>SUM(F333:F346)</f>
        <v>743</v>
      </c>
      <c r="G347" s="79">
        <f>SUM(G333:G346)</f>
        <v>1720</v>
      </c>
      <c r="H347" s="79">
        <f>SUM(H333:H346)</f>
        <v>2287</v>
      </c>
      <c r="J347" s="20" t="s">
        <v>1365</v>
      </c>
    </row>
    <row r="349" spans="2:10" ht="15" customHeight="1" x14ac:dyDescent="0.35">
      <c r="B349" s="73" t="s">
        <v>1366</v>
      </c>
    </row>
    <row r="350" spans="2:10" ht="15" customHeight="1" x14ac:dyDescent="0.35">
      <c r="B350" s="74" t="s">
        <v>1367</v>
      </c>
      <c r="C350" s="98" t="s">
        <v>1348</v>
      </c>
      <c r="F350" s="99">
        <v>-398</v>
      </c>
      <c r="G350" s="99">
        <v>-732</v>
      </c>
      <c r="H350" s="99">
        <v>-872</v>
      </c>
    </row>
    <row r="351" spans="2:10" ht="15" customHeight="1" x14ac:dyDescent="0.35">
      <c r="B351" s="74" t="s">
        <v>1368</v>
      </c>
      <c r="C351" s="98" t="s">
        <v>1348</v>
      </c>
      <c r="F351" s="99">
        <v>0</v>
      </c>
      <c r="G351" s="99">
        <v>35</v>
      </c>
      <c r="H351" s="99">
        <v>0</v>
      </c>
      <c r="J351" s="20" t="s">
        <v>1369</v>
      </c>
    </row>
    <row r="352" spans="2:10" ht="15" customHeight="1" x14ac:dyDescent="0.35">
      <c r="B352" s="74" t="s">
        <v>1370</v>
      </c>
      <c r="C352" s="98" t="s">
        <v>1348</v>
      </c>
      <c r="F352" s="99">
        <v>2</v>
      </c>
      <c r="G352" s="99">
        <v>10</v>
      </c>
      <c r="H352" s="99">
        <v>10</v>
      </c>
    </row>
    <row r="353" spans="2:10" ht="15" customHeight="1" x14ac:dyDescent="0.35">
      <c r="B353" s="74" t="s">
        <v>1371</v>
      </c>
      <c r="C353" s="98" t="s">
        <v>1348</v>
      </c>
      <c r="F353" s="99">
        <v>155</v>
      </c>
      <c r="G353" s="99">
        <v>24</v>
      </c>
      <c r="H353" s="99">
        <v>74</v>
      </c>
    </row>
    <row r="354" spans="2:10" ht="15" customHeight="1" x14ac:dyDescent="0.35">
      <c r="B354" s="74" t="s">
        <v>1372</v>
      </c>
      <c r="C354" s="98" t="s">
        <v>1348</v>
      </c>
      <c r="F354" s="99">
        <v>-1064</v>
      </c>
      <c r="G354" s="99">
        <v>-508</v>
      </c>
      <c r="H354" s="99">
        <v>-54</v>
      </c>
      <c r="J354" s="20" t="s">
        <v>1373</v>
      </c>
    </row>
    <row r="355" spans="2:10" ht="15" customHeight="1" x14ac:dyDescent="0.35">
      <c r="B355" s="74" t="s">
        <v>1374</v>
      </c>
      <c r="C355" s="98" t="s">
        <v>1348</v>
      </c>
      <c r="F355" s="99">
        <v>130</v>
      </c>
      <c r="G355" s="100"/>
      <c r="H355" s="100"/>
      <c r="J355" s="20" t="s">
        <v>1375</v>
      </c>
    </row>
    <row r="356" spans="2:10" ht="15" customHeight="1" x14ac:dyDescent="0.35">
      <c r="B356" s="74" t="s">
        <v>1068</v>
      </c>
      <c r="F356" s="101">
        <f>F497-(SUM(F350:F355))</f>
        <v>0</v>
      </c>
      <c r="G356" s="101">
        <f>G497-(SUM(G350:G355))</f>
        <v>-1</v>
      </c>
      <c r="H356" s="101">
        <f>H497-(SUM(H350:H355))</f>
        <v>-1</v>
      </c>
      <c r="J356" s="20" t="s">
        <v>1364</v>
      </c>
    </row>
    <row r="357" spans="2:10" ht="15" customHeight="1" x14ac:dyDescent="0.35">
      <c r="B357" s="77" t="s">
        <v>1376</v>
      </c>
      <c r="C357" s="102" t="s">
        <v>1348</v>
      </c>
      <c r="D357" s="78"/>
      <c r="E357" s="78"/>
      <c r="F357" s="79">
        <f>SUM(F350:F356)</f>
        <v>-1175</v>
      </c>
      <c r="G357" s="79">
        <f>SUM(G350:G356)</f>
        <v>-1172</v>
      </c>
      <c r="H357" s="79">
        <f>SUM(H350:H356)</f>
        <v>-843</v>
      </c>
    </row>
    <row r="359" spans="2:10" ht="15" customHeight="1" x14ac:dyDescent="0.35">
      <c r="B359" s="73" t="s">
        <v>1377</v>
      </c>
    </row>
    <row r="360" spans="2:10" ht="15" customHeight="1" x14ac:dyDescent="0.35">
      <c r="B360" s="74" t="s">
        <v>1378</v>
      </c>
      <c r="C360" s="98" t="s">
        <v>1348</v>
      </c>
      <c r="F360" s="99">
        <v>-187</v>
      </c>
      <c r="G360" s="99">
        <v>-248</v>
      </c>
      <c r="H360" s="99">
        <v>-369</v>
      </c>
    </row>
    <row r="361" spans="2:10" ht="15" customHeight="1" x14ac:dyDescent="0.35">
      <c r="B361" s="74" t="s">
        <v>1379</v>
      </c>
      <c r="C361" s="98" t="s">
        <v>1348</v>
      </c>
      <c r="F361" s="99">
        <v>-3</v>
      </c>
      <c r="G361" s="99">
        <v>-29</v>
      </c>
      <c r="H361" s="99">
        <v>-52</v>
      </c>
    </row>
    <row r="362" spans="2:10" ht="15" customHeight="1" x14ac:dyDescent="0.35">
      <c r="B362" s="74" t="s">
        <v>1380</v>
      </c>
      <c r="C362" s="98" t="s">
        <v>1348</v>
      </c>
      <c r="F362" s="99">
        <v>21</v>
      </c>
      <c r="G362" s="99">
        <v>22</v>
      </c>
      <c r="H362" s="99">
        <v>75</v>
      </c>
    </row>
    <row r="363" spans="2:10" ht="15" customHeight="1" x14ac:dyDescent="0.35">
      <c r="B363" s="74" t="s">
        <v>898</v>
      </c>
      <c r="C363" s="98" t="s">
        <v>1348</v>
      </c>
      <c r="F363" s="99">
        <v>407</v>
      </c>
      <c r="G363" s="99">
        <v>793</v>
      </c>
      <c r="H363" s="99">
        <v>71</v>
      </c>
      <c r="J363" s="20" t="s">
        <v>1381</v>
      </c>
    </row>
    <row r="364" spans="2:10" ht="15" customHeight="1" x14ac:dyDescent="0.35">
      <c r="B364" s="74" t="s">
        <v>899</v>
      </c>
      <c r="C364" s="98" t="s">
        <v>1348</v>
      </c>
      <c r="F364" s="99">
        <v>-485</v>
      </c>
      <c r="G364" s="99">
        <v>-773</v>
      </c>
      <c r="H364" s="99">
        <v>-585</v>
      </c>
    </row>
    <row r="365" spans="2:10" ht="15" customHeight="1" x14ac:dyDescent="0.35">
      <c r="B365" s="74" t="s">
        <v>1382</v>
      </c>
      <c r="C365" s="98" t="s">
        <v>1348</v>
      </c>
      <c r="F365" s="99">
        <v>113</v>
      </c>
      <c r="G365" s="100"/>
      <c r="H365" s="100"/>
      <c r="J365" s="20" t="s">
        <v>1383</v>
      </c>
    </row>
    <row r="366" spans="2:10" ht="15" customHeight="1" x14ac:dyDescent="0.35">
      <c r="B366" s="74" t="s">
        <v>1384</v>
      </c>
      <c r="C366" s="98" t="s">
        <v>1348</v>
      </c>
      <c r="F366" s="99">
        <v>887</v>
      </c>
      <c r="G366" s="100"/>
      <c r="H366" s="100"/>
      <c r="J366" s="20" t="s">
        <v>1383</v>
      </c>
    </row>
    <row r="367" spans="2:10" ht="15" customHeight="1" x14ac:dyDescent="0.35">
      <c r="B367" s="74" t="s">
        <v>1385</v>
      </c>
      <c r="C367" s="98" t="s">
        <v>1348</v>
      </c>
      <c r="F367" s="99">
        <v>-7</v>
      </c>
      <c r="G367" s="100"/>
      <c r="H367" s="100"/>
      <c r="J367" s="20" t="s">
        <v>1383</v>
      </c>
    </row>
    <row r="368" spans="2:10" ht="15" customHeight="1" x14ac:dyDescent="0.35">
      <c r="B368" s="74" t="s">
        <v>1068</v>
      </c>
      <c r="F368" s="101">
        <f>F498-(SUM(F360:F367))</f>
        <v>0</v>
      </c>
      <c r="G368" s="101">
        <f>G498-(SUM(G360:G367))</f>
        <v>1</v>
      </c>
      <c r="H368" s="101">
        <f>H498-(SUM(H360:H367))</f>
        <v>-1</v>
      </c>
      <c r="J368" s="20" t="s">
        <v>1364</v>
      </c>
    </row>
    <row r="369" spans="1:10" ht="15" customHeight="1" x14ac:dyDescent="0.35">
      <c r="B369" s="77" t="s">
        <v>1386</v>
      </c>
      <c r="C369" s="102" t="s">
        <v>1348</v>
      </c>
      <c r="D369" s="78"/>
      <c r="E369" s="78"/>
      <c r="F369" s="79">
        <f>SUM(F360:F368)</f>
        <v>746</v>
      </c>
      <c r="G369" s="79">
        <f>SUM(G360:G368)</f>
        <v>-234</v>
      </c>
      <c r="H369" s="79">
        <f>SUM(H360:H368)</f>
        <v>-861</v>
      </c>
    </row>
    <row r="371" spans="1:10" ht="15" customHeight="1" x14ac:dyDescent="0.35">
      <c r="B371" s="74" t="s">
        <v>1119</v>
      </c>
      <c r="F371" s="101">
        <f>F499-(F347+F357+F369)</f>
        <v>0</v>
      </c>
      <c r="G371" s="101">
        <f>G499-(G347+G357+G369)</f>
        <v>-1</v>
      </c>
      <c r="H371" s="101">
        <f>H499-(H347+H357+H369)</f>
        <v>0</v>
      </c>
      <c r="J371" s="20" t="s">
        <v>1364</v>
      </c>
    </row>
    <row r="372" spans="1:10" ht="15" customHeight="1" x14ac:dyDescent="0.35">
      <c r="B372" s="77" t="s">
        <v>1387</v>
      </c>
      <c r="C372" s="102" t="s">
        <v>1348</v>
      </c>
      <c r="D372" s="78"/>
      <c r="E372" s="78"/>
      <c r="F372" s="79">
        <f>F347+F357+F369+F371</f>
        <v>314</v>
      </c>
      <c r="G372" s="79">
        <f>G347+G357+G369+G371</f>
        <v>313</v>
      </c>
      <c r="H372" s="79">
        <f>H347+H357+H369+H371</f>
        <v>583</v>
      </c>
    </row>
    <row r="373" spans="1:10" ht="15" customHeight="1" x14ac:dyDescent="0.35">
      <c r="B373" s="74" t="s">
        <v>1388</v>
      </c>
      <c r="C373" s="98" t="s">
        <v>1348</v>
      </c>
      <c r="F373" s="99">
        <v>-9</v>
      </c>
      <c r="G373" s="99">
        <v>-2</v>
      </c>
      <c r="H373" s="99">
        <v>-10</v>
      </c>
    </row>
    <row r="374" spans="1:10" ht="15" customHeight="1" x14ac:dyDescent="0.35">
      <c r="B374" s="74" t="s">
        <v>1119</v>
      </c>
      <c r="F374" s="101">
        <f>F500-(F372+F373)</f>
        <v>0</v>
      </c>
      <c r="G374" s="101">
        <f>G500-(G372+G373)</f>
        <v>1</v>
      </c>
      <c r="H374" s="101">
        <f>H500-(H372+H373)</f>
        <v>1</v>
      </c>
      <c r="J374" s="20" t="s">
        <v>1364</v>
      </c>
    </row>
    <row r="375" spans="1:10" ht="15" customHeight="1" x14ac:dyDescent="0.35">
      <c r="B375" s="77" t="s">
        <v>1389</v>
      </c>
      <c r="C375" s="78"/>
      <c r="D375" s="78"/>
      <c r="E375" s="78"/>
      <c r="F375" s="79">
        <f>F372+F373+F374</f>
        <v>305</v>
      </c>
      <c r="G375" s="79">
        <f>G372+G373+G374</f>
        <v>312</v>
      </c>
      <c r="H375" s="79">
        <f>H372+H373+H374</f>
        <v>574</v>
      </c>
    </row>
    <row r="376" spans="1:10" ht="15" customHeight="1" x14ac:dyDescent="0.35">
      <c r="B376" s="74" t="s">
        <v>1390</v>
      </c>
      <c r="C376" s="98" t="s">
        <v>1215</v>
      </c>
      <c r="F376" s="99">
        <v>568</v>
      </c>
      <c r="G376" s="99">
        <v>873</v>
      </c>
      <c r="H376" s="99">
        <v>1184</v>
      </c>
      <c r="J376" s="20" t="s">
        <v>1391</v>
      </c>
    </row>
    <row r="377" spans="1:10" ht="15" customHeight="1" x14ac:dyDescent="0.35">
      <c r="B377" s="74" t="s">
        <v>1119</v>
      </c>
      <c r="F377" s="101">
        <f>F501-(F376+F375)</f>
        <v>0</v>
      </c>
      <c r="G377" s="101">
        <f>G501-(G376+G375)</f>
        <v>-1</v>
      </c>
      <c r="H377" s="101">
        <f>H501-(H376+H375)</f>
        <v>0</v>
      </c>
      <c r="J377" s="20" t="s">
        <v>1364</v>
      </c>
    </row>
    <row r="378" spans="1:10" ht="15" customHeight="1" x14ac:dyDescent="0.35">
      <c r="B378" s="77" t="s">
        <v>1392</v>
      </c>
      <c r="C378" s="78"/>
      <c r="D378" s="78"/>
      <c r="E378" s="78"/>
      <c r="F378" s="79">
        <f>F376+F375+F377</f>
        <v>873</v>
      </c>
      <c r="G378" s="79">
        <f>G376+G375+G377</f>
        <v>1184</v>
      </c>
      <c r="H378" s="79">
        <f>H376+H375+H377</f>
        <v>1758</v>
      </c>
    </row>
    <row r="379" spans="1:10" ht="15" customHeight="1" x14ac:dyDescent="0.35">
      <c r="B379" s="74" t="s">
        <v>1393</v>
      </c>
      <c r="C379" s="98" t="s">
        <v>1130</v>
      </c>
      <c r="F379" s="99">
        <v>23</v>
      </c>
      <c r="G379" s="99">
        <v>0</v>
      </c>
      <c r="H379" s="99">
        <v>108</v>
      </c>
      <c r="J379" s="20" t="s">
        <v>1394</v>
      </c>
    </row>
    <row r="380" spans="1:10" ht="15" customHeight="1" x14ac:dyDescent="0.35">
      <c r="B380" s="77" t="s">
        <v>1395</v>
      </c>
      <c r="C380" s="102" t="s">
        <v>1215</v>
      </c>
      <c r="D380" s="78"/>
      <c r="E380" s="78"/>
      <c r="F380" s="79">
        <f>F378-F379</f>
        <v>850</v>
      </c>
      <c r="G380" s="79">
        <f>G378-G379</f>
        <v>1184</v>
      </c>
      <c r="H380" s="79">
        <f>H378-H379</f>
        <v>1650</v>
      </c>
    </row>
    <row r="382" spans="1:10" ht="15" customHeight="1" x14ac:dyDescent="0.35">
      <c r="A382" s="17" t="s">
        <v>5</v>
      </c>
      <c r="B382" s="18" t="s">
        <v>1396</v>
      </c>
      <c r="C382" s="15"/>
      <c r="D382" s="15"/>
      <c r="E382" s="15"/>
      <c r="F382" s="15"/>
      <c r="G382" s="15"/>
      <c r="H382" s="15"/>
      <c r="I382" s="15"/>
      <c r="J382" s="15"/>
    </row>
    <row r="384" spans="1:10" ht="15" customHeight="1" x14ac:dyDescent="0.35">
      <c r="B384" s="74" t="s">
        <v>1397</v>
      </c>
      <c r="C384" s="98" t="s">
        <v>1348</v>
      </c>
      <c r="F384" s="99">
        <v>740</v>
      </c>
      <c r="G384" s="99">
        <v>1625</v>
      </c>
      <c r="H384" s="99">
        <v>1996</v>
      </c>
      <c r="J384" s="20" t="s">
        <v>1398</v>
      </c>
    </row>
    <row r="385" spans="1:10" ht="15" customHeight="1" x14ac:dyDescent="0.35">
      <c r="B385" s="74" t="s">
        <v>1399</v>
      </c>
      <c r="C385" s="98" t="s">
        <v>1348</v>
      </c>
      <c r="F385" s="99">
        <v>3</v>
      </c>
      <c r="G385" s="99">
        <v>95</v>
      </c>
      <c r="H385" s="99">
        <v>291</v>
      </c>
    </row>
    <row r="386" spans="1:10" ht="15" customHeight="1" x14ac:dyDescent="0.35">
      <c r="B386" s="74" t="s">
        <v>1400</v>
      </c>
      <c r="C386" s="98" t="s">
        <v>1348</v>
      </c>
      <c r="F386" s="99">
        <v>-1224</v>
      </c>
      <c r="G386" s="99">
        <v>-1072</v>
      </c>
      <c r="H386" s="99">
        <v>-796</v>
      </c>
    </row>
    <row r="387" spans="1:10" ht="15" customHeight="1" x14ac:dyDescent="0.35">
      <c r="B387" s="74" t="s">
        <v>1401</v>
      </c>
      <c r="C387" s="98" t="s">
        <v>1348</v>
      </c>
      <c r="F387" s="99">
        <v>49</v>
      </c>
      <c r="G387" s="99">
        <v>-100</v>
      </c>
      <c r="H387" s="99">
        <v>-47</v>
      </c>
    </row>
    <row r="388" spans="1:10" ht="15" customHeight="1" x14ac:dyDescent="0.35">
      <c r="B388" s="74" t="s">
        <v>1402</v>
      </c>
      <c r="C388" s="98" t="s">
        <v>1348</v>
      </c>
      <c r="F388" s="99">
        <v>721</v>
      </c>
      <c r="G388" s="99">
        <v>-114</v>
      </c>
      <c r="H388" s="99">
        <v>-830</v>
      </c>
    </row>
    <row r="389" spans="1:10" ht="15" customHeight="1" x14ac:dyDescent="0.35">
      <c r="B389" s="74" t="s">
        <v>1403</v>
      </c>
      <c r="C389" s="98" t="s">
        <v>1348</v>
      </c>
      <c r="F389" s="99">
        <v>26</v>
      </c>
      <c r="G389" s="99">
        <v>-120</v>
      </c>
      <c r="H389" s="99">
        <v>-31</v>
      </c>
    </row>
    <row r="391" spans="1:10" ht="15" customHeight="1" x14ac:dyDescent="0.35">
      <c r="A391" s="17" t="s">
        <v>5</v>
      </c>
      <c r="B391" s="18" t="s">
        <v>1404</v>
      </c>
      <c r="C391" s="15"/>
      <c r="D391" s="15"/>
      <c r="E391" s="15"/>
      <c r="F391" s="15"/>
      <c r="G391" s="15"/>
      <c r="H391" s="15"/>
      <c r="I391" s="15"/>
      <c r="J391" s="15"/>
    </row>
    <row r="393" spans="1:10" ht="15" customHeight="1" x14ac:dyDescent="0.35">
      <c r="B393" s="74" t="s">
        <v>1405</v>
      </c>
      <c r="C393" s="98" t="s">
        <v>1348</v>
      </c>
      <c r="F393" s="99">
        <v>-43</v>
      </c>
      <c r="G393" s="99">
        <v>-65</v>
      </c>
      <c r="H393" s="99">
        <v>-66</v>
      </c>
    </row>
    <row r="394" spans="1:10" ht="15" customHeight="1" x14ac:dyDescent="0.35">
      <c r="B394" s="74" t="s">
        <v>881</v>
      </c>
      <c r="C394" s="98" t="s">
        <v>1348</v>
      </c>
      <c r="F394" s="99">
        <v>29</v>
      </c>
      <c r="G394" s="99">
        <v>18</v>
      </c>
      <c r="H394" s="99">
        <v>21</v>
      </c>
      <c r="J394" s="20" t="s">
        <v>1406</v>
      </c>
    </row>
    <row r="395" spans="1:10" ht="15" customHeight="1" x14ac:dyDescent="0.35">
      <c r="B395" s="74" t="s">
        <v>883</v>
      </c>
      <c r="C395" s="98" t="s">
        <v>1348</v>
      </c>
      <c r="F395" s="99">
        <v>-71</v>
      </c>
      <c r="G395" s="99">
        <v>-83</v>
      </c>
      <c r="H395" s="99">
        <v>-87</v>
      </c>
    </row>
    <row r="396" spans="1:10" ht="15" customHeight="1" x14ac:dyDescent="0.35">
      <c r="B396" s="74" t="s">
        <v>1068</v>
      </c>
      <c r="F396" s="101">
        <f>F393-(F394+F395)</f>
        <v>-1</v>
      </c>
      <c r="G396" s="101">
        <f>G393-(G394+G395)</f>
        <v>0</v>
      </c>
      <c r="H396" s="101">
        <f>H393-(H394+H395)</f>
        <v>0</v>
      </c>
      <c r="J396" s="20" t="s">
        <v>1407</v>
      </c>
    </row>
    <row r="397" spans="1:10" ht="15" customHeight="1" x14ac:dyDescent="0.35">
      <c r="B397" s="74" t="s">
        <v>1408</v>
      </c>
      <c r="C397" s="98" t="s">
        <v>1348</v>
      </c>
      <c r="F397" s="99">
        <v>-157</v>
      </c>
      <c r="G397" s="99">
        <v>-351</v>
      </c>
      <c r="H397" s="99">
        <v>-355</v>
      </c>
    </row>
    <row r="398" spans="1:10" ht="15" customHeight="1" x14ac:dyDescent="0.35">
      <c r="B398" s="74" t="s">
        <v>1409</v>
      </c>
      <c r="C398" s="98" t="s">
        <v>1348</v>
      </c>
      <c r="F398" s="100"/>
      <c r="G398" s="100"/>
      <c r="H398" s="99">
        <v>24</v>
      </c>
    </row>
    <row r="400" spans="1:10" ht="15" customHeight="1" x14ac:dyDescent="0.35">
      <c r="A400" s="17" t="s">
        <v>5</v>
      </c>
      <c r="B400" s="18" t="s">
        <v>1410</v>
      </c>
      <c r="C400" s="15"/>
      <c r="D400" s="15"/>
      <c r="E400" s="15"/>
      <c r="F400" s="15"/>
      <c r="G400" s="15"/>
      <c r="H400" s="15"/>
      <c r="I400" s="15"/>
      <c r="J400" s="15"/>
    </row>
    <row r="402" spans="2:10" ht="15" customHeight="1" x14ac:dyDescent="0.35">
      <c r="B402" s="73" t="s">
        <v>1411</v>
      </c>
    </row>
    <row r="403" spans="2:10" ht="15" customHeight="1" x14ac:dyDescent="0.35">
      <c r="B403" s="74" t="s">
        <v>1412</v>
      </c>
      <c r="C403" s="98" t="s">
        <v>1130</v>
      </c>
      <c r="G403" s="99">
        <v>2036</v>
      </c>
      <c r="H403" s="99">
        <v>1919</v>
      </c>
    </row>
    <row r="404" spans="2:10" ht="15" customHeight="1" x14ac:dyDescent="0.35">
      <c r="B404" s="74" t="s">
        <v>1413</v>
      </c>
      <c r="C404" s="98" t="s">
        <v>1130</v>
      </c>
      <c r="G404" s="99">
        <v>85</v>
      </c>
      <c r="H404" s="99">
        <v>95</v>
      </c>
    </row>
    <row r="405" spans="2:10" ht="15" customHeight="1" x14ac:dyDescent="0.35">
      <c r="B405" s="74" t="s">
        <v>1414</v>
      </c>
      <c r="C405" s="98" t="s">
        <v>1130</v>
      </c>
      <c r="G405" s="99">
        <v>-1927</v>
      </c>
      <c r="H405" s="99">
        <v>-1847</v>
      </c>
    </row>
    <row r="406" spans="2:10" ht="15" customHeight="1" x14ac:dyDescent="0.35">
      <c r="B406" s="74" t="s">
        <v>1415</v>
      </c>
      <c r="C406" s="98" t="s">
        <v>1130</v>
      </c>
      <c r="G406" s="99">
        <v>-101</v>
      </c>
      <c r="H406" s="99">
        <v>-83</v>
      </c>
    </row>
    <row r="407" spans="2:10" ht="15" customHeight="1" x14ac:dyDescent="0.35">
      <c r="B407" s="74" t="s">
        <v>1416</v>
      </c>
      <c r="C407" s="98" t="s">
        <v>1130</v>
      </c>
      <c r="G407" s="99">
        <v>-18</v>
      </c>
      <c r="H407" s="99">
        <v>-376</v>
      </c>
    </row>
    <row r="408" spans="2:10" ht="15" customHeight="1" x14ac:dyDescent="0.35">
      <c r="B408" s="74" t="s">
        <v>1417</v>
      </c>
      <c r="C408" s="98" t="s">
        <v>1130</v>
      </c>
      <c r="G408" s="99">
        <v>-14</v>
      </c>
      <c r="H408" s="99">
        <v>-11</v>
      </c>
    </row>
    <row r="409" spans="2:10" ht="15" customHeight="1" x14ac:dyDescent="0.35">
      <c r="B409" s="74" t="s">
        <v>1068</v>
      </c>
      <c r="G409" s="101">
        <f>G503-(SUM(G403:G408))</f>
        <v>0</v>
      </c>
      <c r="H409" s="101">
        <f>H503-(SUM(H403:H408))</f>
        <v>1</v>
      </c>
      <c r="J409" s="20" t="s">
        <v>1364</v>
      </c>
    </row>
    <row r="410" spans="2:10" ht="15" customHeight="1" x14ac:dyDescent="0.35">
      <c r="B410" s="77" t="s">
        <v>1418</v>
      </c>
      <c r="C410" s="102" t="s">
        <v>1130</v>
      </c>
      <c r="D410" s="78"/>
      <c r="E410" s="78"/>
      <c r="F410" s="78"/>
      <c r="G410" s="79">
        <f>SUM(G403:G409)</f>
        <v>61</v>
      </c>
      <c r="H410" s="79">
        <f>SUM(H403:H409)</f>
        <v>-302</v>
      </c>
    </row>
    <row r="411" spans="2:10" ht="15" customHeight="1" x14ac:dyDescent="0.35">
      <c r="B411" s="73" t="s">
        <v>1419</v>
      </c>
    </row>
    <row r="412" spans="2:10" ht="15" customHeight="1" x14ac:dyDescent="0.35">
      <c r="B412" s="74" t="s">
        <v>1420</v>
      </c>
      <c r="C412" s="98" t="s">
        <v>1130</v>
      </c>
      <c r="F412" s="99">
        <v>564</v>
      </c>
      <c r="G412" s="99">
        <v>172</v>
      </c>
      <c r="H412" s="99">
        <v>0</v>
      </c>
      <c r="J412" s="20" t="s">
        <v>1421</v>
      </c>
    </row>
    <row r="413" spans="2:10" ht="15" customHeight="1" x14ac:dyDescent="0.35">
      <c r="B413" s="74" t="s">
        <v>1414</v>
      </c>
      <c r="C413" s="98" t="s">
        <v>1130</v>
      </c>
      <c r="F413" s="99">
        <v>-623</v>
      </c>
      <c r="G413" s="99">
        <v>-250</v>
      </c>
      <c r="H413" s="99">
        <v>-13</v>
      </c>
    </row>
    <row r="414" spans="2:10" ht="15" customHeight="1" x14ac:dyDescent="0.35">
      <c r="B414" s="74" t="s">
        <v>1068</v>
      </c>
      <c r="F414" s="101">
        <f>F504-(SUM(F412:F413))</f>
        <v>0</v>
      </c>
      <c r="G414" s="101">
        <f>G504-(SUM(G412:G413))</f>
        <v>0</v>
      </c>
      <c r="H414" s="101">
        <f>H504-(SUM(H412:H413))</f>
        <v>0</v>
      </c>
      <c r="J414" s="20" t="s">
        <v>1364</v>
      </c>
    </row>
    <row r="415" spans="2:10" ht="15" customHeight="1" x14ac:dyDescent="0.35">
      <c r="B415" s="77" t="s">
        <v>1422</v>
      </c>
      <c r="C415" s="102" t="s">
        <v>1130</v>
      </c>
      <c r="D415" s="78"/>
      <c r="E415" s="78"/>
      <c r="F415" s="79">
        <f>SUM(F412:F414)</f>
        <v>-59</v>
      </c>
      <c r="G415" s="79">
        <f>SUM(G412:G414)</f>
        <v>-78</v>
      </c>
      <c r="H415" s="79">
        <f>SUM(H412:H414)</f>
        <v>-13</v>
      </c>
    </row>
    <row r="416" spans="2:10" ht="15" customHeight="1" x14ac:dyDescent="0.35">
      <c r="B416" s="74" t="s">
        <v>1423</v>
      </c>
      <c r="C416" s="98" t="s">
        <v>1130</v>
      </c>
      <c r="F416" s="99">
        <v>-63</v>
      </c>
      <c r="G416" s="100"/>
      <c r="H416" s="100"/>
      <c r="J416" s="20" t="s">
        <v>1424</v>
      </c>
    </row>
    <row r="417" spans="1:10" ht="15" customHeight="1" x14ac:dyDescent="0.35">
      <c r="B417" s="74" t="s">
        <v>1425</v>
      </c>
      <c r="C417" s="98" t="s">
        <v>1130</v>
      </c>
      <c r="F417" s="99">
        <v>13</v>
      </c>
      <c r="G417" s="99">
        <v>-75</v>
      </c>
      <c r="H417" s="99">
        <v>-13</v>
      </c>
      <c r="J417" s="20" t="s">
        <v>1426</v>
      </c>
    </row>
    <row r="419" spans="1:10" ht="15" customHeight="1" x14ac:dyDescent="0.35">
      <c r="A419" s="17" t="s">
        <v>5</v>
      </c>
      <c r="B419" s="18" t="s">
        <v>1427</v>
      </c>
      <c r="C419" s="15"/>
      <c r="D419" s="15"/>
      <c r="E419" s="15"/>
      <c r="F419" s="15"/>
      <c r="G419" s="15"/>
      <c r="H419" s="15"/>
      <c r="I419" s="15"/>
      <c r="J419" s="15"/>
    </row>
    <row r="421" spans="1:10" x14ac:dyDescent="0.35">
      <c r="B421" s="20" t="s">
        <v>1428</v>
      </c>
    </row>
    <row r="422" spans="1:10" ht="15" customHeight="1" x14ac:dyDescent="0.35">
      <c r="B422" s="74" t="s">
        <v>1429</v>
      </c>
      <c r="C422" s="98" t="s">
        <v>1430</v>
      </c>
      <c r="F422" s="99">
        <v>1212</v>
      </c>
      <c r="G422" s="99">
        <v>563</v>
      </c>
      <c r="H422" s="99">
        <v>52</v>
      </c>
      <c r="J422" s="20" t="s">
        <v>1431</v>
      </c>
    </row>
    <row r="423" spans="1:10" ht="15" customHeight="1" x14ac:dyDescent="0.35">
      <c r="B423" s="74" t="s">
        <v>1432</v>
      </c>
      <c r="C423" s="98" t="s">
        <v>1430</v>
      </c>
      <c r="F423" s="99">
        <v>1078</v>
      </c>
      <c r="G423" s="99">
        <v>563</v>
      </c>
      <c r="H423" s="100"/>
      <c r="J423" s="20" t="s">
        <v>1433</v>
      </c>
    </row>
    <row r="424" spans="1:10" ht="15" customHeight="1" x14ac:dyDescent="0.35">
      <c r="B424" s="74" t="s">
        <v>1434</v>
      </c>
      <c r="C424" s="98" t="s">
        <v>1430</v>
      </c>
      <c r="F424" s="99">
        <v>134</v>
      </c>
      <c r="G424" s="100"/>
      <c r="H424" s="100"/>
    </row>
    <row r="425" spans="1:10" ht="15" customHeight="1" x14ac:dyDescent="0.35">
      <c r="B425" s="74" t="s">
        <v>1435</v>
      </c>
      <c r="C425" s="98" t="s">
        <v>1430</v>
      </c>
      <c r="F425" s="100"/>
      <c r="G425" s="99">
        <v>-44</v>
      </c>
      <c r="H425" s="100"/>
    </row>
    <row r="426" spans="1:10" ht="15" customHeight="1" x14ac:dyDescent="0.35">
      <c r="B426" s="73" t="s">
        <v>1436</v>
      </c>
    </row>
    <row r="427" spans="1:10" ht="15" customHeight="1" x14ac:dyDescent="0.35">
      <c r="B427" s="74" t="s">
        <v>1437</v>
      </c>
      <c r="C427" s="98" t="s">
        <v>1430</v>
      </c>
      <c r="F427" s="99">
        <v>625</v>
      </c>
      <c r="G427" s="99">
        <v>406</v>
      </c>
      <c r="J427" s="20" t="s">
        <v>1438</v>
      </c>
    </row>
    <row r="428" spans="1:10" ht="15" customHeight="1" x14ac:dyDescent="0.35">
      <c r="B428" s="74" t="s">
        <v>423</v>
      </c>
      <c r="C428" s="98" t="s">
        <v>1430</v>
      </c>
      <c r="F428" s="99">
        <v>107</v>
      </c>
      <c r="G428" s="99">
        <v>91</v>
      </c>
    </row>
    <row r="429" spans="1:10" ht="15" customHeight="1" x14ac:dyDescent="0.35">
      <c r="B429" s="74" t="s">
        <v>421</v>
      </c>
      <c r="C429" s="98" t="s">
        <v>1430</v>
      </c>
      <c r="F429" s="100"/>
      <c r="G429" s="99">
        <v>59</v>
      </c>
      <c r="J429" s="20" t="s">
        <v>1439</v>
      </c>
    </row>
    <row r="430" spans="1:10" ht="15" customHeight="1" x14ac:dyDescent="0.35">
      <c r="B430" s="74" t="s">
        <v>1440</v>
      </c>
      <c r="C430" s="98" t="s">
        <v>1430</v>
      </c>
      <c r="F430" s="99">
        <v>8</v>
      </c>
      <c r="G430" s="99">
        <v>1</v>
      </c>
    </row>
    <row r="431" spans="1:10" ht="15" customHeight="1" x14ac:dyDescent="0.35">
      <c r="B431" s="74" t="s">
        <v>386</v>
      </c>
      <c r="C431" s="98" t="s">
        <v>1430</v>
      </c>
      <c r="F431" s="99">
        <v>86</v>
      </c>
      <c r="G431" s="99">
        <v>109</v>
      </c>
    </row>
    <row r="432" spans="1:10" ht="15" customHeight="1" x14ac:dyDescent="0.35">
      <c r="B432" s="74" t="s">
        <v>1441</v>
      </c>
      <c r="C432" s="98" t="s">
        <v>1430</v>
      </c>
      <c r="F432" s="99">
        <v>15</v>
      </c>
      <c r="G432" s="99">
        <v>45</v>
      </c>
    </row>
    <row r="433" spans="1:10" ht="15" customHeight="1" x14ac:dyDescent="0.35">
      <c r="B433" s="74" t="s">
        <v>1442</v>
      </c>
      <c r="C433" s="98" t="s">
        <v>1430</v>
      </c>
      <c r="F433" s="99">
        <v>11</v>
      </c>
      <c r="G433" s="100"/>
    </row>
    <row r="434" spans="1:10" ht="15" customHeight="1" x14ac:dyDescent="0.35">
      <c r="B434" s="74" t="s">
        <v>1443</v>
      </c>
      <c r="C434" s="98" t="s">
        <v>1430</v>
      </c>
      <c r="F434" s="99">
        <v>137</v>
      </c>
      <c r="G434" s="99">
        <v>20</v>
      </c>
    </row>
    <row r="435" spans="1:10" ht="15" customHeight="1" x14ac:dyDescent="0.35">
      <c r="B435" s="74" t="s">
        <v>1444</v>
      </c>
      <c r="C435" s="98" t="s">
        <v>1430</v>
      </c>
      <c r="F435" s="99">
        <v>-268</v>
      </c>
      <c r="G435" s="99">
        <v>-479</v>
      </c>
      <c r="J435" s="20" t="s">
        <v>1445</v>
      </c>
    </row>
    <row r="436" spans="1:10" ht="15" customHeight="1" x14ac:dyDescent="0.35">
      <c r="B436" s="74" t="s">
        <v>1446</v>
      </c>
      <c r="C436" s="98" t="s">
        <v>1430</v>
      </c>
      <c r="F436" s="99">
        <v>-153</v>
      </c>
      <c r="G436" s="99">
        <v>-24</v>
      </c>
    </row>
    <row r="437" spans="1:10" ht="15" customHeight="1" x14ac:dyDescent="0.35">
      <c r="B437" s="74" t="s">
        <v>1068</v>
      </c>
      <c r="F437" s="101">
        <f>F505-(SUM(F427:F436))</f>
        <v>1</v>
      </c>
      <c r="G437" s="101">
        <f>G505-(SUM(G427:G436))</f>
        <v>0</v>
      </c>
      <c r="J437" s="20" t="s">
        <v>1364</v>
      </c>
    </row>
    <row r="438" spans="1:10" ht="15" customHeight="1" x14ac:dyDescent="0.35">
      <c r="B438" s="77" t="s">
        <v>1447</v>
      </c>
      <c r="C438" s="102" t="s">
        <v>1430</v>
      </c>
      <c r="D438" s="78"/>
      <c r="E438" s="78"/>
      <c r="F438" s="79">
        <f>SUM(F427:F437)</f>
        <v>569</v>
      </c>
      <c r="G438" s="79">
        <f>SUM(G427:G437)</f>
        <v>228</v>
      </c>
      <c r="H438" s="78"/>
    </row>
    <row r="439" spans="1:10" ht="15" customHeight="1" x14ac:dyDescent="0.35">
      <c r="B439" s="74" t="s">
        <v>1448</v>
      </c>
      <c r="C439" s="98" t="s">
        <v>1430</v>
      </c>
      <c r="F439" s="100"/>
      <c r="G439" s="100"/>
      <c r="H439" s="99">
        <v>28</v>
      </c>
      <c r="J439" s="20" t="s">
        <v>1449</v>
      </c>
    </row>
    <row r="440" spans="1:10" ht="15" customHeight="1" x14ac:dyDescent="0.35">
      <c r="B440" s="74" t="s">
        <v>1195</v>
      </c>
      <c r="C440" s="98" t="s">
        <v>1430</v>
      </c>
      <c r="F440" s="99">
        <v>644</v>
      </c>
      <c r="G440" s="99">
        <v>290</v>
      </c>
      <c r="H440" s="99">
        <v>51</v>
      </c>
      <c r="J440" s="20" t="s">
        <v>1450</v>
      </c>
    </row>
    <row r="441" spans="1:10" ht="15" customHeight="1" x14ac:dyDescent="0.35">
      <c r="B441" s="74" t="s">
        <v>1451</v>
      </c>
      <c r="C441" s="98" t="s">
        <v>1430</v>
      </c>
      <c r="F441" s="100"/>
      <c r="G441" s="99">
        <v>499</v>
      </c>
      <c r="H441" s="100"/>
      <c r="J441" s="20" t="s">
        <v>1452</v>
      </c>
    </row>
    <row r="443" spans="1:10" ht="15" customHeight="1" x14ac:dyDescent="0.35">
      <c r="A443" s="17" t="s">
        <v>5</v>
      </c>
      <c r="B443" s="18" t="s">
        <v>1453</v>
      </c>
      <c r="C443" s="15"/>
      <c r="D443" s="15"/>
      <c r="E443" s="15"/>
      <c r="F443" s="15"/>
      <c r="G443" s="15"/>
      <c r="H443" s="15"/>
      <c r="I443" s="15"/>
      <c r="J443" s="15"/>
    </row>
    <row r="445" spans="1:10" ht="15" customHeight="1" x14ac:dyDescent="0.35">
      <c r="B445" s="74" t="s">
        <v>1454</v>
      </c>
      <c r="C445" s="98" t="s">
        <v>1233</v>
      </c>
      <c r="F445" s="99">
        <v>971</v>
      </c>
      <c r="G445" s="99">
        <v>1913</v>
      </c>
      <c r="H445" s="99">
        <v>2423</v>
      </c>
    </row>
    <row r="446" spans="1:10" ht="15" customHeight="1" x14ac:dyDescent="0.35">
      <c r="B446" s="74" t="s">
        <v>1455</v>
      </c>
      <c r="C446" s="98" t="s">
        <v>1233</v>
      </c>
      <c r="F446" s="99">
        <v>1276</v>
      </c>
      <c r="G446" s="99">
        <v>800</v>
      </c>
      <c r="H446" s="99">
        <v>71</v>
      </c>
      <c r="J446" s="20" t="s">
        <v>1456</v>
      </c>
    </row>
    <row r="447" spans="1:10" ht="15" customHeight="1" x14ac:dyDescent="0.35">
      <c r="B447" s="74" t="s">
        <v>1457</v>
      </c>
      <c r="C447" s="98" t="s">
        <v>1233</v>
      </c>
      <c r="F447" s="99">
        <v>-468</v>
      </c>
      <c r="G447" s="99">
        <v>-766</v>
      </c>
      <c r="H447" s="99">
        <v>-585</v>
      </c>
      <c r="J447" s="20" t="s">
        <v>1456</v>
      </c>
    </row>
    <row r="448" spans="1:10" ht="15" customHeight="1" x14ac:dyDescent="0.35">
      <c r="B448" s="74" t="s">
        <v>1458</v>
      </c>
      <c r="C448" s="98" t="s">
        <v>1233</v>
      </c>
      <c r="F448" s="99">
        <v>130</v>
      </c>
      <c r="G448" s="99">
        <v>-7</v>
      </c>
      <c r="H448" s="99">
        <v>-10</v>
      </c>
      <c r="J448" s="20" t="s">
        <v>1459</v>
      </c>
    </row>
    <row r="449" spans="1:10" ht="15" customHeight="1" x14ac:dyDescent="0.35">
      <c r="B449" s="74" t="s">
        <v>1460</v>
      </c>
      <c r="C449" s="98" t="s">
        <v>1233</v>
      </c>
      <c r="F449" s="99">
        <v>-121</v>
      </c>
      <c r="G449" s="99">
        <v>419</v>
      </c>
      <c r="H449" s="99">
        <v>24</v>
      </c>
      <c r="J449" s="20" t="s">
        <v>1459</v>
      </c>
    </row>
    <row r="450" spans="1:10" ht="15" customHeight="1" x14ac:dyDescent="0.35">
      <c r="B450" s="74" t="s">
        <v>1461</v>
      </c>
      <c r="C450" s="98" t="s">
        <v>1233</v>
      </c>
      <c r="F450" s="99">
        <v>17</v>
      </c>
      <c r="G450" s="99">
        <v>21</v>
      </c>
      <c r="H450" s="99">
        <v>14</v>
      </c>
      <c r="J450" s="20" t="s">
        <v>1462</v>
      </c>
    </row>
    <row r="451" spans="1:10" ht="15" customHeight="1" x14ac:dyDescent="0.35">
      <c r="B451" s="74" t="s">
        <v>1463</v>
      </c>
      <c r="C451" s="98" t="s">
        <v>1233</v>
      </c>
      <c r="F451" s="99">
        <v>107</v>
      </c>
      <c r="G451" s="99">
        <v>44</v>
      </c>
      <c r="H451" s="99">
        <v>89</v>
      </c>
      <c r="J451" s="20" t="s">
        <v>1464</v>
      </c>
    </row>
    <row r="452" spans="1:10" ht="15" customHeight="1" x14ac:dyDescent="0.35">
      <c r="B452" s="74" t="s">
        <v>1465</v>
      </c>
      <c r="C452" s="98" t="s">
        <v>1233</v>
      </c>
      <c r="F452" s="100"/>
      <c r="G452" s="100"/>
      <c r="H452" s="99">
        <v>-700</v>
      </c>
      <c r="J452" s="20" t="s">
        <v>1466</v>
      </c>
    </row>
    <row r="453" spans="1:10" ht="15" customHeight="1" x14ac:dyDescent="0.35">
      <c r="B453" s="74" t="s">
        <v>1467</v>
      </c>
      <c r="C453" s="98" t="s">
        <v>1233</v>
      </c>
      <c r="F453" s="100"/>
      <c r="G453" s="100"/>
      <c r="H453" s="99">
        <v>-46</v>
      </c>
      <c r="J453" s="20" t="s">
        <v>1468</v>
      </c>
    </row>
    <row r="454" spans="1:10" ht="15" customHeight="1" x14ac:dyDescent="0.35">
      <c r="B454" s="74" t="s">
        <v>1068</v>
      </c>
      <c r="F454" s="101">
        <f>F506-(SUM(F445:F453))</f>
        <v>1</v>
      </c>
      <c r="G454" s="101">
        <f>G506-(SUM(G445:G453))</f>
        <v>-1</v>
      </c>
      <c r="H454" s="101">
        <f>H506-(SUM(H445:H453))</f>
        <v>1</v>
      </c>
      <c r="J454" s="20" t="s">
        <v>1364</v>
      </c>
    </row>
    <row r="455" spans="1:10" ht="15" customHeight="1" x14ac:dyDescent="0.35">
      <c r="B455" s="77" t="s">
        <v>1469</v>
      </c>
      <c r="C455" s="102" t="s">
        <v>1233</v>
      </c>
      <c r="D455" s="78"/>
      <c r="E455" s="78"/>
      <c r="F455" s="79">
        <f>SUM(F445:F454)</f>
        <v>1913</v>
      </c>
      <c r="G455" s="79">
        <f>SUM(G445:G454)</f>
        <v>2423</v>
      </c>
      <c r="H455" s="79">
        <f>SUM(H445:H454)</f>
        <v>1281</v>
      </c>
    </row>
    <row r="457" spans="1:10" ht="15" customHeight="1" x14ac:dyDescent="0.35">
      <c r="A457" s="17" t="s">
        <v>5</v>
      </c>
      <c r="B457" s="18" t="s">
        <v>1470</v>
      </c>
      <c r="C457" s="15"/>
      <c r="D457" s="15"/>
      <c r="E457" s="15"/>
      <c r="F457" s="15"/>
      <c r="G457" s="15"/>
      <c r="H457" s="15"/>
      <c r="I457" s="15"/>
      <c r="J457" s="15"/>
    </row>
    <row r="459" spans="1:10" ht="15" customHeight="1" x14ac:dyDescent="0.35">
      <c r="B459" s="74" t="s">
        <v>1471</v>
      </c>
      <c r="C459" s="98" t="s">
        <v>1233</v>
      </c>
      <c r="F459" s="75">
        <f>F451</f>
        <v>107</v>
      </c>
      <c r="G459" s="75">
        <f>G451</f>
        <v>44</v>
      </c>
      <c r="H459" s="75">
        <f>H451</f>
        <v>89</v>
      </c>
      <c r="J459" s="20" t="s">
        <v>1472</v>
      </c>
    </row>
    <row r="460" spans="1:10" ht="15" customHeight="1" x14ac:dyDescent="0.35">
      <c r="B460" s="74" t="s">
        <v>1473</v>
      </c>
      <c r="C460" s="98" t="s">
        <v>1173</v>
      </c>
      <c r="F460" s="100"/>
      <c r="G460" s="100"/>
      <c r="H460" s="99">
        <v>6</v>
      </c>
    </row>
    <row r="461" spans="1:10" ht="15" customHeight="1" x14ac:dyDescent="0.35">
      <c r="B461" s="74" t="s">
        <v>1474</v>
      </c>
      <c r="C461" s="98" t="s">
        <v>1173</v>
      </c>
      <c r="F461" s="100"/>
      <c r="G461" s="100"/>
      <c r="H461" s="99">
        <v>694</v>
      </c>
      <c r="J461" s="20" t="s">
        <v>1475</v>
      </c>
    </row>
    <row r="462" spans="1:10" ht="15" customHeight="1" x14ac:dyDescent="0.35">
      <c r="B462" s="74" t="s">
        <v>1476</v>
      </c>
      <c r="C462" s="98" t="s">
        <v>1233</v>
      </c>
      <c r="F462" s="75">
        <f>F449</f>
        <v>-121</v>
      </c>
      <c r="G462" s="75">
        <f>G449</f>
        <v>419</v>
      </c>
      <c r="H462" s="75">
        <f>H449</f>
        <v>24</v>
      </c>
      <c r="J462" s="20" t="s">
        <v>1472</v>
      </c>
    </row>
    <row r="463" spans="1:10" x14ac:dyDescent="0.35">
      <c r="B463" s="20" t="s">
        <v>1477</v>
      </c>
    </row>
    <row r="465" spans="1:10" ht="15" customHeight="1" x14ac:dyDescent="0.35">
      <c r="A465" s="17" t="s">
        <v>5</v>
      </c>
      <c r="B465" s="18" t="s">
        <v>1478</v>
      </c>
      <c r="C465" s="15"/>
      <c r="D465" s="15"/>
      <c r="E465" s="15"/>
      <c r="F465" s="15"/>
      <c r="G465" s="15"/>
      <c r="H465" s="15"/>
      <c r="I465" s="15"/>
      <c r="J465" s="15"/>
    </row>
    <row r="467" spans="1:10" ht="15" customHeight="1" x14ac:dyDescent="0.35">
      <c r="B467" s="74" t="s">
        <v>1479</v>
      </c>
      <c r="C467" s="98" t="s">
        <v>1166</v>
      </c>
      <c r="F467" s="99">
        <v>55</v>
      </c>
      <c r="G467" s="99">
        <v>46</v>
      </c>
      <c r="H467" s="99">
        <v>52</v>
      </c>
      <c r="J467" s="20" t="s">
        <v>1480</v>
      </c>
    </row>
    <row r="468" spans="1:10" ht="15" customHeight="1" x14ac:dyDescent="0.35">
      <c r="B468" s="74" t="s">
        <v>1481</v>
      </c>
      <c r="C468" s="98" t="s">
        <v>1166</v>
      </c>
      <c r="F468" s="99">
        <v>-25</v>
      </c>
      <c r="G468" s="99">
        <v>-18</v>
      </c>
      <c r="H468" s="99">
        <v>-33</v>
      </c>
    </row>
    <row r="469" spans="1:10" ht="15" customHeight="1" x14ac:dyDescent="0.35">
      <c r="B469" s="74" t="s">
        <v>1482</v>
      </c>
      <c r="C469" s="98" t="s">
        <v>1166</v>
      </c>
      <c r="F469" s="99">
        <v>-5</v>
      </c>
      <c r="G469" s="99">
        <v>-3</v>
      </c>
      <c r="H469" s="99">
        <v>-3</v>
      </c>
    </row>
    <row r="470" spans="1:10" ht="15" customHeight="1" x14ac:dyDescent="0.35">
      <c r="B470" s="74" t="s">
        <v>1483</v>
      </c>
      <c r="C470" s="98" t="s">
        <v>1166</v>
      </c>
      <c r="F470" s="99">
        <v>21</v>
      </c>
      <c r="G470" s="99">
        <v>30</v>
      </c>
      <c r="H470" s="99">
        <v>40</v>
      </c>
    </row>
    <row r="471" spans="1:10" ht="15" customHeight="1" x14ac:dyDescent="0.35">
      <c r="B471" s="74" t="s">
        <v>1484</v>
      </c>
      <c r="C471" s="98" t="s">
        <v>1166</v>
      </c>
      <c r="F471" s="99">
        <v>0</v>
      </c>
      <c r="G471" s="99">
        <v>17</v>
      </c>
      <c r="H471" s="99">
        <v>0</v>
      </c>
    </row>
    <row r="472" spans="1:10" ht="15" customHeight="1" x14ac:dyDescent="0.35">
      <c r="B472" s="74" t="s">
        <v>1485</v>
      </c>
      <c r="C472" s="98" t="s">
        <v>1166</v>
      </c>
      <c r="F472" s="99">
        <v>-1</v>
      </c>
      <c r="G472" s="99">
        <v>-19</v>
      </c>
      <c r="H472" s="99">
        <v>-1</v>
      </c>
    </row>
    <row r="473" spans="1:10" ht="15" customHeight="1" x14ac:dyDescent="0.35">
      <c r="B473" s="74" t="s">
        <v>1467</v>
      </c>
      <c r="C473" s="98" t="s">
        <v>1166</v>
      </c>
      <c r="F473" s="100"/>
      <c r="G473" s="100"/>
      <c r="H473" s="99">
        <v>-30</v>
      </c>
    </row>
    <row r="474" spans="1:10" ht="15" customHeight="1" x14ac:dyDescent="0.35">
      <c r="B474" s="74" t="s">
        <v>1068</v>
      </c>
      <c r="F474" s="101">
        <f>F509-(SUM(F467:F473))</f>
        <v>1</v>
      </c>
      <c r="G474" s="101">
        <f>G509-(SUM(G467:G473))</f>
        <v>-1</v>
      </c>
      <c r="H474" s="101">
        <f>H509-(SUM(H467:H473))</f>
        <v>0</v>
      </c>
      <c r="J474" s="20" t="s">
        <v>1364</v>
      </c>
    </row>
    <row r="475" spans="1:10" ht="15" customHeight="1" x14ac:dyDescent="0.35">
      <c r="B475" s="77" t="s">
        <v>1486</v>
      </c>
      <c r="C475" s="102" t="s">
        <v>1166</v>
      </c>
      <c r="D475" s="78"/>
      <c r="E475" s="78"/>
      <c r="F475" s="79">
        <f>SUM(F467:F474)</f>
        <v>46</v>
      </c>
      <c r="G475" s="79">
        <f>SUM(G467:G474)</f>
        <v>52</v>
      </c>
      <c r="H475" s="79">
        <f>SUM(H467:H474)</f>
        <v>25</v>
      </c>
    </row>
    <row r="477" spans="1:10" ht="15" customHeight="1" x14ac:dyDescent="0.35">
      <c r="A477" s="17" t="s">
        <v>5</v>
      </c>
      <c r="B477" s="18" t="s">
        <v>1487</v>
      </c>
      <c r="C477" s="15"/>
      <c r="D477" s="15"/>
      <c r="E477" s="15"/>
      <c r="F477" s="15"/>
      <c r="G477" s="15"/>
      <c r="H477" s="15"/>
      <c r="I477" s="15"/>
      <c r="J477" s="15"/>
    </row>
    <row r="479" spans="1:10" ht="15" customHeight="1" x14ac:dyDescent="0.35">
      <c r="B479" s="74" t="s">
        <v>1488</v>
      </c>
      <c r="C479" s="98" t="s">
        <v>1173</v>
      </c>
      <c r="F479" s="99">
        <v>-187</v>
      </c>
      <c r="G479" s="99">
        <v>-248</v>
      </c>
      <c r="H479" s="99">
        <v>-369</v>
      </c>
    </row>
    <row r="480" spans="1:10" ht="15" customHeight="1" x14ac:dyDescent="0.35">
      <c r="B480" s="74" t="s">
        <v>1489</v>
      </c>
      <c r="C480" s="98" t="s">
        <v>1173</v>
      </c>
      <c r="F480" s="99">
        <v>-3</v>
      </c>
      <c r="G480" s="99">
        <v>-29</v>
      </c>
      <c r="H480" s="99">
        <v>-52</v>
      </c>
    </row>
    <row r="481" spans="1:10" ht="15" customHeight="1" x14ac:dyDescent="0.35">
      <c r="B481" s="74" t="s">
        <v>1490</v>
      </c>
      <c r="C481" s="98" t="s">
        <v>1173</v>
      </c>
      <c r="F481" s="99">
        <v>104</v>
      </c>
      <c r="G481" s="99">
        <v>0</v>
      </c>
      <c r="H481" s="99">
        <v>700</v>
      </c>
      <c r="J481" s="20" t="s">
        <v>1491</v>
      </c>
    </row>
    <row r="482" spans="1:10" ht="15" customHeight="1" x14ac:dyDescent="0.35">
      <c r="B482" s="74" t="s">
        <v>1492</v>
      </c>
      <c r="C482" s="98" t="s">
        <v>1173</v>
      </c>
      <c r="F482" s="99">
        <v>32</v>
      </c>
      <c r="G482" s="99">
        <v>43</v>
      </c>
      <c r="H482" s="99">
        <v>-7</v>
      </c>
    </row>
    <row r="483" spans="1:10" ht="15" customHeight="1" x14ac:dyDescent="0.35">
      <c r="B483" s="74" t="s">
        <v>1493</v>
      </c>
      <c r="C483" s="98" t="s">
        <v>1173</v>
      </c>
      <c r="F483" s="99">
        <v>8</v>
      </c>
      <c r="G483" s="99">
        <v>55</v>
      </c>
      <c r="H483" s="99">
        <v>92</v>
      </c>
      <c r="J483" s="20" t="s">
        <v>1494</v>
      </c>
    </row>
    <row r="485" spans="1:10" ht="15" customHeight="1" x14ac:dyDescent="0.35">
      <c r="A485" s="17" t="s">
        <v>5</v>
      </c>
      <c r="B485" s="18" t="s">
        <v>1495</v>
      </c>
      <c r="C485" s="15"/>
      <c r="D485" s="15"/>
      <c r="E485" s="15"/>
      <c r="F485" s="15"/>
      <c r="G485" s="15"/>
      <c r="H485" s="15"/>
      <c r="I485" s="15"/>
      <c r="J485" s="15"/>
    </row>
    <row r="487" spans="1:10" ht="15" customHeight="1" x14ac:dyDescent="0.35">
      <c r="B487" s="74" t="s">
        <v>1496</v>
      </c>
      <c r="F487" s="99">
        <v>500</v>
      </c>
      <c r="G487" s="99">
        <v>750</v>
      </c>
      <c r="H487" s="99">
        <v>750</v>
      </c>
      <c r="J487" s="20" t="s">
        <v>1497</v>
      </c>
    </row>
    <row r="488" spans="1:10" ht="15" customHeight="1" x14ac:dyDescent="0.35">
      <c r="B488" s="74" t="s">
        <v>1498</v>
      </c>
      <c r="F488" s="100"/>
      <c r="G488" s="100"/>
      <c r="H488" s="99">
        <v>4360</v>
      </c>
      <c r="J488" s="20" t="s">
        <v>1499</v>
      </c>
    </row>
    <row r="489" spans="1:10" x14ac:dyDescent="0.35">
      <c r="B489" s="20" t="s">
        <v>1500</v>
      </c>
    </row>
    <row r="491" spans="1:10" ht="15" customHeight="1" x14ac:dyDescent="0.35">
      <c r="A491" s="17" t="s">
        <v>5</v>
      </c>
      <c r="B491" s="18" t="s">
        <v>1501</v>
      </c>
      <c r="C491" s="15"/>
      <c r="D491" s="15"/>
      <c r="E491" s="15"/>
      <c r="F491" s="15"/>
      <c r="G491" s="15"/>
      <c r="H491" s="15"/>
      <c r="I491" s="15"/>
      <c r="J491" s="15"/>
    </row>
    <row r="493" spans="1:10" x14ac:dyDescent="0.35">
      <c r="B493" s="22" t="s">
        <v>1502</v>
      </c>
      <c r="E493" s="103">
        <f>$E$233</f>
        <v>2</v>
      </c>
    </row>
    <row r="495" spans="1:10" ht="15" customHeight="1" x14ac:dyDescent="0.35">
      <c r="B495" s="73" t="s">
        <v>1292</v>
      </c>
    </row>
    <row r="496" spans="1:10" ht="15" customHeight="1" x14ac:dyDescent="0.35">
      <c r="B496" s="74" t="s">
        <v>1279</v>
      </c>
      <c r="F496" s="99">
        <v>743</v>
      </c>
      <c r="G496" s="99">
        <v>1720</v>
      </c>
      <c r="H496" s="99">
        <v>2287</v>
      </c>
    </row>
    <row r="497" spans="2:10" ht="15" customHeight="1" x14ac:dyDescent="0.35">
      <c r="B497" s="74" t="s">
        <v>1376</v>
      </c>
      <c r="F497" s="99">
        <v>-1175</v>
      </c>
      <c r="G497" s="99">
        <v>-1172</v>
      </c>
      <c r="H497" s="99">
        <v>-843</v>
      </c>
    </row>
    <row r="498" spans="2:10" ht="15" customHeight="1" x14ac:dyDescent="0.35">
      <c r="B498" s="74" t="s">
        <v>1386</v>
      </c>
      <c r="F498" s="99">
        <v>746</v>
      </c>
      <c r="G498" s="99">
        <v>-234</v>
      </c>
      <c r="H498" s="99">
        <v>-861</v>
      </c>
    </row>
    <row r="499" spans="2:10" ht="15" customHeight="1" x14ac:dyDescent="0.35">
      <c r="B499" s="74" t="s">
        <v>1387</v>
      </c>
      <c r="F499" s="99">
        <v>314</v>
      </c>
      <c r="G499" s="99">
        <v>313</v>
      </c>
      <c r="H499" s="99">
        <v>583</v>
      </c>
    </row>
    <row r="500" spans="2:10" ht="15" customHeight="1" x14ac:dyDescent="0.35">
      <c r="B500" s="74" t="s">
        <v>1389</v>
      </c>
      <c r="F500" s="99">
        <v>305</v>
      </c>
      <c r="G500" s="99">
        <v>312</v>
      </c>
      <c r="H500" s="99">
        <v>574</v>
      </c>
    </row>
    <row r="501" spans="2:10" ht="15" customHeight="1" x14ac:dyDescent="0.35">
      <c r="B501" s="74" t="s">
        <v>1392</v>
      </c>
      <c r="F501" s="99">
        <v>873</v>
      </c>
      <c r="G501" s="99">
        <v>1184</v>
      </c>
      <c r="H501" s="99">
        <v>1758</v>
      </c>
    </row>
    <row r="502" spans="2:10" ht="15" customHeight="1" x14ac:dyDescent="0.35">
      <c r="B502" s="74" t="s">
        <v>1395</v>
      </c>
      <c r="F502" s="99">
        <v>850</v>
      </c>
      <c r="G502" s="99">
        <v>1184</v>
      </c>
      <c r="H502" s="99">
        <v>1650</v>
      </c>
    </row>
    <row r="503" spans="2:10" ht="15" customHeight="1" x14ac:dyDescent="0.35">
      <c r="B503" s="74" t="s">
        <v>1418</v>
      </c>
      <c r="G503" s="99">
        <v>61</v>
      </c>
      <c r="H503" s="99">
        <v>-302</v>
      </c>
    </row>
    <row r="504" spans="2:10" ht="15" customHeight="1" x14ac:dyDescent="0.35">
      <c r="B504" s="74" t="s">
        <v>1422</v>
      </c>
      <c r="F504" s="99">
        <v>-59</v>
      </c>
      <c r="G504" s="99">
        <v>-78</v>
      </c>
      <c r="H504" s="99">
        <v>-13</v>
      </c>
    </row>
    <row r="505" spans="2:10" ht="15" customHeight="1" x14ac:dyDescent="0.35">
      <c r="B505" s="74" t="s">
        <v>1447</v>
      </c>
      <c r="F505" s="99">
        <v>569</v>
      </c>
      <c r="G505" s="99">
        <v>228</v>
      </c>
    </row>
    <row r="506" spans="2:10" ht="15" customHeight="1" x14ac:dyDescent="0.35">
      <c r="B506" s="74" t="s">
        <v>1503</v>
      </c>
      <c r="F506" s="99">
        <v>1913</v>
      </c>
      <c r="G506" s="99">
        <v>2423</v>
      </c>
      <c r="H506" s="99">
        <v>1281</v>
      </c>
    </row>
    <row r="507" spans="2:10" ht="15" customHeight="1" x14ac:dyDescent="0.35">
      <c r="B507" s="74" t="s">
        <v>1504</v>
      </c>
      <c r="F507" s="99">
        <v>808</v>
      </c>
      <c r="G507" s="99">
        <v>34</v>
      </c>
      <c r="H507" s="99">
        <v>-514</v>
      </c>
    </row>
    <row r="508" spans="2:10" ht="15" customHeight="1" x14ac:dyDescent="0.35">
      <c r="B508" s="74" t="s">
        <v>1505</v>
      </c>
      <c r="F508" s="99">
        <v>133</v>
      </c>
      <c r="G508" s="99">
        <v>477</v>
      </c>
      <c r="H508" s="99">
        <v>-582</v>
      </c>
    </row>
    <row r="509" spans="2:10" ht="15" customHeight="1" x14ac:dyDescent="0.35">
      <c r="B509" s="74" t="s">
        <v>1506</v>
      </c>
      <c r="F509" s="99">
        <v>46</v>
      </c>
      <c r="G509" s="99">
        <v>52</v>
      </c>
      <c r="H509" s="99">
        <v>25</v>
      </c>
    </row>
    <row r="511" spans="2:10" ht="15" customHeight="1" x14ac:dyDescent="0.35">
      <c r="B511" s="73" t="s">
        <v>1298</v>
      </c>
    </row>
    <row r="512" spans="2:10" ht="15" customHeight="1" x14ac:dyDescent="0.35">
      <c r="B512" s="74" t="s">
        <v>1507</v>
      </c>
      <c r="F512" s="75">
        <f>F346</f>
        <v>1</v>
      </c>
      <c r="G512" s="75">
        <f>G346</f>
        <v>1</v>
      </c>
      <c r="H512" s="75">
        <f>H346</f>
        <v>-1</v>
      </c>
      <c r="J512" s="22" t="str">
        <f t="shared" ref="J512:J517" si="5">IF(MAX(ABS(F512),ABS(G512),ABS(H512))&lt;=$E$233,"OK","CHECK")</f>
        <v>OK</v>
      </c>
    </row>
    <row r="513" spans="2:10" ht="15" customHeight="1" x14ac:dyDescent="0.35">
      <c r="B513" s="74" t="s">
        <v>1508</v>
      </c>
      <c r="F513" s="75">
        <f>F356</f>
        <v>0</v>
      </c>
      <c r="G513" s="75">
        <f>G356</f>
        <v>-1</v>
      </c>
      <c r="H513" s="75">
        <f>H356</f>
        <v>-1</v>
      </c>
      <c r="J513" s="22" t="str">
        <f t="shared" si="5"/>
        <v>OK</v>
      </c>
    </row>
    <row r="514" spans="2:10" ht="15" customHeight="1" x14ac:dyDescent="0.35">
      <c r="B514" s="74" t="s">
        <v>1509</v>
      </c>
      <c r="F514" s="75">
        <f>F368</f>
        <v>0</v>
      </c>
      <c r="G514" s="75">
        <f>G368</f>
        <v>1</v>
      </c>
      <c r="H514" s="75">
        <f>H368</f>
        <v>-1</v>
      </c>
      <c r="J514" s="22" t="str">
        <f t="shared" si="5"/>
        <v>OK</v>
      </c>
    </row>
    <row r="515" spans="2:10" ht="15" customHeight="1" x14ac:dyDescent="0.35">
      <c r="B515" s="74" t="s">
        <v>1510</v>
      </c>
      <c r="F515" s="75">
        <f>F371</f>
        <v>0</v>
      </c>
      <c r="G515" s="75">
        <f>G371</f>
        <v>-1</v>
      </c>
      <c r="H515" s="75">
        <f>H371</f>
        <v>0</v>
      </c>
      <c r="J515" s="22" t="str">
        <f t="shared" si="5"/>
        <v>OK</v>
      </c>
    </row>
    <row r="516" spans="2:10" ht="15" customHeight="1" x14ac:dyDescent="0.35">
      <c r="B516" s="74" t="s">
        <v>1511</v>
      </c>
      <c r="F516" s="75">
        <f>F374</f>
        <v>0</v>
      </c>
      <c r="G516" s="75">
        <f>G374</f>
        <v>1</v>
      </c>
      <c r="H516" s="75">
        <f>H374</f>
        <v>1</v>
      </c>
      <c r="J516" s="22" t="str">
        <f t="shared" si="5"/>
        <v>OK</v>
      </c>
    </row>
    <row r="517" spans="2:10" ht="15" customHeight="1" x14ac:dyDescent="0.35">
      <c r="B517" s="74" t="s">
        <v>1512</v>
      </c>
      <c r="F517" s="75">
        <f>F377</f>
        <v>0</v>
      </c>
      <c r="G517" s="75">
        <f>G377</f>
        <v>-1</v>
      </c>
      <c r="H517" s="75">
        <f>H377</f>
        <v>0</v>
      </c>
      <c r="J517" s="22" t="str">
        <f t="shared" si="5"/>
        <v>OK</v>
      </c>
    </row>
    <row r="518" spans="2:10" ht="15" customHeight="1" x14ac:dyDescent="0.35">
      <c r="B518" s="74" t="s">
        <v>1513</v>
      </c>
      <c r="G518" s="75">
        <f>G409</f>
        <v>0</v>
      </c>
      <c r="H518" s="75">
        <f>H409</f>
        <v>1</v>
      </c>
      <c r="J518" s="22" t="str">
        <f>IF(MAX(ABS(G518),ABS(H518))&lt;=$E$233,"OK","CHECK")</f>
        <v>OK</v>
      </c>
    </row>
    <row r="519" spans="2:10" ht="15" customHeight="1" x14ac:dyDescent="0.35">
      <c r="B519" s="74" t="s">
        <v>1514</v>
      </c>
      <c r="F519" s="75">
        <f>F414</f>
        <v>0</v>
      </c>
      <c r="G519" s="75">
        <f>G414</f>
        <v>0</v>
      </c>
      <c r="H519" s="75">
        <f>H414</f>
        <v>0</v>
      </c>
      <c r="J519" s="22" t="str">
        <f>IF(MAX(ABS(F519),ABS(G519),ABS(H519))&lt;=$E$233,"OK","CHECK")</f>
        <v>OK</v>
      </c>
    </row>
    <row r="520" spans="2:10" ht="15" customHeight="1" x14ac:dyDescent="0.35">
      <c r="B520" s="74" t="s">
        <v>1515</v>
      </c>
      <c r="F520" s="75">
        <f>F437</f>
        <v>1</v>
      </c>
      <c r="G520" s="75">
        <f>G437</f>
        <v>0</v>
      </c>
      <c r="J520" s="22" t="str">
        <f>IF(MAX(ABS(F520),ABS(G520))&lt;=$E$233,"OK","CHECK")</f>
        <v>OK</v>
      </c>
    </row>
    <row r="521" spans="2:10" ht="15" customHeight="1" x14ac:dyDescent="0.35">
      <c r="B521" s="74" t="s">
        <v>1516</v>
      </c>
      <c r="F521" s="75">
        <f>F454</f>
        <v>1</v>
      </c>
      <c r="G521" s="75">
        <f>G454</f>
        <v>-1</v>
      </c>
      <c r="H521" s="75">
        <f>H454</f>
        <v>1</v>
      </c>
      <c r="J521" s="22" t="str">
        <f t="shared" ref="J521:J530" si="6">IF(MAX(ABS(F521),ABS(G521),ABS(H521))&lt;=$E$233,"OK","CHECK")</f>
        <v>OK</v>
      </c>
    </row>
    <row r="522" spans="2:10" ht="15" customHeight="1" x14ac:dyDescent="0.35">
      <c r="B522" s="74" t="s">
        <v>1517</v>
      </c>
      <c r="F522" s="75">
        <f>F474</f>
        <v>1</v>
      </c>
      <c r="G522" s="75">
        <f>G474</f>
        <v>-1</v>
      </c>
      <c r="H522" s="75">
        <f>H474</f>
        <v>0</v>
      </c>
      <c r="J522" s="22" t="str">
        <f t="shared" si="6"/>
        <v>OK</v>
      </c>
    </row>
    <row r="523" spans="2:10" ht="15" customHeight="1" x14ac:dyDescent="0.35">
      <c r="B523" s="74" t="s">
        <v>1518</v>
      </c>
      <c r="F523" s="75">
        <f>F396</f>
        <v>-1</v>
      </c>
      <c r="G523" s="75">
        <f>G396</f>
        <v>0</v>
      </c>
      <c r="H523" s="75">
        <f>H396</f>
        <v>0</v>
      </c>
      <c r="J523" s="22" t="str">
        <f t="shared" si="6"/>
        <v>OK</v>
      </c>
    </row>
    <row r="524" spans="2:10" ht="15" customHeight="1" x14ac:dyDescent="0.35">
      <c r="B524" s="74" t="s">
        <v>1279</v>
      </c>
      <c r="F524" s="75">
        <f>F347-F496</f>
        <v>0</v>
      </c>
      <c r="G524" s="75">
        <f>G347-G496</f>
        <v>0</v>
      </c>
      <c r="H524" s="75">
        <f>H347-H496</f>
        <v>0</v>
      </c>
      <c r="J524" s="22" t="str">
        <f t="shared" si="6"/>
        <v>OK</v>
      </c>
    </row>
    <row r="525" spans="2:10" ht="15" customHeight="1" x14ac:dyDescent="0.35">
      <c r="B525" s="74" t="s">
        <v>1376</v>
      </c>
      <c r="F525" s="75">
        <f>F357-F497</f>
        <v>0</v>
      </c>
      <c r="G525" s="75">
        <f>G357-G497</f>
        <v>0</v>
      </c>
      <c r="H525" s="75">
        <f>H357-H497</f>
        <v>0</v>
      </c>
      <c r="J525" s="22" t="str">
        <f t="shared" si="6"/>
        <v>OK</v>
      </c>
    </row>
    <row r="526" spans="2:10" ht="15" customHeight="1" x14ac:dyDescent="0.35">
      <c r="B526" s="74" t="s">
        <v>1386</v>
      </c>
      <c r="F526" s="75">
        <f>F369-F498</f>
        <v>0</v>
      </c>
      <c r="G526" s="75">
        <f>G369-G498</f>
        <v>0</v>
      </c>
      <c r="H526" s="75">
        <f>H369-H498</f>
        <v>0</v>
      </c>
      <c r="J526" s="22" t="str">
        <f t="shared" si="6"/>
        <v>OK</v>
      </c>
    </row>
    <row r="527" spans="2:10" ht="15" customHeight="1" x14ac:dyDescent="0.35">
      <c r="B527" s="74" t="s">
        <v>1387</v>
      </c>
      <c r="F527" s="75">
        <f>F372-F499</f>
        <v>0</v>
      </c>
      <c r="G527" s="75">
        <f>G372-G499</f>
        <v>0</v>
      </c>
      <c r="H527" s="75">
        <f>H372-H499</f>
        <v>0</v>
      </c>
      <c r="J527" s="22" t="str">
        <f t="shared" si="6"/>
        <v>OK</v>
      </c>
    </row>
    <row r="528" spans="2:10" ht="15" customHeight="1" x14ac:dyDescent="0.35">
      <c r="B528" s="74" t="s">
        <v>1389</v>
      </c>
      <c r="F528" s="75">
        <f>F375-F500</f>
        <v>0</v>
      </c>
      <c r="G528" s="75">
        <f>G375-G500</f>
        <v>0</v>
      </c>
      <c r="H528" s="75">
        <f>H375-H500</f>
        <v>0</v>
      </c>
      <c r="J528" s="22" t="str">
        <f t="shared" si="6"/>
        <v>OK</v>
      </c>
    </row>
    <row r="529" spans="2:10" ht="15" customHeight="1" x14ac:dyDescent="0.35">
      <c r="B529" s="74" t="s">
        <v>1392</v>
      </c>
      <c r="F529" s="75">
        <f>F378-F501</f>
        <v>0</v>
      </c>
      <c r="G529" s="75">
        <f>G378-G501</f>
        <v>0</v>
      </c>
      <c r="H529" s="75">
        <f>H378-H501</f>
        <v>0</v>
      </c>
      <c r="J529" s="22" t="str">
        <f t="shared" si="6"/>
        <v>OK</v>
      </c>
    </row>
    <row r="530" spans="2:10" ht="15" customHeight="1" x14ac:dyDescent="0.35">
      <c r="B530" s="74" t="s">
        <v>1395</v>
      </c>
      <c r="F530" s="75">
        <f>F380-F502</f>
        <v>0</v>
      </c>
      <c r="G530" s="75">
        <f>G380-G502</f>
        <v>0</v>
      </c>
      <c r="H530" s="75">
        <f>H380-H502</f>
        <v>0</v>
      </c>
      <c r="J530" s="22" t="str">
        <f t="shared" si="6"/>
        <v>OK</v>
      </c>
    </row>
    <row r="531" spans="2:10" ht="15" customHeight="1" x14ac:dyDescent="0.35">
      <c r="B531" s="74" t="s">
        <v>1418</v>
      </c>
      <c r="G531" s="75">
        <f>G410-G503</f>
        <v>0</v>
      </c>
      <c r="H531" s="75">
        <f>H410-H503</f>
        <v>0</v>
      </c>
      <c r="J531" s="22" t="str">
        <f>IF(MAX(ABS(G531),ABS(H531))&lt;=$E$233,"OK","CHECK")</f>
        <v>OK</v>
      </c>
    </row>
    <row r="532" spans="2:10" ht="15" customHeight="1" x14ac:dyDescent="0.35">
      <c r="B532" s="74" t="s">
        <v>1422</v>
      </c>
      <c r="F532" s="75">
        <f>F415-F504</f>
        <v>0</v>
      </c>
      <c r="G532" s="75">
        <f>G415-G504</f>
        <v>0</v>
      </c>
      <c r="H532" s="75">
        <f>H415-H504</f>
        <v>0</v>
      </c>
      <c r="J532" s="22" t="str">
        <f>IF(MAX(ABS(F532),ABS(G532),ABS(H532))&lt;=$E$233,"OK","CHECK")</f>
        <v>OK</v>
      </c>
    </row>
    <row r="533" spans="2:10" ht="15" customHeight="1" x14ac:dyDescent="0.35">
      <c r="B533" s="74" t="s">
        <v>1447</v>
      </c>
      <c r="F533" s="75">
        <f>F438-F505</f>
        <v>0</v>
      </c>
      <c r="G533" s="75">
        <f>G438-G505</f>
        <v>0</v>
      </c>
      <c r="J533" s="22" t="str">
        <f>IF(MAX(ABS(F533),ABS(G533))&lt;=$E$233,"OK","CHECK")</f>
        <v>OK</v>
      </c>
    </row>
    <row r="534" spans="2:10" ht="15" customHeight="1" x14ac:dyDescent="0.35">
      <c r="B534" s="74" t="s">
        <v>1503</v>
      </c>
      <c r="F534" s="75">
        <f>F455-F506</f>
        <v>0</v>
      </c>
      <c r="G534" s="75">
        <f>G455-G506</f>
        <v>0</v>
      </c>
      <c r="H534" s="75">
        <f>H455-H506</f>
        <v>0</v>
      </c>
      <c r="J534" s="22" t="str">
        <f>IF(MAX(ABS(F534),ABS(G534),ABS(H534))&lt;=$E$233,"OK","CHECK")</f>
        <v>OK</v>
      </c>
    </row>
    <row r="535" spans="2:10" ht="15" customHeight="1" x14ac:dyDescent="0.35">
      <c r="B535" s="74" t="s">
        <v>1506</v>
      </c>
      <c r="F535" s="75">
        <f>F475-F509</f>
        <v>0</v>
      </c>
      <c r="G535" s="75">
        <f>G475-G509</f>
        <v>0</v>
      </c>
      <c r="H535" s="75">
        <f>H475-H509</f>
        <v>0</v>
      </c>
      <c r="J535" s="22" t="str">
        <f>IF(MAX(ABS(F535),ABS(G535),ABS(H535))&lt;=$E$233,"OK","CHECK")</f>
        <v>OK</v>
      </c>
    </row>
    <row r="536" spans="2:10" ht="15" customHeight="1" x14ac:dyDescent="0.35">
      <c r="B536" s="74" t="s">
        <v>1519</v>
      </c>
      <c r="F536" s="75">
        <f>F446+F447-F507</f>
        <v>0</v>
      </c>
      <c r="G536" s="75">
        <f>G446+G447-G507</f>
        <v>0</v>
      </c>
      <c r="H536" s="75">
        <f>H446+H447-H507</f>
        <v>0</v>
      </c>
      <c r="J536" s="22" t="str">
        <f>IF(MAX(ABS(F536),ABS(G536),ABS(H536))&lt;=$E$233,"OK","CHECK")</f>
        <v>OK</v>
      </c>
    </row>
    <row r="537" spans="2:10" ht="15" customHeight="1" x14ac:dyDescent="0.35">
      <c r="B537" s="74" t="s">
        <v>1520</v>
      </c>
      <c r="F537" s="75">
        <f>F380-F142</f>
        <v>0</v>
      </c>
      <c r="G537" s="75">
        <f>G380-G142</f>
        <v>0</v>
      </c>
      <c r="H537" s="75">
        <f>H380-H142</f>
        <v>0</v>
      </c>
      <c r="J537" s="22" t="str">
        <f>IF(MAX(ABS(F537),ABS(G537),ABS(H537))&lt;=$E$233,"OK","CHECK")</f>
        <v>OK</v>
      </c>
    </row>
    <row r="538" spans="2:10" ht="15" customHeight="1" x14ac:dyDescent="0.35">
      <c r="B538" s="74" t="s">
        <v>1521</v>
      </c>
      <c r="G538" s="75">
        <f>G376-F378</f>
        <v>0</v>
      </c>
      <c r="H538" s="75">
        <f>H376-G378</f>
        <v>0</v>
      </c>
      <c r="J538" s="22" t="str">
        <f>IF(MAX(ABS(G538),ABS(H538))&lt;=$E$233,"OK","CHECK")</f>
        <v>OK</v>
      </c>
    </row>
    <row r="539" spans="2:10" ht="15" customHeight="1" x14ac:dyDescent="0.35">
      <c r="B539" s="74" t="s">
        <v>1522</v>
      </c>
      <c r="F539" s="75">
        <f>F384+F385-F347</f>
        <v>0</v>
      </c>
      <c r="G539" s="75">
        <f>G384+G385-G347</f>
        <v>0</v>
      </c>
      <c r="H539" s="75">
        <f>H384+H385-H347</f>
        <v>0</v>
      </c>
      <c r="J539" s="22" t="str">
        <f>IF(MAX(ABS(F539),ABS(G539),ABS(H539))&lt;=$E$233,"OK","CHECK")</f>
        <v>OK</v>
      </c>
    </row>
    <row r="540" spans="2:10" ht="15" customHeight="1" x14ac:dyDescent="0.35">
      <c r="B540" s="74" t="s">
        <v>1523</v>
      </c>
      <c r="F540" s="75">
        <f>F386+F387-F357</f>
        <v>0</v>
      </c>
      <c r="G540" s="75">
        <f>G386+G387-G357</f>
        <v>0</v>
      </c>
      <c r="H540" s="75">
        <f>H386+H387-H357</f>
        <v>0</v>
      </c>
      <c r="J540" s="22" t="str">
        <f>IF(MAX(ABS(F540),ABS(G540),ABS(H540))&lt;=$E$233,"OK","CHECK")</f>
        <v>OK</v>
      </c>
    </row>
    <row r="541" spans="2:10" ht="15" customHeight="1" x14ac:dyDescent="0.35">
      <c r="B541" s="74" t="s">
        <v>1524</v>
      </c>
      <c r="F541" s="75">
        <f>F388+F389-F369</f>
        <v>1</v>
      </c>
      <c r="G541" s="75">
        <f>G388+G389-G369</f>
        <v>0</v>
      </c>
      <c r="H541" s="75">
        <f>H388+H389-H369</f>
        <v>0</v>
      </c>
      <c r="J541" s="22" t="str">
        <f>IF(MAX(ABS(F541),ABS(G541),ABS(H541))&lt;=$E$233,"OK","CHECK")</f>
        <v>OK</v>
      </c>
    </row>
    <row r="542" spans="2:10" ht="15" customHeight="1" x14ac:dyDescent="0.35">
      <c r="B542" s="74" t="s">
        <v>1525</v>
      </c>
      <c r="F542" s="75">
        <f>F445-(E162+E168)</f>
        <v>0</v>
      </c>
      <c r="G542" s="75">
        <f>G445-(F162+F168)</f>
        <v>0</v>
      </c>
      <c r="H542" s="75">
        <f>H445-(G162+G168)</f>
        <v>0</v>
      </c>
      <c r="J542" s="22" t="str">
        <f>IF(MAX(ABS(F542),ABS(G542),ABS(H542))&lt;=$E$233,"OK","CHECK")</f>
        <v>OK</v>
      </c>
    </row>
    <row r="543" spans="2:10" ht="15" customHeight="1" x14ac:dyDescent="0.35">
      <c r="B543" s="74" t="s">
        <v>1526</v>
      </c>
      <c r="F543" s="75">
        <f>F455-(F162+F168)</f>
        <v>0</v>
      </c>
      <c r="G543" s="75">
        <f>G455-(G162+G168)</f>
        <v>0</v>
      </c>
      <c r="H543" s="75">
        <f>H455-(H162+H168)</f>
        <v>0</v>
      </c>
      <c r="J543" s="22" t="str">
        <f>IF(MAX(ABS(F543),ABS(G543),ABS(H543))&lt;=$E$233,"OK","CHECK")</f>
        <v>OK</v>
      </c>
    </row>
    <row r="544" spans="2:10" ht="15" customHeight="1" x14ac:dyDescent="0.35">
      <c r="B544" s="74" t="s">
        <v>1527</v>
      </c>
      <c r="F544" s="75">
        <f>F422+SUM(F425)-F438-F440</f>
        <v>-1</v>
      </c>
      <c r="G544" s="75">
        <f>G422+SUM(G425)-G438-G440</f>
        <v>1</v>
      </c>
      <c r="J544" s="22" t="str">
        <f>IF(MAX(ABS(F544),ABS(G544))&lt;=$E$233,"OK","CHECK")</f>
        <v>OK</v>
      </c>
    </row>
    <row r="545" spans="1:10" ht="15" customHeight="1" x14ac:dyDescent="0.35">
      <c r="B545" s="74" t="s">
        <v>1528</v>
      </c>
      <c r="F545" s="75">
        <f>SUM(F410)+F415-F100</f>
        <v>0</v>
      </c>
      <c r="G545" s="75">
        <f>SUM(G410)+G415-G100</f>
        <v>0</v>
      </c>
      <c r="H545" s="75">
        <f>SUM(H410)+H415-H100</f>
        <v>0</v>
      </c>
      <c r="J545" s="22" t="str">
        <f>IF(MAX(ABS(F545),ABS(G545),ABS(H545))&lt;=$E$233,"OK","CHECK")</f>
        <v>OK</v>
      </c>
    </row>
    <row r="547" spans="1:10" ht="15" customHeight="1" x14ac:dyDescent="0.35">
      <c r="B547" s="73" t="s">
        <v>1529</v>
      </c>
    </row>
    <row r="548" spans="1:10" ht="15" customHeight="1" x14ac:dyDescent="0.35">
      <c r="B548" s="74" t="s">
        <v>1530</v>
      </c>
      <c r="F548" s="75">
        <f>SUM(F448:F453)-F508</f>
        <v>0</v>
      </c>
      <c r="G548" s="75">
        <f>SUM(G448:G453)-G508</f>
        <v>0</v>
      </c>
      <c r="H548" s="75">
        <f>SUM(H448:H453)-H508</f>
        <v>-47</v>
      </c>
      <c r="J548" s="104" t="str">
        <f>IF(MAX(ABS(F548),ABS(G548),ABS(H548))&lt;=$E$233,"OK","LOGGED I-55: AR2025 p.242 prints 89 as the lease non-cash subtotal; its components sum to 43 and the closing balance confirms 43")</f>
        <v>LOGGED I-55: AR2025 p.242 prints 89 as the lease non-cash subtotal; its components sum to 43 and the closing balance confirms 43</v>
      </c>
    </row>
    <row r="550" spans="1:10" x14ac:dyDescent="0.35">
      <c r="B550" s="23" t="s">
        <v>1531</v>
      </c>
      <c r="C550" s="15"/>
      <c r="D550" s="15"/>
      <c r="E550" s="15"/>
      <c r="F550" s="15"/>
      <c r="G550" s="15"/>
      <c r="H550" s="15"/>
      <c r="I550" s="15"/>
      <c r="J550" s="24" t="str">
        <f>IF(COUNTIF(J512:J545,"CHECK")=0,"ALL OK",COUNTIF(J512:J545,"CHECK")&amp;" to check")</f>
        <v>ALL OK</v>
      </c>
    </row>
    <row r="551" spans="1:10" x14ac:dyDescent="0.35">
      <c r="B551" s="23" t="s">
        <v>1056</v>
      </c>
      <c r="C551" s="15"/>
      <c r="D551" s="15"/>
      <c r="E551" s="15"/>
      <c r="F551" s="15"/>
      <c r="G551" s="15"/>
      <c r="H551" s="15"/>
      <c r="I551" s="15"/>
      <c r="J551" s="24" t="str">
        <f>IF(AND(J313="ALL OK",J550="ALL OK"),"ALL OK","to check")</f>
        <v>ALL OK</v>
      </c>
    </row>
    <row r="553" spans="1:10" ht="15.5" x14ac:dyDescent="0.35">
      <c r="A553" s="17" t="s">
        <v>5</v>
      </c>
      <c r="B553" s="25" t="s">
        <v>93</v>
      </c>
    </row>
  </sheetData>
  <conditionalFormatting sqref="J262:J313">
    <cfRule type="cellIs" dxfId="20" priority="2" operator="equal">
      <formula>"OK"</formula>
    </cfRule>
    <cfRule type="cellIs" dxfId="19" priority="3" operator="equal">
      <formula>"ALL OK"</formula>
    </cfRule>
    <cfRule type="cellIs" dxfId="18" priority="4" operator="equal">
      <formula>"CHECK"</formula>
    </cfRule>
  </conditionalFormatting>
  <conditionalFormatting sqref="J317:J551">
    <cfRule type="cellIs" dxfId="17" priority="5" operator="equal">
      <formula>"OK"</formula>
    </cfRule>
    <cfRule type="cellIs" dxfId="16" priority="5" operator="equal">
      <formula>"ALL OK"</formula>
    </cfRule>
    <cfRule type="cellIs" dxfId="15" priority="6" operator="equal">
      <formula>"CHECK"</formula>
    </cfRule>
    <cfRule type="cellIs" dxfId="14" priority="7" operator="equal">
      <formula>"source missing"</formula>
    </cfRule>
  </conditionalFormatting>
  <pageMargins left="0.4" right="0.4" top="0.4" bottom="0.4" header="0.511811023622047" footer="0.511811023622047"/>
  <pageSetup paperSize="8" scale="13"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pageSetUpPr fitToPage="1"/>
  </sheetPr>
  <dimension ref="A1:M553"/>
  <sheetViews>
    <sheetView showGridLines="0" view="pageBreakPreview" zoomScale="85" zoomScaleNormal="100" zoomScalePageLayoutView="85" workbookViewId="0">
      <pane ySplit="8" topLeftCell="A9" activePane="bottomLeft" state="frozen"/>
      <selection pane="bottomLeft" activeCell="A9" sqref="A9"/>
    </sheetView>
  </sheetViews>
  <sheetFormatPr defaultColWidth="8.6328125" defaultRowHeight="14.5" x14ac:dyDescent="0.35"/>
  <cols>
    <col min="1" max="1" width="4.81640625" style="26" customWidth="1"/>
    <col min="2" max="2" width="62" style="26" customWidth="1"/>
    <col min="3" max="3" width="6" style="26" customWidth="1"/>
    <col min="4" max="4" width="2" style="26" customWidth="1"/>
    <col min="5" max="8" width="17" style="26" customWidth="1"/>
    <col min="9" max="9" width="3" style="26" customWidth="1"/>
    <col min="10" max="10" width="44" style="26" customWidth="1"/>
    <col min="11" max="11" width="26" style="26" customWidth="1"/>
    <col min="12" max="12" width="3" style="26" customWidth="1"/>
    <col min="13" max="13" width="16" style="26" customWidth="1"/>
  </cols>
  <sheetData>
    <row r="1" spans="1:13" ht="12" customHeight="1" x14ac:dyDescent="0.35">
      <c r="A1" s="27"/>
      <c r="B1" s="27"/>
      <c r="C1" s="27"/>
      <c r="D1" s="27"/>
      <c r="E1" s="27"/>
      <c r="F1" s="27"/>
      <c r="G1" s="27"/>
      <c r="H1" s="27"/>
      <c r="I1" s="27"/>
      <c r="J1" s="27"/>
      <c r="K1" s="27"/>
      <c r="L1" s="27"/>
      <c r="M1" s="27"/>
    </row>
    <row r="2" spans="1:13" ht="12" customHeight="1" x14ac:dyDescent="0.35">
      <c r="A2" s="27"/>
      <c r="B2" s="27"/>
      <c r="C2" s="27"/>
      <c r="D2" s="27"/>
      <c r="E2" s="27"/>
      <c r="F2" s="27"/>
      <c r="G2" s="27"/>
      <c r="H2" s="27"/>
      <c r="I2" s="27"/>
      <c r="J2" s="27"/>
      <c r="K2" s="27"/>
      <c r="L2" s="27"/>
      <c r="M2" s="27"/>
    </row>
    <row r="3" spans="1:13" ht="23.25" customHeight="1" x14ac:dyDescent="0.4">
      <c r="A3" s="27"/>
      <c r="B3" s="28" t="str">
        <f ca="1">MID(CELL("filename",B3),FIND("]",CELL("filename",B3))+1,256)</f>
        <v>Input financials</v>
      </c>
      <c r="C3" s="27"/>
      <c r="D3" s="27"/>
      <c r="E3" s="27"/>
      <c r="F3" s="27"/>
      <c r="G3" s="27"/>
      <c r="H3" s="27"/>
      <c r="I3" s="27"/>
      <c r="J3" s="27"/>
      <c r="K3" s="27"/>
      <c r="L3" s="27"/>
      <c r="M3" s="27"/>
    </row>
    <row r="4" spans="1:13" ht="12" customHeight="1" x14ac:dyDescent="0.35">
      <c r="A4" s="15"/>
      <c r="B4" s="15"/>
      <c r="C4" s="15"/>
      <c r="D4" s="15"/>
      <c r="E4" s="15"/>
      <c r="F4" s="15"/>
      <c r="G4" s="15"/>
      <c r="H4" s="15"/>
      <c r="I4" s="15"/>
      <c r="J4" s="15"/>
      <c r="K4" s="15"/>
      <c r="L4" s="15"/>
      <c r="M4" s="15"/>
    </row>
    <row r="5" spans="1:13" ht="12" customHeight="1" x14ac:dyDescent="0.35"/>
    <row r="6" spans="1:13" ht="15" customHeight="1" x14ac:dyDescent="0.35">
      <c r="G6" s="29" t="s">
        <v>1532</v>
      </c>
    </row>
    <row r="7" spans="1:13" ht="15" customHeight="1" x14ac:dyDescent="0.35">
      <c r="B7" s="30" t="s">
        <v>95</v>
      </c>
      <c r="C7" s="31" t="s">
        <v>1057</v>
      </c>
      <c r="D7" s="32"/>
      <c r="E7" s="33" t="s">
        <v>97</v>
      </c>
      <c r="F7" s="33" t="str">
        <f>TEXT(VALUE(LEFT(E7, 4)) + 1, "####")&amp;IF(VALUE(LEFT(E7, 4)) + 1 &lt;= 2025, "A", "P")</f>
        <v>2023A</v>
      </c>
      <c r="G7" s="33" t="str">
        <f>TEXT(VALUE(LEFT(F7, 4)) + 1, "####")&amp;IF(VALUE(LEFT(F7, 4)) + 1 &lt;= 2025, "A", "P")</f>
        <v>2024A</v>
      </c>
      <c r="H7" s="33" t="str">
        <f>TEXT(VALUE(LEFT(G7, 4)) + 1, "####")&amp;IF(VALUE(LEFT(G7, 4)) + 1 &lt;= 2025, "A", "P")</f>
        <v>2025A</v>
      </c>
      <c r="J7" s="34" t="s">
        <v>1533</v>
      </c>
      <c r="K7" s="34" t="s">
        <v>1534</v>
      </c>
      <c r="M7" s="34" t="s">
        <v>1535</v>
      </c>
    </row>
    <row r="8" spans="1:13" ht="15" customHeight="1" x14ac:dyDescent="0.35">
      <c r="B8" s="35" t="s">
        <v>99</v>
      </c>
      <c r="C8" s="36"/>
      <c r="D8" s="36"/>
      <c r="E8" s="37">
        <v>44926</v>
      </c>
      <c r="F8" s="37">
        <v>45291</v>
      </c>
      <c r="G8" s="37">
        <v>45657</v>
      </c>
      <c r="H8" s="37">
        <v>46022</v>
      </c>
    </row>
    <row r="10" spans="1:13" ht="15" customHeight="1" x14ac:dyDescent="0.35">
      <c r="A10" s="38" t="s">
        <v>5</v>
      </c>
      <c r="B10" s="39" t="s">
        <v>1059</v>
      </c>
      <c r="C10" s="27"/>
      <c r="D10" s="27"/>
      <c r="E10" s="27"/>
      <c r="F10" s="27"/>
      <c r="G10" s="27"/>
      <c r="H10" s="27"/>
      <c r="I10" s="15"/>
      <c r="J10" s="15"/>
      <c r="K10" s="15"/>
      <c r="L10" s="15"/>
    </row>
    <row r="12" spans="1:13" ht="15" customHeight="1" x14ac:dyDescent="0.35">
      <c r="B12" s="40" t="s">
        <v>1060</v>
      </c>
      <c r="C12" s="41" t="s">
        <v>1061</v>
      </c>
      <c r="F12" s="41" t="s">
        <v>1536</v>
      </c>
      <c r="G12" s="41" t="s">
        <v>1537</v>
      </c>
      <c r="H12" s="41" t="s">
        <v>1537</v>
      </c>
      <c r="J12" s="105" t="s">
        <v>1060</v>
      </c>
      <c r="K12" s="105" t="s">
        <v>1538</v>
      </c>
      <c r="M12" s="106" t="str">
        <f>IF(COUNT('Reported Financials'!E12:H12)=0,"",IF(SUMPRODUCT(--ISNUMBER('Reported Financials'!E12:H12),--(E12:H12=""))=0,"OK","source missing"))</f>
        <v>OK</v>
      </c>
    </row>
    <row r="13" spans="1:13" ht="15" customHeight="1" x14ac:dyDescent="0.35">
      <c r="B13" s="44" t="s">
        <v>104</v>
      </c>
      <c r="G13" s="107" t="s">
        <v>1539</v>
      </c>
      <c r="H13" s="107" t="s">
        <v>1539</v>
      </c>
      <c r="K13" s="108" t="s">
        <v>1540</v>
      </c>
    </row>
    <row r="14" spans="1:13" ht="15" customHeight="1" x14ac:dyDescent="0.35">
      <c r="B14" s="40" t="s">
        <v>1064</v>
      </c>
      <c r="C14" s="41" t="s">
        <v>1065</v>
      </c>
      <c r="F14" s="107" t="s">
        <v>1541</v>
      </c>
      <c r="G14" s="107" t="s">
        <v>1541</v>
      </c>
      <c r="H14" s="107" t="s">
        <v>1541</v>
      </c>
      <c r="J14" s="105" t="s">
        <v>1064</v>
      </c>
      <c r="K14" s="108" t="s">
        <v>1542</v>
      </c>
      <c r="M14" s="106" t="str">
        <f>IF(COUNT('Reported Financials'!E14:H14)=0,"",IF(SUMPRODUCT(--ISNUMBER('Reported Financials'!E14:H14),--(E14:H14=""))=0,"OK","source missing"))</f>
        <v>OK</v>
      </c>
    </row>
    <row r="15" spans="1:13" ht="15" customHeight="1" x14ac:dyDescent="0.35">
      <c r="B15" s="40" t="s">
        <v>1066</v>
      </c>
      <c r="C15" s="41" t="s">
        <v>1065</v>
      </c>
      <c r="F15" s="41" t="s">
        <v>1543</v>
      </c>
      <c r="G15" s="41" t="s">
        <v>1544</v>
      </c>
      <c r="H15" s="41" t="s">
        <v>1544</v>
      </c>
      <c r="J15" s="105" t="s">
        <v>1545</v>
      </c>
      <c r="K15" s="105" t="s">
        <v>1546</v>
      </c>
      <c r="M15" s="106" t="str">
        <f>IF(COUNT('Reported Financials'!E15:H15)=0,"",IF(SUMPRODUCT(--ISNUMBER('Reported Financials'!E15:H15),--(E15:H15=""))=0,"OK","source missing"))</f>
        <v>OK</v>
      </c>
    </row>
    <row r="16" spans="1:13" ht="15" customHeight="1" x14ac:dyDescent="0.35">
      <c r="B16" s="40" t="s">
        <v>1067</v>
      </c>
      <c r="C16" s="41" t="s">
        <v>1065</v>
      </c>
      <c r="F16" s="41" t="s">
        <v>1543</v>
      </c>
      <c r="G16" s="41" t="s">
        <v>1544</v>
      </c>
      <c r="H16" s="41" t="s">
        <v>1544</v>
      </c>
      <c r="J16" s="105" t="s">
        <v>1547</v>
      </c>
      <c r="K16" s="105" t="s">
        <v>1546</v>
      </c>
      <c r="M16" s="106" t="str">
        <f>IF(COUNT('Reported Financials'!E16:H16)=0,"",IF(SUMPRODUCT(--ISNUMBER('Reported Financials'!E16:H16),--(E16:H16=""))=0,"OK","source missing"))</f>
        <v>OK</v>
      </c>
    </row>
    <row r="17" spans="2:13" ht="15" customHeight="1" x14ac:dyDescent="0.35">
      <c r="B17" s="40" t="s">
        <v>1068</v>
      </c>
      <c r="F17" s="107" t="s">
        <v>1539</v>
      </c>
      <c r="G17" s="107" t="s">
        <v>1539</v>
      </c>
      <c r="H17" s="107" t="s">
        <v>1539</v>
      </c>
      <c r="K17" s="108" t="s">
        <v>1548</v>
      </c>
    </row>
    <row r="18" spans="2:13" ht="15" customHeight="1" x14ac:dyDescent="0.35">
      <c r="B18" s="46" t="s">
        <v>1070</v>
      </c>
      <c r="C18" s="47"/>
      <c r="D18" s="47"/>
      <c r="E18" s="47"/>
      <c r="F18" s="109" t="s">
        <v>1539</v>
      </c>
      <c r="G18" s="109" t="s">
        <v>1539</v>
      </c>
      <c r="H18" s="109" t="s">
        <v>1539</v>
      </c>
      <c r="K18" s="108" t="s">
        <v>1540</v>
      </c>
    </row>
    <row r="20" spans="2:13" ht="15" customHeight="1" x14ac:dyDescent="0.35">
      <c r="B20" s="40" t="s">
        <v>1071</v>
      </c>
      <c r="C20" s="41" t="s">
        <v>1072</v>
      </c>
      <c r="F20" s="107" t="s">
        <v>1541</v>
      </c>
      <c r="G20" s="107" t="s">
        <v>1541</v>
      </c>
      <c r="H20" s="107" t="s">
        <v>1541</v>
      </c>
      <c r="J20" s="105" t="s">
        <v>1071</v>
      </c>
      <c r="K20" s="108" t="s">
        <v>1542</v>
      </c>
      <c r="M20" s="106" t="str">
        <f>IF(COUNT('Reported Financials'!E20:H20)=0,"",IF(SUMPRODUCT(--ISNUMBER('Reported Financials'!E20:H20),--(E20:H20=""))=0,"OK","source missing"))</f>
        <v>OK</v>
      </c>
    </row>
    <row r="21" spans="2:13" ht="15" customHeight="1" x14ac:dyDescent="0.35">
      <c r="B21" s="40" t="s">
        <v>1073</v>
      </c>
      <c r="C21" s="41" t="s">
        <v>1072</v>
      </c>
      <c r="F21" s="41" t="s">
        <v>1543</v>
      </c>
      <c r="G21" s="41" t="s">
        <v>1549</v>
      </c>
      <c r="H21" s="41" t="s">
        <v>1549</v>
      </c>
      <c r="J21" s="105" t="s">
        <v>1550</v>
      </c>
      <c r="K21" s="105" t="s">
        <v>1546</v>
      </c>
      <c r="M21" s="106" t="str">
        <f>IF(COUNT('Reported Financials'!E21:H21)=0,"",IF(SUMPRODUCT(--ISNUMBER('Reported Financials'!E21:H21),--(E21:H21=""))=0,"OK","source missing"))</f>
        <v>OK</v>
      </c>
    </row>
    <row r="22" spans="2:13" ht="15" customHeight="1" x14ac:dyDescent="0.35">
      <c r="B22" s="40" t="s">
        <v>1075</v>
      </c>
      <c r="C22" s="41" t="s">
        <v>1072</v>
      </c>
      <c r="F22" s="41" t="s">
        <v>1543</v>
      </c>
      <c r="G22" s="41" t="s">
        <v>1549</v>
      </c>
      <c r="H22" s="41" t="s">
        <v>1549</v>
      </c>
      <c r="J22" s="105" t="s">
        <v>1551</v>
      </c>
      <c r="K22" s="105" t="s">
        <v>1546</v>
      </c>
      <c r="M22" s="106" t="str">
        <f>IF(COUNT('Reported Financials'!E22:H22)=0,"",IF(SUMPRODUCT(--ISNUMBER('Reported Financials'!E22:H22),--(E22:H22=""))=0,"OK","source missing"))</f>
        <v>OK</v>
      </c>
    </row>
    <row r="23" spans="2:13" ht="15" customHeight="1" x14ac:dyDescent="0.35">
      <c r="B23" s="40" t="s">
        <v>1076</v>
      </c>
      <c r="C23" s="41" t="s">
        <v>1072</v>
      </c>
      <c r="F23" s="41" t="s">
        <v>1543</v>
      </c>
      <c r="G23" s="41" t="s">
        <v>1549</v>
      </c>
      <c r="H23" s="41" t="s">
        <v>1549</v>
      </c>
      <c r="J23" s="105" t="s">
        <v>1552</v>
      </c>
      <c r="K23" s="105" t="s">
        <v>1546</v>
      </c>
      <c r="M23" s="106" t="str">
        <f>IF(COUNT('Reported Financials'!E23:H23)=0,"",IF(SUMPRODUCT(--ISNUMBER('Reported Financials'!E23:H23),--(E23:H23=""))=0,"OK","source missing"))</f>
        <v>OK</v>
      </c>
    </row>
    <row r="24" spans="2:13" ht="15" customHeight="1" x14ac:dyDescent="0.35">
      <c r="B24" s="40" t="s">
        <v>1077</v>
      </c>
      <c r="C24" s="41" t="s">
        <v>1072</v>
      </c>
      <c r="F24" s="41" t="s">
        <v>1543</v>
      </c>
      <c r="G24" s="41" t="s">
        <v>1549</v>
      </c>
      <c r="H24" s="41" t="s">
        <v>1549</v>
      </c>
      <c r="J24" s="105" t="s">
        <v>1553</v>
      </c>
      <c r="K24" s="105" t="s">
        <v>1546</v>
      </c>
      <c r="M24" s="106" t="str">
        <f>IF(COUNT('Reported Financials'!E24:H24)=0,"",IF(SUMPRODUCT(--ISNUMBER('Reported Financials'!E24:H24),--(E24:H24=""))=0,"OK","source missing"))</f>
        <v>OK</v>
      </c>
    </row>
    <row r="25" spans="2:13" ht="15" customHeight="1" x14ac:dyDescent="0.35">
      <c r="B25" s="40" t="s">
        <v>1078</v>
      </c>
      <c r="C25" s="41" t="s">
        <v>1072</v>
      </c>
      <c r="F25" s="41" t="s">
        <v>1543</v>
      </c>
      <c r="G25" s="41" t="s">
        <v>1549</v>
      </c>
      <c r="H25" s="41" t="s">
        <v>1549</v>
      </c>
      <c r="J25" s="105" t="s">
        <v>1554</v>
      </c>
      <c r="K25" s="105" t="s">
        <v>1546</v>
      </c>
      <c r="M25" s="106" t="str">
        <f>IF(COUNT('Reported Financials'!E25:H25)=0,"",IF(SUMPRODUCT(--ISNUMBER('Reported Financials'!E25:H25),--(E25:H25=""))=0,"OK","source missing"))</f>
        <v>OK</v>
      </c>
    </row>
    <row r="26" spans="2:13" ht="15" customHeight="1" x14ac:dyDescent="0.35">
      <c r="B26" s="40" t="s">
        <v>1079</v>
      </c>
      <c r="C26" s="41" t="s">
        <v>1072</v>
      </c>
      <c r="F26" s="41" t="s">
        <v>1543</v>
      </c>
      <c r="G26" s="41" t="s">
        <v>1549</v>
      </c>
      <c r="H26" s="41" t="s">
        <v>1549</v>
      </c>
      <c r="J26" s="105" t="s">
        <v>1555</v>
      </c>
      <c r="K26" s="105" t="s">
        <v>1546</v>
      </c>
      <c r="M26" s="106" t="str">
        <f>IF(COUNT('Reported Financials'!E26:H26)=0,"",IF(SUMPRODUCT(--ISNUMBER('Reported Financials'!E26:H26),--(E26:H26=""))=0,"OK","source missing"))</f>
        <v>OK</v>
      </c>
    </row>
    <row r="27" spans="2:13" ht="15" customHeight="1" x14ac:dyDescent="0.35">
      <c r="B27" s="40" t="s">
        <v>1080</v>
      </c>
      <c r="C27" s="41" t="s">
        <v>1072</v>
      </c>
      <c r="F27" s="41" t="s">
        <v>1543</v>
      </c>
      <c r="G27" s="41" t="s">
        <v>1549</v>
      </c>
      <c r="H27" s="41" t="s">
        <v>1549</v>
      </c>
      <c r="J27" s="105" t="s">
        <v>1556</v>
      </c>
      <c r="K27" s="105" t="s">
        <v>1546</v>
      </c>
      <c r="M27" s="106" t="str">
        <f>IF(COUNT('Reported Financials'!E27:H27)=0,"",IF(SUMPRODUCT(--ISNUMBER('Reported Financials'!E27:H27),--(E27:H27=""))=0,"OK","source missing"))</f>
        <v>OK</v>
      </c>
    </row>
    <row r="28" spans="2:13" ht="15" customHeight="1" x14ac:dyDescent="0.35">
      <c r="B28" s="40" t="s">
        <v>1081</v>
      </c>
      <c r="C28" s="41" t="s">
        <v>1072</v>
      </c>
      <c r="F28" s="41" t="s">
        <v>1543</v>
      </c>
      <c r="G28" s="41" t="s">
        <v>1549</v>
      </c>
      <c r="H28" s="41" t="s">
        <v>1549</v>
      </c>
      <c r="J28" s="105" t="s">
        <v>1557</v>
      </c>
      <c r="K28" s="105" t="s">
        <v>1546</v>
      </c>
      <c r="M28" s="106" t="str">
        <f>IF(COUNT('Reported Financials'!E28:H28)=0,"",IF(SUMPRODUCT(--ISNUMBER('Reported Financials'!E28:H28),--(E28:H28=""))=0,"OK","source missing"))</f>
        <v>OK</v>
      </c>
    </row>
    <row r="29" spans="2:13" ht="15" customHeight="1" x14ac:dyDescent="0.35">
      <c r="B29" s="40" t="s">
        <v>1068</v>
      </c>
      <c r="F29" s="107" t="s">
        <v>1539</v>
      </c>
      <c r="G29" s="107" t="s">
        <v>1539</v>
      </c>
      <c r="H29" s="107" t="s">
        <v>1539</v>
      </c>
      <c r="K29" s="108" t="s">
        <v>1548</v>
      </c>
    </row>
    <row r="31" spans="2:13" ht="15" customHeight="1" x14ac:dyDescent="0.35">
      <c r="B31" s="40" t="s">
        <v>1082</v>
      </c>
      <c r="C31" s="41" t="s">
        <v>1083</v>
      </c>
      <c r="F31" s="107" t="s">
        <v>1541</v>
      </c>
      <c r="G31" s="107" t="s">
        <v>1541</v>
      </c>
      <c r="H31" s="107" t="s">
        <v>1541</v>
      </c>
      <c r="J31" s="105" t="s">
        <v>1082</v>
      </c>
      <c r="K31" s="108" t="s">
        <v>1542</v>
      </c>
      <c r="M31" s="106" t="str">
        <f>IF(COUNT('Reported Financials'!E31:H31)=0,"",IF(SUMPRODUCT(--ISNUMBER('Reported Financials'!E31:H31),--(E31:H31=""))=0,"OK","source missing"))</f>
        <v>OK</v>
      </c>
    </row>
    <row r="32" spans="2:13" ht="15" customHeight="1" x14ac:dyDescent="0.35">
      <c r="B32" s="40" t="s">
        <v>1085</v>
      </c>
      <c r="C32" s="41" t="s">
        <v>1083</v>
      </c>
      <c r="F32" s="41" t="s">
        <v>1558</v>
      </c>
      <c r="G32" s="41" t="s">
        <v>1549</v>
      </c>
      <c r="H32" s="41" t="s">
        <v>1549</v>
      </c>
      <c r="J32" s="105" t="s">
        <v>1559</v>
      </c>
      <c r="K32" s="105" t="s">
        <v>1546</v>
      </c>
      <c r="M32" s="106" t="str">
        <f>IF(COUNT('Reported Financials'!E32:H32)=0,"",IF(SUMPRODUCT(--ISNUMBER('Reported Financials'!E32:H32),--(E32:H32=""))=0,"OK","source missing"))</f>
        <v>OK</v>
      </c>
    </row>
    <row r="33" spans="2:13" ht="15" customHeight="1" x14ac:dyDescent="0.35">
      <c r="B33" s="40" t="s">
        <v>1086</v>
      </c>
      <c r="C33" s="41" t="s">
        <v>1083</v>
      </c>
      <c r="F33" s="41" t="s">
        <v>1558</v>
      </c>
      <c r="G33" s="41" t="s">
        <v>1549</v>
      </c>
      <c r="H33" s="41" t="s">
        <v>1549</v>
      </c>
      <c r="J33" s="105" t="s">
        <v>1560</v>
      </c>
      <c r="K33" s="105" t="s">
        <v>1546</v>
      </c>
      <c r="M33" s="106" t="str">
        <f>IF(COUNT('Reported Financials'!E33:H33)=0,"",IF(SUMPRODUCT(--ISNUMBER('Reported Financials'!E33:H33),--(E33:H33=""))=0,"OK","source missing"))</f>
        <v>OK</v>
      </c>
    </row>
    <row r="34" spans="2:13" ht="15" customHeight="1" x14ac:dyDescent="0.35">
      <c r="B34" s="40" t="s">
        <v>1068</v>
      </c>
      <c r="F34" s="107" t="s">
        <v>1539</v>
      </c>
      <c r="G34" s="107" t="s">
        <v>1539</v>
      </c>
      <c r="H34" s="107" t="s">
        <v>1539</v>
      </c>
      <c r="K34" s="108" t="s">
        <v>1548</v>
      </c>
    </row>
    <row r="35" spans="2:13" ht="15" customHeight="1" x14ac:dyDescent="0.35">
      <c r="B35" s="40" t="s">
        <v>1087</v>
      </c>
      <c r="C35" s="41" t="s">
        <v>1088</v>
      </c>
      <c r="F35" s="107" t="s">
        <v>1541</v>
      </c>
      <c r="G35" s="107" t="s">
        <v>1541</v>
      </c>
      <c r="H35" s="107" t="s">
        <v>1541</v>
      </c>
      <c r="J35" s="105" t="s">
        <v>1087</v>
      </c>
      <c r="K35" s="108" t="s">
        <v>1542</v>
      </c>
      <c r="M35" s="106" t="str">
        <f>IF(COUNT('Reported Financials'!E35:H35)=0,"",IF(SUMPRODUCT(--ISNUMBER('Reported Financials'!E35:H35),--(E35:H35=""))=0,"OK","source missing"))</f>
        <v>OK</v>
      </c>
    </row>
    <row r="36" spans="2:13" ht="15" customHeight="1" x14ac:dyDescent="0.35">
      <c r="B36" s="40" t="s">
        <v>1089</v>
      </c>
      <c r="C36" s="41" t="s">
        <v>1088</v>
      </c>
      <c r="F36" s="41" t="s">
        <v>1558</v>
      </c>
      <c r="G36" s="41" t="s">
        <v>1549</v>
      </c>
      <c r="H36" s="41" t="s">
        <v>1549</v>
      </c>
      <c r="J36" s="105" t="s">
        <v>1561</v>
      </c>
      <c r="K36" s="105" t="s">
        <v>1546</v>
      </c>
      <c r="M36" s="106" t="str">
        <f>IF(COUNT('Reported Financials'!E36:H36)=0,"",IF(SUMPRODUCT(--ISNUMBER('Reported Financials'!E36:H36),--(E36:H36=""))=0,"OK","source missing"))</f>
        <v>OK</v>
      </c>
    </row>
    <row r="37" spans="2:13" ht="15" customHeight="1" x14ac:dyDescent="0.35">
      <c r="B37" s="40" t="s">
        <v>1090</v>
      </c>
      <c r="C37" s="41" t="s">
        <v>1088</v>
      </c>
      <c r="F37" s="41" t="s">
        <v>1558</v>
      </c>
      <c r="G37" s="41" t="s">
        <v>1549</v>
      </c>
      <c r="H37" s="41" t="s">
        <v>1549</v>
      </c>
      <c r="J37" s="105" t="s">
        <v>1562</v>
      </c>
      <c r="K37" s="105" t="s">
        <v>1546</v>
      </c>
      <c r="M37" s="106" t="str">
        <f>IF(COUNT('Reported Financials'!E37:H37)=0,"",IF(SUMPRODUCT(--ISNUMBER('Reported Financials'!E37:H37),--(E37:H37=""))=0,"OK","source missing"))</f>
        <v>OK</v>
      </c>
    </row>
    <row r="38" spans="2:13" ht="15" customHeight="1" x14ac:dyDescent="0.35">
      <c r="B38" s="40" t="s">
        <v>1091</v>
      </c>
      <c r="C38" s="41" t="s">
        <v>1088</v>
      </c>
      <c r="F38" s="41" t="s">
        <v>1558</v>
      </c>
      <c r="G38" s="41" t="s">
        <v>1549</v>
      </c>
      <c r="H38" s="41" t="s">
        <v>1549</v>
      </c>
      <c r="J38" s="105" t="s">
        <v>1563</v>
      </c>
      <c r="K38" s="105" t="s">
        <v>1546</v>
      </c>
      <c r="M38" s="106" t="str">
        <f>IF(COUNT('Reported Financials'!E38:H38)=0,"",IF(SUMPRODUCT(--ISNUMBER('Reported Financials'!E38:H38),--(E38:H38=""))=0,"OK","source missing"))</f>
        <v>OK</v>
      </c>
    </row>
    <row r="39" spans="2:13" ht="15" customHeight="1" x14ac:dyDescent="0.35">
      <c r="B39" s="40" t="s">
        <v>1092</v>
      </c>
      <c r="C39" s="41" t="s">
        <v>1088</v>
      </c>
      <c r="F39" s="41" t="s">
        <v>1558</v>
      </c>
      <c r="G39" s="41" t="s">
        <v>1549</v>
      </c>
      <c r="H39" s="41" t="s">
        <v>1549</v>
      </c>
      <c r="J39" s="105" t="s">
        <v>1564</v>
      </c>
      <c r="K39" s="105" t="s">
        <v>1546</v>
      </c>
      <c r="M39" s="106" t="str">
        <f>IF(COUNT('Reported Financials'!E39:H39)=0,"",IF(SUMPRODUCT(--ISNUMBER('Reported Financials'!E39:H39),--(E39:H39=""))=0,"OK","source missing"))</f>
        <v>OK</v>
      </c>
    </row>
    <row r="40" spans="2:13" ht="15" customHeight="1" x14ac:dyDescent="0.35">
      <c r="B40" s="40" t="s">
        <v>1068</v>
      </c>
      <c r="F40" s="107" t="s">
        <v>1539</v>
      </c>
      <c r="G40" s="107" t="s">
        <v>1539</v>
      </c>
      <c r="H40" s="107" t="s">
        <v>1539</v>
      </c>
      <c r="K40" s="108" t="s">
        <v>1548</v>
      </c>
    </row>
    <row r="41" spans="2:13" ht="15" customHeight="1" x14ac:dyDescent="0.35">
      <c r="B41" s="40" t="s">
        <v>1093</v>
      </c>
      <c r="C41" s="41" t="s">
        <v>1094</v>
      </c>
      <c r="F41" s="107" t="s">
        <v>1541</v>
      </c>
      <c r="G41" s="107" t="s">
        <v>1541</v>
      </c>
      <c r="H41" s="107" t="s">
        <v>1541</v>
      </c>
      <c r="J41" s="105" t="s">
        <v>1093</v>
      </c>
      <c r="K41" s="108" t="s">
        <v>1542</v>
      </c>
      <c r="M41" s="106" t="str">
        <f>IF(COUNT('Reported Financials'!E41:H41)=0,"",IF(SUMPRODUCT(--ISNUMBER('Reported Financials'!E41:H41),--(E41:H41=""))=0,"OK","source missing"))</f>
        <v>OK</v>
      </c>
    </row>
    <row r="42" spans="2:13" ht="15" customHeight="1" x14ac:dyDescent="0.35">
      <c r="B42" s="40" t="s">
        <v>420</v>
      </c>
      <c r="C42" s="41" t="s">
        <v>1094</v>
      </c>
      <c r="F42" s="41" t="s">
        <v>1558</v>
      </c>
      <c r="G42" s="41" t="s">
        <v>1565</v>
      </c>
      <c r="H42" s="41" t="s">
        <v>1565</v>
      </c>
      <c r="J42" s="105" t="s">
        <v>1196</v>
      </c>
      <c r="K42" s="105" t="s">
        <v>1546</v>
      </c>
      <c r="M42" s="106" t="str">
        <f>IF(COUNT('Reported Financials'!E42:H42)=0,"",IF(SUMPRODUCT(--ISNUMBER('Reported Financials'!E42:H42),--(E42:H42=""))=0,"OK","source missing"))</f>
        <v>OK</v>
      </c>
    </row>
    <row r="43" spans="2:13" ht="15" customHeight="1" x14ac:dyDescent="0.35">
      <c r="B43" s="40" t="s">
        <v>421</v>
      </c>
      <c r="C43" s="41" t="s">
        <v>1094</v>
      </c>
      <c r="F43" s="41" t="s">
        <v>1558</v>
      </c>
      <c r="G43" s="41" t="s">
        <v>1565</v>
      </c>
      <c r="H43" s="41" t="s">
        <v>1565</v>
      </c>
      <c r="J43" s="105" t="s">
        <v>1197</v>
      </c>
      <c r="K43" s="105" t="s">
        <v>1546</v>
      </c>
      <c r="M43" s="106" t="str">
        <f>IF(COUNT('Reported Financials'!E43:H43)=0,"",IF(SUMPRODUCT(--ISNUMBER('Reported Financials'!E43:H43),--(E43:H43=""))=0,"OK","source missing"))</f>
        <v>OK</v>
      </c>
    </row>
    <row r="44" spans="2:13" ht="15" customHeight="1" x14ac:dyDescent="0.35">
      <c r="B44" s="40" t="s">
        <v>1095</v>
      </c>
      <c r="C44" s="41" t="s">
        <v>1094</v>
      </c>
      <c r="F44" s="41" t="s">
        <v>1558</v>
      </c>
      <c r="G44" s="41" t="s">
        <v>1565</v>
      </c>
      <c r="H44" s="41" t="s">
        <v>1565</v>
      </c>
      <c r="J44" s="105" t="s">
        <v>1566</v>
      </c>
      <c r="K44" s="105" t="s">
        <v>1546</v>
      </c>
      <c r="M44" s="106" t="str">
        <f>IF(COUNT('Reported Financials'!E44:H44)=0,"",IF(SUMPRODUCT(--ISNUMBER('Reported Financials'!E44:H44),--(E44:H44=""))=0,"OK","source missing"))</f>
        <v>OK</v>
      </c>
    </row>
    <row r="45" spans="2:13" ht="15" customHeight="1" x14ac:dyDescent="0.35">
      <c r="B45" s="40" t="s">
        <v>1068</v>
      </c>
      <c r="F45" s="107" t="s">
        <v>1539</v>
      </c>
      <c r="G45" s="107" t="s">
        <v>1539</v>
      </c>
      <c r="H45" s="107" t="s">
        <v>1539</v>
      </c>
      <c r="K45" s="108" t="s">
        <v>1548</v>
      </c>
    </row>
    <row r="46" spans="2:13" ht="15" customHeight="1" x14ac:dyDescent="0.35">
      <c r="B46" s="44" t="s">
        <v>1096</v>
      </c>
      <c r="F46" s="107" t="s">
        <v>1539</v>
      </c>
      <c r="G46" s="107" t="s">
        <v>1539</v>
      </c>
      <c r="H46" s="107" t="s">
        <v>1539</v>
      </c>
      <c r="K46" s="108" t="s">
        <v>1540</v>
      </c>
    </row>
    <row r="47" spans="2:13" ht="15" customHeight="1" x14ac:dyDescent="0.35">
      <c r="B47" s="40" t="s">
        <v>1097</v>
      </c>
      <c r="C47" s="41" t="s">
        <v>1098</v>
      </c>
      <c r="F47" s="107" t="s">
        <v>1541</v>
      </c>
      <c r="G47" s="107" t="s">
        <v>1541</v>
      </c>
      <c r="H47" s="107" t="s">
        <v>1541</v>
      </c>
      <c r="J47" s="105" t="s">
        <v>1097</v>
      </c>
      <c r="K47" s="108" t="s">
        <v>1542</v>
      </c>
      <c r="M47" s="106" t="str">
        <f>IF(COUNT('Reported Financials'!E47:H47)=0,"",IF(SUMPRODUCT(--ISNUMBER('Reported Financials'!E47:H47),--(E47:H47=""))=0,"OK","source missing"))</f>
        <v>OK</v>
      </c>
    </row>
    <row r="48" spans="2:13" ht="15" customHeight="1" x14ac:dyDescent="0.35">
      <c r="B48" s="40" t="s">
        <v>1099</v>
      </c>
      <c r="C48" s="41" t="s">
        <v>1098</v>
      </c>
      <c r="F48" s="41" t="s">
        <v>1567</v>
      </c>
      <c r="G48" s="41" t="s">
        <v>1565</v>
      </c>
      <c r="H48" s="41" t="s">
        <v>1565</v>
      </c>
      <c r="J48" s="105" t="s">
        <v>1568</v>
      </c>
      <c r="K48" s="105" t="s">
        <v>1546</v>
      </c>
      <c r="M48" s="106" t="str">
        <f>IF(COUNT('Reported Financials'!E48:H48)=0,"",IF(SUMPRODUCT(--ISNUMBER('Reported Financials'!E48:H48),--(E48:H48=""))=0,"OK","source missing"))</f>
        <v>OK</v>
      </c>
    </row>
    <row r="49" spans="2:13" ht="15" customHeight="1" x14ac:dyDescent="0.35">
      <c r="B49" s="40" t="s">
        <v>1100</v>
      </c>
      <c r="C49" s="41" t="s">
        <v>1098</v>
      </c>
      <c r="F49" s="41" t="s">
        <v>1567</v>
      </c>
      <c r="G49" s="41" t="s">
        <v>1565</v>
      </c>
      <c r="H49" s="41" t="s">
        <v>1565</v>
      </c>
      <c r="J49" s="105" t="s">
        <v>1569</v>
      </c>
      <c r="K49" s="105" t="s">
        <v>1546</v>
      </c>
      <c r="M49" s="106" t="str">
        <f>IF(COUNT('Reported Financials'!E49:H49)=0,"",IF(SUMPRODUCT(--ISNUMBER('Reported Financials'!E49:H49),--(E49:H49=""))=0,"OK","source missing"))</f>
        <v>OK</v>
      </c>
    </row>
    <row r="50" spans="2:13" ht="15" customHeight="1" x14ac:dyDescent="0.35">
      <c r="B50" s="40" t="s">
        <v>1101</v>
      </c>
      <c r="C50" s="41" t="s">
        <v>1098</v>
      </c>
      <c r="F50" s="41" t="s">
        <v>1567</v>
      </c>
      <c r="G50" s="41" t="s">
        <v>1565</v>
      </c>
      <c r="H50" s="41" t="s">
        <v>1565</v>
      </c>
      <c r="J50" s="105" t="s">
        <v>1570</v>
      </c>
      <c r="K50" s="105" t="s">
        <v>1546</v>
      </c>
      <c r="M50" s="106" t="str">
        <f>IF(COUNT('Reported Financials'!E50:H50)=0,"",IF(SUMPRODUCT(--ISNUMBER('Reported Financials'!E50:H50),--(E50:H50=""))=0,"OK","source missing"))</f>
        <v>OK</v>
      </c>
    </row>
    <row r="51" spans="2:13" ht="15" customHeight="1" x14ac:dyDescent="0.35">
      <c r="B51" s="40" t="s">
        <v>291</v>
      </c>
      <c r="C51" s="41" t="s">
        <v>1098</v>
      </c>
      <c r="F51" s="41" t="s">
        <v>1567</v>
      </c>
      <c r="G51" s="41" t="s">
        <v>1565</v>
      </c>
      <c r="H51" s="41" t="s">
        <v>1565</v>
      </c>
      <c r="J51" s="105" t="s">
        <v>1571</v>
      </c>
      <c r="K51" s="105" t="s">
        <v>1546</v>
      </c>
      <c r="M51" s="106" t="str">
        <f>IF(COUNT('Reported Financials'!E51:H51)=0,"",IF(SUMPRODUCT(--ISNUMBER('Reported Financials'!E51:H51),--(E51:H51=""))=0,"OK","source missing"))</f>
        <v>OK</v>
      </c>
    </row>
    <row r="52" spans="2:13" ht="15" customHeight="1" x14ac:dyDescent="0.35">
      <c r="B52" s="40" t="s">
        <v>1102</v>
      </c>
      <c r="C52" s="41" t="s">
        <v>1098</v>
      </c>
      <c r="F52" s="41" t="s">
        <v>1567</v>
      </c>
      <c r="G52" s="41" t="s">
        <v>1565</v>
      </c>
      <c r="H52" s="41" t="s">
        <v>1565</v>
      </c>
      <c r="J52" s="105" t="s">
        <v>1572</v>
      </c>
      <c r="K52" s="105" t="s">
        <v>1546</v>
      </c>
      <c r="M52" s="106" t="str">
        <f>IF(COUNT('Reported Financials'!E52:H52)=0,"",IF(SUMPRODUCT(--ISNUMBER('Reported Financials'!E52:H52),--(E52:H52=""))=0,"OK","source missing"))</f>
        <v>OK</v>
      </c>
    </row>
    <row r="53" spans="2:13" ht="15" customHeight="1" x14ac:dyDescent="0.35">
      <c r="B53" s="40" t="s">
        <v>1103</v>
      </c>
      <c r="C53" s="41" t="s">
        <v>1098</v>
      </c>
      <c r="F53" s="41" t="s">
        <v>1567</v>
      </c>
      <c r="G53" s="41" t="s">
        <v>1565</v>
      </c>
      <c r="H53" s="41" t="s">
        <v>1565</v>
      </c>
      <c r="J53" s="105" t="s">
        <v>1573</v>
      </c>
      <c r="K53" s="105" t="s">
        <v>1546</v>
      </c>
      <c r="M53" s="106" t="str">
        <f>IF(COUNT('Reported Financials'!E53:H53)=0,"",IF(SUMPRODUCT(--ISNUMBER('Reported Financials'!E53:H53),--(E53:H53=""))=0,"OK","source missing"))</f>
        <v>OK</v>
      </c>
    </row>
    <row r="54" spans="2:13" ht="15" customHeight="1" x14ac:dyDescent="0.35">
      <c r="B54" s="40" t="s">
        <v>1104</v>
      </c>
      <c r="C54" s="41" t="s">
        <v>1098</v>
      </c>
      <c r="F54" s="41" t="s">
        <v>1567</v>
      </c>
      <c r="G54" s="41" t="s">
        <v>1565</v>
      </c>
      <c r="H54" s="41" t="s">
        <v>1565</v>
      </c>
      <c r="J54" s="105" t="s">
        <v>1574</v>
      </c>
      <c r="K54" s="105" t="s">
        <v>1546</v>
      </c>
      <c r="M54" s="106" t="str">
        <f>IF(COUNT('Reported Financials'!E54:H54)=0,"",IF(SUMPRODUCT(--ISNUMBER('Reported Financials'!E54:H54),--(E54:H54=""))=0,"OK","source missing"))</f>
        <v>OK</v>
      </c>
    </row>
    <row r="55" spans="2:13" ht="15" customHeight="1" x14ac:dyDescent="0.35">
      <c r="B55" s="40" t="s">
        <v>1105</v>
      </c>
      <c r="C55" s="41" t="s">
        <v>1098</v>
      </c>
      <c r="F55" s="41" t="s">
        <v>1567</v>
      </c>
      <c r="G55" s="41" t="s">
        <v>1565</v>
      </c>
      <c r="H55" s="41" t="s">
        <v>1565</v>
      </c>
      <c r="J55" s="105" t="s">
        <v>1575</v>
      </c>
      <c r="K55" s="105" t="s">
        <v>1546</v>
      </c>
      <c r="M55" s="106" t="str">
        <f>IF(COUNT('Reported Financials'!E55:H55)=0,"",IF(SUMPRODUCT(--ISNUMBER('Reported Financials'!E55:H55),--(E55:H55=""))=0,"OK","source missing"))</f>
        <v>OK</v>
      </c>
    </row>
    <row r="56" spans="2:13" ht="15" customHeight="1" x14ac:dyDescent="0.35">
      <c r="B56" s="40" t="s">
        <v>1106</v>
      </c>
      <c r="C56" s="41" t="s">
        <v>1098</v>
      </c>
      <c r="F56" s="41" t="s">
        <v>1567</v>
      </c>
      <c r="G56" s="41" t="s">
        <v>1565</v>
      </c>
      <c r="H56" s="41" t="s">
        <v>1565</v>
      </c>
      <c r="J56" s="105" t="s">
        <v>1576</v>
      </c>
      <c r="K56" s="105" t="s">
        <v>1546</v>
      </c>
      <c r="M56" s="106" t="str">
        <f>IF(COUNT('Reported Financials'!E56:H56)=0,"",IF(SUMPRODUCT(--ISNUMBER('Reported Financials'!E56:H56),--(E56:H56=""))=0,"OK","source missing"))</f>
        <v>OK</v>
      </c>
    </row>
    <row r="57" spans="2:13" ht="15" customHeight="1" x14ac:dyDescent="0.35">
      <c r="B57" s="40" t="s">
        <v>1107</v>
      </c>
      <c r="C57" s="41" t="s">
        <v>1098</v>
      </c>
      <c r="F57" s="41" t="s">
        <v>1567</v>
      </c>
      <c r="G57" s="41" t="s">
        <v>1565</v>
      </c>
      <c r="H57" s="41" t="s">
        <v>1565</v>
      </c>
      <c r="J57" s="105" t="s">
        <v>1577</v>
      </c>
      <c r="K57" s="105" t="s">
        <v>1546</v>
      </c>
      <c r="M57" s="106" t="str">
        <f>IF(COUNT('Reported Financials'!E57:H57)=0,"",IF(SUMPRODUCT(--ISNUMBER('Reported Financials'!E57:H57),--(E57:H57=""))=0,"OK","source missing"))</f>
        <v>OK</v>
      </c>
    </row>
    <row r="58" spans="2:13" ht="15" customHeight="1" x14ac:dyDescent="0.35">
      <c r="B58" s="40" t="s">
        <v>1108</v>
      </c>
      <c r="C58" s="41" t="s">
        <v>1098</v>
      </c>
      <c r="F58" s="41" t="s">
        <v>1567</v>
      </c>
      <c r="G58" s="41" t="s">
        <v>1565</v>
      </c>
      <c r="H58" s="41" t="s">
        <v>1565</v>
      </c>
      <c r="J58" s="105" t="s">
        <v>1578</v>
      </c>
      <c r="K58" s="105" t="s">
        <v>1546</v>
      </c>
      <c r="M58" s="106" t="str">
        <f>IF(COUNT('Reported Financials'!E58:H58)=0,"",IF(SUMPRODUCT(--ISNUMBER('Reported Financials'!E58:H58),--(E58:H58=""))=0,"OK","source missing"))</f>
        <v>OK</v>
      </c>
    </row>
    <row r="59" spans="2:13" ht="15" customHeight="1" x14ac:dyDescent="0.35">
      <c r="B59" s="40" t="s">
        <v>1109</v>
      </c>
      <c r="C59" s="41" t="s">
        <v>1098</v>
      </c>
      <c r="F59" s="41" t="s">
        <v>1567</v>
      </c>
      <c r="G59" s="41" t="s">
        <v>1565</v>
      </c>
      <c r="H59" s="41" t="s">
        <v>1565</v>
      </c>
      <c r="J59" s="105" t="s">
        <v>1579</v>
      </c>
      <c r="K59" s="105" t="s">
        <v>1546</v>
      </c>
      <c r="M59" s="106" t="str">
        <f>IF(COUNT('Reported Financials'!E59:H59)=0,"",IF(SUMPRODUCT(--ISNUMBER('Reported Financials'!E59:H59),--(E59:H59=""))=0,"OK","source missing"))</f>
        <v>OK</v>
      </c>
    </row>
    <row r="60" spans="2:13" ht="15" customHeight="1" x14ac:dyDescent="0.35">
      <c r="B60" s="40" t="s">
        <v>1110</v>
      </c>
      <c r="C60" s="41" t="s">
        <v>1098</v>
      </c>
      <c r="F60" s="41" t="s">
        <v>1567</v>
      </c>
      <c r="G60" s="41" t="s">
        <v>1565</v>
      </c>
      <c r="H60" s="41" t="s">
        <v>1565</v>
      </c>
      <c r="J60" s="105" t="s">
        <v>1580</v>
      </c>
      <c r="K60" s="105" t="s">
        <v>1546</v>
      </c>
      <c r="M60" s="106" t="str">
        <f>IF(COUNT('Reported Financials'!E60:H60)=0,"",IF(SUMPRODUCT(--ISNUMBER('Reported Financials'!E60:H60),--(E60:H60=""))=0,"OK","source missing"))</f>
        <v>OK</v>
      </c>
    </row>
    <row r="61" spans="2:13" ht="15" customHeight="1" x14ac:dyDescent="0.35">
      <c r="B61" s="40" t="s">
        <v>1111</v>
      </c>
      <c r="C61" s="41" t="s">
        <v>1098</v>
      </c>
      <c r="F61" s="41" t="s">
        <v>1567</v>
      </c>
      <c r="G61" s="41" t="s">
        <v>1565</v>
      </c>
      <c r="H61" s="41" t="s">
        <v>1565</v>
      </c>
      <c r="J61" s="105" t="s">
        <v>1581</v>
      </c>
      <c r="K61" s="105" t="s">
        <v>1546</v>
      </c>
      <c r="M61" s="106" t="str">
        <f>IF(COUNT('Reported Financials'!E61:H61)=0,"",IF(SUMPRODUCT(--ISNUMBER('Reported Financials'!E61:H61),--(E61:H61=""))=0,"OK","source missing"))</f>
        <v>OK</v>
      </c>
    </row>
    <row r="62" spans="2:13" ht="15" customHeight="1" x14ac:dyDescent="0.35">
      <c r="B62" s="40" t="s">
        <v>1112</v>
      </c>
      <c r="C62" s="41" t="s">
        <v>1098</v>
      </c>
      <c r="F62" s="41" t="s">
        <v>1567</v>
      </c>
      <c r="G62" s="41" t="s">
        <v>1565</v>
      </c>
      <c r="H62" s="41" t="s">
        <v>1565</v>
      </c>
      <c r="J62" s="105" t="s">
        <v>1582</v>
      </c>
      <c r="K62" s="105" t="s">
        <v>1546</v>
      </c>
      <c r="M62" s="106" t="str">
        <f>IF(COUNT('Reported Financials'!E62:H62)=0,"",IF(SUMPRODUCT(--ISNUMBER('Reported Financials'!E62:H62),--(E62:H62=""))=0,"OK","source missing"))</f>
        <v>OK</v>
      </c>
    </row>
    <row r="63" spans="2:13" ht="15" customHeight="1" x14ac:dyDescent="0.35">
      <c r="B63" s="40" t="s">
        <v>1113</v>
      </c>
      <c r="C63" s="41" t="s">
        <v>1098</v>
      </c>
      <c r="F63" s="41" t="s">
        <v>1567</v>
      </c>
      <c r="G63" s="41" t="s">
        <v>1565</v>
      </c>
      <c r="H63" s="41" t="s">
        <v>1565</v>
      </c>
      <c r="J63" s="105" t="s">
        <v>1583</v>
      </c>
      <c r="K63" s="105" t="s">
        <v>1546</v>
      </c>
      <c r="M63" s="106" t="str">
        <f>IF(COUNT('Reported Financials'!E63:H63)=0,"",IF(SUMPRODUCT(--ISNUMBER('Reported Financials'!E63:H63),--(E63:H63=""))=0,"OK","source missing"))</f>
        <v>OK</v>
      </c>
    </row>
    <row r="64" spans="2:13" ht="15" customHeight="1" x14ac:dyDescent="0.35">
      <c r="B64" s="40" t="s">
        <v>1068</v>
      </c>
      <c r="F64" s="107" t="s">
        <v>1539</v>
      </c>
      <c r="G64" s="107" t="s">
        <v>1539</v>
      </c>
      <c r="H64" s="107" t="s">
        <v>1539</v>
      </c>
      <c r="K64" s="108" t="s">
        <v>1548</v>
      </c>
    </row>
    <row r="66" spans="2:13" ht="15" customHeight="1" x14ac:dyDescent="0.35">
      <c r="B66" s="40" t="s">
        <v>1114</v>
      </c>
      <c r="C66" s="41" t="s">
        <v>1115</v>
      </c>
      <c r="F66" s="41" t="s">
        <v>1536</v>
      </c>
      <c r="G66" s="41" t="s">
        <v>1537</v>
      </c>
      <c r="H66" s="41" t="s">
        <v>1537</v>
      </c>
      <c r="J66" s="105" t="s">
        <v>1114</v>
      </c>
      <c r="K66" s="105" t="s">
        <v>1546</v>
      </c>
      <c r="M66" s="106" t="str">
        <f>IF(COUNT('Reported Financials'!E66:H66)=0,"",IF(SUMPRODUCT(--ISNUMBER('Reported Financials'!E66:H66),--(E66:H66=""))=0,"OK","source missing"))</f>
        <v>OK</v>
      </c>
    </row>
    <row r="67" spans="2:13" ht="15" customHeight="1" x14ac:dyDescent="0.35">
      <c r="B67" s="40" t="s">
        <v>1117</v>
      </c>
      <c r="F67" s="41" t="s">
        <v>1536</v>
      </c>
      <c r="G67" s="41" t="s">
        <v>1537</v>
      </c>
      <c r="H67" s="41" t="s">
        <v>1537</v>
      </c>
      <c r="J67" s="105" t="s">
        <v>1117</v>
      </c>
      <c r="K67" s="105" t="s">
        <v>1546</v>
      </c>
      <c r="M67" s="106" t="str">
        <f>IF(COUNT('Reported Financials'!E67:H67)=0,"",IF(SUMPRODUCT(--ISNUMBER('Reported Financials'!E67:H67),--(E67:H67=""))=0,"OK","source missing"))</f>
        <v>OK</v>
      </c>
    </row>
    <row r="68" spans="2:13" ht="15" customHeight="1" x14ac:dyDescent="0.35">
      <c r="B68" s="40" t="s">
        <v>1119</v>
      </c>
      <c r="F68" s="107" t="s">
        <v>1539</v>
      </c>
      <c r="G68" s="107" t="s">
        <v>1539</v>
      </c>
      <c r="H68" s="107" t="s">
        <v>1539</v>
      </c>
      <c r="K68" s="108" t="s">
        <v>1548</v>
      </c>
    </row>
    <row r="69" spans="2:13" ht="15" customHeight="1" x14ac:dyDescent="0.35">
      <c r="B69" s="46" t="s">
        <v>1120</v>
      </c>
      <c r="C69" s="47"/>
      <c r="D69" s="47"/>
      <c r="E69" s="47"/>
      <c r="F69" s="109" t="s">
        <v>1539</v>
      </c>
      <c r="G69" s="109" t="s">
        <v>1539</v>
      </c>
      <c r="H69" s="109" t="s">
        <v>1539</v>
      </c>
      <c r="K69" s="108" t="s">
        <v>1540</v>
      </c>
    </row>
    <row r="70" spans="2:13" ht="15" customHeight="1" x14ac:dyDescent="0.35">
      <c r="B70" s="44" t="s">
        <v>1121</v>
      </c>
      <c r="F70" s="107" t="s">
        <v>1539</v>
      </c>
      <c r="G70" s="107" t="s">
        <v>1539</v>
      </c>
      <c r="H70" s="107" t="s">
        <v>1539</v>
      </c>
      <c r="K70" s="108" t="s">
        <v>1540</v>
      </c>
    </row>
    <row r="71" spans="2:13" ht="15" customHeight="1" x14ac:dyDescent="0.35">
      <c r="B71" s="40" t="s">
        <v>1122</v>
      </c>
      <c r="F71" s="41" t="s">
        <v>1536</v>
      </c>
      <c r="G71" s="41" t="s">
        <v>1537</v>
      </c>
      <c r="H71" s="41" t="s">
        <v>1537</v>
      </c>
      <c r="J71" s="105" t="s">
        <v>1122</v>
      </c>
      <c r="K71" s="105" t="s">
        <v>1546</v>
      </c>
      <c r="M71" s="106" t="str">
        <f>IF(COUNT('Reported Financials'!E71:H71)=0,"",IF(SUMPRODUCT(--ISNUMBER('Reported Financials'!E71:H71),--(E71:H71=""))=0,"OK","source missing"))</f>
        <v>OK</v>
      </c>
    </row>
    <row r="72" spans="2:13" ht="15" customHeight="1" x14ac:dyDescent="0.35">
      <c r="B72" s="40" t="s">
        <v>1123</v>
      </c>
      <c r="F72" s="41" t="s">
        <v>1536</v>
      </c>
      <c r="G72" s="41" t="s">
        <v>1537</v>
      </c>
      <c r="H72" s="41" t="s">
        <v>1537</v>
      </c>
      <c r="J72" s="105" t="s">
        <v>1123</v>
      </c>
      <c r="K72" s="105" t="s">
        <v>1546</v>
      </c>
      <c r="M72" s="106" t="str">
        <f>IF(COUNT('Reported Financials'!E72:H72)=0,"",IF(SUMPRODUCT(--ISNUMBER('Reported Financials'!E72:H72),--(E72:H72=""))=0,"OK","source missing"))</f>
        <v>OK</v>
      </c>
    </row>
    <row r="73" spans="2:13" ht="15" customHeight="1" x14ac:dyDescent="0.35">
      <c r="B73" s="46" t="s">
        <v>1125</v>
      </c>
      <c r="C73" s="47"/>
      <c r="D73" s="47"/>
      <c r="E73" s="47"/>
      <c r="F73" s="109" t="s">
        <v>1539</v>
      </c>
      <c r="G73" s="109" t="s">
        <v>1539</v>
      </c>
      <c r="H73" s="109" t="s">
        <v>1539</v>
      </c>
      <c r="K73" s="108" t="s">
        <v>1540</v>
      </c>
    </row>
    <row r="74" spans="2:13" ht="15" customHeight="1" x14ac:dyDescent="0.35">
      <c r="B74" s="40" t="s">
        <v>210</v>
      </c>
      <c r="C74" s="41" t="s">
        <v>1126</v>
      </c>
      <c r="F74" s="41" t="s">
        <v>1536</v>
      </c>
      <c r="G74" s="41" t="s">
        <v>1537</v>
      </c>
      <c r="H74" s="41" t="s">
        <v>1537</v>
      </c>
      <c r="J74" s="105" t="s">
        <v>210</v>
      </c>
      <c r="K74" s="105" t="s">
        <v>1546</v>
      </c>
      <c r="M74" s="106" t="str">
        <f>IF(COUNT('Reported Financials'!E74:H74)=0,"",IF(SUMPRODUCT(--ISNUMBER('Reported Financials'!E74:H74),--(E74:H74=""))=0,"OK","source missing"))</f>
        <v>OK</v>
      </c>
    </row>
    <row r="75" spans="2:13" ht="15" customHeight="1" x14ac:dyDescent="0.35">
      <c r="B75" s="44" t="s">
        <v>1127</v>
      </c>
      <c r="F75" s="107" t="s">
        <v>1539</v>
      </c>
      <c r="G75" s="107" t="s">
        <v>1539</v>
      </c>
      <c r="H75" s="107" t="s">
        <v>1539</v>
      </c>
      <c r="K75" s="108" t="s">
        <v>1540</v>
      </c>
    </row>
    <row r="76" spans="2:13" ht="15" customHeight="1" x14ac:dyDescent="0.35">
      <c r="B76" s="46" t="s">
        <v>1128</v>
      </c>
      <c r="C76" s="47"/>
      <c r="D76" s="47"/>
      <c r="E76" s="47"/>
      <c r="F76" s="109" t="s">
        <v>1539</v>
      </c>
      <c r="G76" s="109" t="s">
        <v>1539</v>
      </c>
      <c r="H76" s="109" t="s">
        <v>1539</v>
      </c>
      <c r="K76" s="108" t="s">
        <v>1540</v>
      </c>
    </row>
    <row r="77" spans="2:13" ht="15" customHeight="1" x14ac:dyDescent="0.35">
      <c r="B77" s="40" t="s">
        <v>1129</v>
      </c>
      <c r="C77" s="41" t="s">
        <v>1130</v>
      </c>
      <c r="F77" s="41" t="s">
        <v>1536</v>
      </c>
      <c r="G77" s="41" t="s">
        <v>1537</v>
      </c>
      <c r="H77" s="41" t="s">
        <v>1537</v>
      </c>
      <c r="J77" s="105" t="s">
        <v>1129</v>
      </c>
      <c r="K77" s="105" t="s">
        <v>1546</v>
      </c>
      <c r="M77" s="106" t="str">
        <f>IF(COUNT('Reported Financials'!E77:H77)=0,"",IF(SUMPRODUCT(--ISNUMBER('Reported Financials'!E77:H77),--(E77:H77=""))=0,"OK","source missing"))</f>
        <v>OK</v>
      </c>
    </row>
    <row r="78" spans="2:13" ht="15" customHeight="1" x14ac:dyDescent="0.35">
      <c r="B78" s="46" t="s">
        <v>1132</v>
      </c>
      <c r="C78" s="47"/>
      <c r="D78" s="47"/>
      <c r="E78" s="47"/>
      <c r="F78" s="109" t="s">
        <v>1539</v>
      </c>
      <c r="G78" s="109" t="s">
        <v>1539</v>
      </c>
      <c r="H78" s="109" t="s">
        <v>1539</v>
      </c>
      <c r="K78" s="108" t="s">
        <v>1540</v>
      </c>
    </row>
    <row r="79" spans="2:13" ht="15" customHeight="1" x14ac:dyDescent="0.35">
      <c r="B79" s="40" t="s">
        <v>469</v>
      </c>
      <c r="F79" s="41" t="s">
        <v>1536</v>
      </c>
      <c r="G79" s="41" t="s">
        <v>1537</v>
      </c>
      <c r="H79" s="41" t="s">
        <v>1537</v>
      </c>
      <c r="J79" s="105" t="s">
        <v>1228</v>
      </c>
      <c r="K79" s="105" t="s">
        <v>1546</v>
      </c>
      <c r="M79" s="106" t="str">
        <f>IF(COUNT('Reported Financials'!E79:H79)=0,"",IF(SUMPRODUCT(--ISNUMBER('Reported Financials'!E79:H79),--(E79:H79=""))=0,"OK","source missing"))</f>
        <v>OK</v>
      </c>
    </row>
    <row r="80" spans="2:13" ht="15" customHeight="1" x14ac:dyDescent="0.35">
      <c r="B80" s="40" t="s">
        <v>1133</v>
      </c>
      <c r="F80" s="107" t="s">
        <v>1539</v>
      </c>
      <c r="G80" s="107" t="s">
        <v>1539</v>
      </c>
      <c r="H80" s="107" t="s">
        <v>1539</v>
      </c>
      <c r="K80" s="108" t="s">
        <v>1540</v>
      </c>
    </row>
    <row r="81" spans="1:13" ht="15" customHeight="1" x14ac:dyDescent="0.35">
      <c r="B81" s="44" t="s">
        <v>1134</v>
      </c>
      <c r="F81" s="107" t="s">
        <v>1539</v>
      </c>
      <c r="G81" s="107" t="s">
        <v>1539</v>
      </c>
      <c r="H81" s="107" t="s">
        <v>1539</v>
      </c>
      <c r="K81" s="108" t="s">
        <v>1540</v>
      </c>
    </row>
    <row r="83" spans="1:13" ht="15" customHeight="1" x14ac:dyDescent="0.35">
      <c r="A83" s="38" t="s">
        <v>5</v>
      </c>
      <c r="B83" s="39" t="s">
        <v>1135</v>
      </c>
      <c r="C83" s="27"/>
      <c r="D83" s="27"/>
      <c r="E83" s="27"/>
      <c r="F83" s="27"/>
      <c r="G83" s="27"/>
      <c r="H83" s="27"/>
      <c r="I83" s="15"/>
      <c r="J83" s="15"/>
      <c r="K83" s="15"/>
      <c r="L83" s="15"/>
    </row>
    <row r="85" spans="1:13" ht="15" customHeight="1" x14ac:dyDescent="0.35">
      <c r="B85" s="40" t="s">
        <v>1136</v>
      </c>
      <c r="C85" s="41" t="s">
        <v>1094</v>
      </c>
      <c r="F85" s="41" t="s">
        <v>1558</v>
      </c>
      <c r="G85" s="41" t="s">
        <v>1565</v>
      </c>
      <c r="H85" s="41" t="s">
        <v>1565</v>
      </c>
      <c r="J85" s="105" t="s">
        <v>1136</v>
      </c>
      <c r="K85" s="105" t="s">
        <v>1546</v>
      </c>
      <c r="M85" s="106" t="str">
        <f>IF(COUNT('Reported Financials'!E85:H85)=0,"",IF(SUMPRODUCT(--ISNUMBER('Reported Financials'!E85:H85),--(E85:H85=""))=0,"OK","source missing"))</f>
        <v>OK</v>
      </c>
    </row>
    <row r="86" spans="1:13" ht="15" customHeight="1" x14ac:dyDescent="0.35">
      <c r="B86" s="40" t="s">
        <v>1138</v>
      </c>
      <c r="C86" s="41" t="s">
        <v>1094</v>
      </c>
      <c r="F86" s="41" t="s">
        <v>1567</v>
      </c>
      <c r="G86" s="41" t="s">
        <v>1565</v>
      </c>
      <c r="H86" s="41" t="s">
        <v>1565</v>
      </c>
      <c r="J86" s="105" t="s">
        <v>1138</v>
      </c>
      <c r="K86" s="105" t="s">
        <v>1546</v>
      </c>
      <c r="M86" s="106" t="str">
        <f>IF(COUNT('Reported Financials'!E86:H86)=0,"",IF(SUMPRODUCT(--ISNUMBER('Reported Financials'!E86:H86),--(E86:H86=""))=0,"OK","source missing"))</f>
        <v>OK</v>
      </c>
    </row>
    <row r="87" spans="1:13" ht="15" customHeight="1" x14ac:dyDescent="0.35">
      <c r="B87" s="40" t="s">
        <v>1139</v>
      </c>
      <c r="C87" s="41" t="s">
        <v>1140</v>
      </c>
      <c r="F87" s="41" t="s">
        <v>1584</v>
      </c>
      <c r="G87" s="41" t="s">
        <v>1585</v>
      </c>
      <c r="H87" s="41" t="s">
        <v>1585</v>
      </c>
      <c r="J87" s="105" t="s">
        <v>1139</v>
      </c>
      <c r="K87" s="105" t="s">
        <v>1546</v>
      </c>
      <c r="M87" s="106" t="str">
        <f>IF(COUNT('Reported Financials'!E87:H87)=0,"",IF(SUMPRODUCT(--ISNUMBER('Reported Financials'!E87:H87),--(E87:H87=""))=0,"OK","source missing"))</f>
        <v>OK</v>
      </c>
    </row>
    <row r="88" spans="1:13" ht="15" customHeight="1" x14ac:dyDescent="0.35">
      <c r="B88" s="40" t="s">
        <v>1142</v>
      </c>
      <c r="C88" s="41" t="s">
        <v>1143</v>
      </c>
      <c r="F88" s="41" t="s">
        <v>1586</v>
      </c>
      <c r="G88" s="41" t="s">
        <v>1587</v>
      </c>
      <c r="H88" s="41" t="s">
        <v>1587</v>
      </c>
      <c r="J88" s="105" t="s">
        <v>1142</v>
      </c>
      <c r="K88" s="105" t="s">
        <v>1546</v>
      </c>
      <c r="M88" s="106" t="str">
        <f>IF(COUNT('Reported Financials'!E88:H88)=0,"",IF(SUMPRODUCT(--ISNUMBER('Reported Financials'!E88:H88),--(E88:H88=""))=0,"OK","source missing"))</f>
        <v>OK</v>
      </c>
    </row>
    <row r="89" spans="1:13" ht="15" customHeight="1" x14ac:dyDescent="0.35">
      <c r="B89" s="40" t="s">
        <v>1145</v>
      </c>
      <c r="F89" s="41" t="s">
        <v>1588</v>
      </c>
      <c r="G89" s="41" t="s">
        <v>1589</v>
      </c>
      <c r="H89" s="41" t="s">
        <v>1589</v>
      </c>
      <c r="J89" s="105" t="s">
        <v>1590</v>
      </c>
      <c r="K89" s="105" t="s">
        <v>1546</v>
      </c>
      <c r="M89" s="106" t="str">
        <f>IF(COUNT('Reported Financials'!E89:H89)=0,"",IF(SUMPRODUCT(--ISNUMBER('Reported Financials'!E89:H89),--(E89:H89=""))=0,"OK","source missing"))</f>
        <v>OK</v>
      </c>
    </row>
    <row r="90" spans="1:13" ht="15" customHeight="1" x14ac:dyDescent="0.35">
      <c r="B90" s="40" t="s">
        <v>1147</v>
      </c>
      <c r="F90" s="41" t="s">
        <v>1591</v>
      </c>
      <c r="G90" s="41" t="s">
        <v>1589</v>
      </c>
      <c r="H90" s="41" t="s">
        <v>1589</v>
      </c>
      <c r="J90" s="105" t="s">
        <v>1147</v>
      </c>
      <c r="K90" s="105" t="s">
        <v>1592</v>
      </c>
      <c r="M90" s="106" t="str">
        <f>IF(COUNT('Reported Financials'!E90:H90)=0,"",IF(SUMPRODUCT(--ISNUMBER('Reported Financials'!E90:H90),--(E90:H90=""))=0,"OK","source missing"))</f>
        <v>OK</v>
      </c>
    </row>
    <row r="91" spans="1:13" ht="15" customHeight="1" x14ac:dyDescent="0.35">
      <c r="B91" s="40" t="s">
        <v>1149</v>
      </c>
      <c r="F91" s="41" t="s">
        <v>1593</v>
      </c>
      <c r="G91" s="41" t="s">
        <v>1594</v>
      </c>
      <c r="H91" s="41" t="s">
        <v>1595</v>
      </c>
      <c r="J91" s="105" t="s">
        <v>1596</v>
      </c>
      <c r="K91" s="105" t="s">
        <v>1546</v>
      </c>
      <c r="M91" s="106" t="str">
        <f>IF(COUNT('Reported Financials'!E91:H91)=0,"",IF(SUMPRODUCT(--ISNUMBER('Reported Financials'!E91:H91),--(E91:H91=""))=0,"OK","source missing"))</f>
        <v>OK</v>
      </c>
    </row>
    <row r="92" spans="1:13" ht="15" customHeight="1" x14ac:dyDescent="0.35">
      <c r="B92" s="40" t="s">
        <v>1151</v>
      </c>
      <c r="F92" s="41" t="s">
        <v>1591</v>
      </c>
      <c r="G92" s="41" t="s">
        <v>1589</v>
      </c>
      <c r="H92" s="41" t="s">
        <v>1589</v>
      </c>
      <c r="J92" s="105" t="s">
        <v>1597</v>
      </c>
      <c r="K92" s="105" t="s">
        <v>1592</v>
      </c>
      <c r="M92" s="106" t="str">
        <f>IF(COUNT('Reported Financials'!E92:H92)=0,"",IF(SUMPRODUCT(--ISNUMBER('Reported Financials'!E92:H92),--(E92:H92=""))=0,"OK","source missing"))</f>
        <v>OK</v>
      </c>
    </row>
    <row r="93" spans="1:13" ht="15" customHeight="1" x14ac:dyDescent="0.35">
      <c r="B93" s="40" t="s">
        <v>1153</v>
      </c>
      <c r="C93" s="41" t="s">
        <v>1126</v>
      </c>
      <c r="F93" s="41" t="s">
        <v>1567</v>
      </c>
      <c r="G93" s="41" t="s">
        <v>1565</v>
      </c>
      <c r="H93" s="41" t="s">
        <v>1565</v>
      </c>
      <c r="J93" s="105" t="s">
        <v>1598</v>
      </c>
      <c r="K93" s="105" t="s">
        <v>1546</v>
      </c>
      <c r="M93" s="106" t="str">
        <f>IF(COUNT('Reported Financials'!E93:H93)=0,"",IF(SUMPRODUCT(--ISNUMBER('Reported Financials'!E93:H93),--(E93:H93=""))=0,"OK","source missing"))</f>
        <v>OK</v>
      </c>
    </row>
    <row r="94" spans="1:13" ht="15" customHeight="1" x14ac:dyDescent="0.35">
      <c r="B94" s="40" t="s">
        <v>1155</v>
      </c>
      <c r="F94" s="41" t="s">
        <v>1599</v>
      </c>
      <c r="G94" s="41" t="s">
        <v>1600</v>
      </c>
      <c r="H94" s="110"/>
      <c r="J94" s="105" t="s">
        <v>1601</v>
      </c>
      <c r="K94" s="105" t="s">
        <v>1602</v>
      </c>
      <c r="M94" s="106" t="str">
        <f>IF(COUNT('Reported Financials'!E94:H94)=0,"",IF(SUMPRODUCT(--ISNUMBER('Reported Financials'!E94:H94),--(E94:H94=""))=0,"OK","source missing"))</f>
        <v>OK</v>
      </c>
    </row>
    <row r="95" spans="1:13" ht="15" customHeight="1" x14ac:dyDescent="0.35">
      <c r="B95" s="40" t="s">
        <v>1157</v>
      </c>
      <c r="F95" s="41" t="s">
        <v>1599</v>
      </c>
      <c r="G95" s="41" t="s">
        <v>1600</v>
      </c>
      <c r="H95" s="110"/>
      <c r="J95" s="105" t="s">
        <v>1603</v>
      </c>
      <c r="K95" s="105" t="s">
        <v>1602</v>
      </c>
      <c r="M95" s="106" t="str">
        <f>IF(COUNT('Reported Financials'!E95:H95)=0,"",IF(SUMPRODUCT(--ISNUMBER('Reported Financials'!E95:H95),--(E95:H95=""))=0,"OK","source missing"))</f>
        <v>OK</v>
      </c>
    </row>
    <row r="96" spans="1:13" ht="15" customHeight="1" x14ac:dyDescent="0.35">
      <c r="B96" s="40" t="s">
        <v>1159</v>
      </c>
      <c r="F96" s="41" t="s">
        <v>1591</v>
      </c>
      <c r="G96" s="41" t="s">
        <v>1589</v>
      </c>
      <c r="H96" s="41" t="s">
        <v>1589</v>
      </c>
      <c r="J96" s="105" t="s">
        <v>1604</v>
      </c>
      <c r="K96" s="105" t="s">
        <v>1592</v>
      </c>
      <c r="M96" s="106" t="str">
        <f>IF(COUNT('Reported Financials'!E96:H96)=0,"",IF(SUMPRODUCT(--ISNUMBER('Reported Financials'!E96:H96),--(E96:H96=""))=0,"OK","source missing"))</f>
        <v>OK</v>
      </c>
    </row>
    <row r="97" spans="1:13" ht="15" customHeight="1" x14ac:dyDescent="0.35">
      <c r="B97" s="40" t="s">
        <v>1161</v>
      </c>
      <c r="F97" s="41" t="s">
        <v>1591</v>
      </c>
      <c r="G97" s="41" t="s">
        <v>1589</v>
      </c>
      <c r="H97" s="41" t="s">
        <v>1589</v>
      </c>
      <c r="J97" s="105" t="s">
        <v>1605</v>
      </c>
      <c r="K97" s="105" t="s">
        <v>1592</v>
      </c>
      <c r="M97" s="106" t="str">
        <f>IF(COUNT('Reported Financials'!E97:H97)=0,"",IF(SUMPRODUCT(--ISNUMBER('Reported Financials'!E97:H97),--(E97:H97=""))=0,"OK","source missing"))</f>
        <v>OK</v>
      </c>
    </row>
    <row r="98" spans="1:13" ht="15" customHeight="1" x14ac:dyDescent="0.35">
      <c r="B98" s="40" t="s">
        <v>1163</v>
      </c>
      <c r="C98" s="41" t="s">
        <v>1072</v>
      </c>
      <c r="F98" s="41" t="s">
        <v>1606</v>
      </c>
      <c r="G98" s="41" t="s">
        <v>1607</v>
      </c>
      <c r="H98" s="41" t="s">
        <v>1608</v>
      </c>
      <c r="J98" s="105" t="s">
        <v>1609</v>
      </c>
      <c r="K98" s="105" t="s">
        <v>1610</v>
      </c>
      <c r="M98" s="106" t="str">
        <f>IF(COUNT('Reported Financials'!E98:H98)=0,"",IF(SUMPRODUCT(--ISNUMBER('Reported Financials'!E98:H98),--(E98:H98=""))=0,"OK","source missing"))</f>
        <v>OK</v>
      </c>
    </row>
    <row r="99" spans="1:13" ht="15" customHeight="1" x14ac:dyDescent="0.35">
      <c r="B99" s="40" t="s">
        <v>1165</v>
      </c>
      <c r="C99" s="41" t="s">
        <v>1166</v>
      </c>
      <c r="E99" s="41" t="s">
        <v>1611</v>
      </c>
      <c r="F99" s="41" t="s">
        <v>1612</v>
      </c>
      <c r="G99" s="41" t="s">
        <v>1613</v>
      </c>
      <c r="H99" s="41" t="s">
        <v>1613</v>
      </c>
      <c r="J99" s="105" t="s">
        <v>1614</v>
      </c>
      <c r="K99" s="105" t="s">
        <v>1546</v>
      </c>
      <c r="M99" s="106" t="str">
        <f>IF(COUNT('Reported Financials'!E99:H99)=0,"",IF(SUMPRODUCT(--ISNUMBER('Reported Financials'!E99:H99),--(E99:H99=""))=0,"OK","source missing"))</f>
        <v>OK</v>
      </c>
    </row>
    <row r="100" spans="1:13" ht="15" customHeight="1" x14ac:dyDescent="0.35">
      <c r="B100" s="40" t="s">
        <v>1168</v>
      </c>
      <c r="C100" s="41" t="s">
        <v>1130</v>
      </c>
      <c r="F100" s="41" t="s">
        <v>1615</v>
      </c>
      <c r="G100" s="41" t="s">
        <v>1616</v>
      </c>
      <c r="H100" s="41" t="s">
        <v>1616</v>
      </c>
      <c r="J100" s="105" t="s">
        <v>1168</v>
      </c>
      <c r="K100" s="105" t="s">
        <v>1546</v>
      </c>
      <c r="M100" s="106" t="str">
        <f>IF(COUNT('Reported Financials'!E100:H100)=0,"",IF(SUMPRODUCT(--ISNUMBER('Reported Financials'!E100:H100),--(E100:H100=""))=0,"OK","source missing"))</f>
        <v>OK</v>
      </c>
    </row>
    <row r="101" spans="1:13" ht="15" customHeight="1" x14ac:dyDescent="0.35">
      <c r="B101" s="40" t="s">
        <v>1170</v>
      </c>
      <c r="C101" s="41" t="s">
        <v>1130</v>
      </c>
      <c r="F101" s="41" t="s">
        <v>1615</v>
      </c>
      <c r="G101" s="41" t="s">
        <v>1616</v>
      </c>
      <c r="H101" s="41" t="s">
        <v>1616</v>
      </c>
      <c r="J101" s="105" t="s">
        <v>1170</v>
      </c>
      <c r="K101" s="105" t="s">
        <v>1546</v>
      </c>
      <c r="M101" s="106" t="str">
        <f>IF(COUNT('Reported Financials'!E101:H101)=0,"",IF(SUMPRODUCT(--ISNUMBER('Reported Financials'!E101:H101),--(E101:H101=""))=0,"OK","source missing"))</f>
        <v>OK</v>
      </c>
    </row>
    <row r="102" spans="1:13" ht="15" customHeight="1" x14ac:dyDescent="0.35">
      <c r="B102" s="40" t="s">
        <v>1172</v>
      </c>
      <c r="C102" s="41" t="s">
        <v>1173</v>
      </c>
      <c r="F102" s="41" t="s">
        <v>1617</v>
      </c>
      <c r="G102" s="41" t="s">
        <v>1618</v>
      </c>
      <c r="H102" s="41" t="s">
        <v>1618</v>
      </c>
      <c r="J102" s="105" t="s">
        <v>1172</v>
      </c>
      <c r="K102" s="105" t="s">
        <v>1546</v>
      </c>
      <c r="M102" s="106" t="str">
        <f>IF(COUNT('Reported Financials'!E102:H102)=0,"",IF(SUMPRODUCT(--ISNUMBER('Reported Financials'!E102:H102),--(E102:H102=""))=0,"OK","source missing"))</f>
        <v>OK</v>
      </c>
    </row>
    <row r="103" spans="1:13" ht="15" customHeight="1" x14ac:dyDescent="0.35">
      <c r="B103" s="40" t="s">
        <v>1174</v>
      </c>
      <c r="C103" s="41" t="s">
        <v>1173</v>
      </c>
      <c r="F103" s="41" t="s">
        <v>1617</v>
      </c>
      <c r="G103" s="41" t="s">
        <v>1618</v>
      </c>
      <c r="H103" s="41" t="s">
        <v>1618</v>
      </c>
      <c r="J103" s="105" t="s">
        <v>1174</v>
      </c>
      <c r="K103" s="105" t="s">
        <v>1546</v>
      </c>
      <c r="M103" s="106" t="str">
        <f>IF(COUNT('Reported Financials'!E103:H103)=0,"",IF(SUMPRODUCT(--ISNUMBER('Reported Financials'!E103:H103),--(E103:H103=""))=0,"OK","source missing"))</f>
        <v>OK</v>
      </c>
    </row>
    <row r="104" spans="1:13" ht="15" customHeight="1" x14ac:dyDescent="0.35">
      <c r="B104" s="40" t="s">
        <v>1175</v>
      </c>
      <c r="C104" s="41" t="s">
        <v>1173</v>
      </c>
      <c r="F104" s="41" t="s">
        <v>1617</v>
      </c>
      <c r="G104" s="41" t="s">
        <v>1618</v>
      </c>
      <c r="H104" s="41" t="s">
        <v>1618</v>
      </c>
      <c r="J104" s="105" t="s">
        <v>1175</v>
      </c>
      <c r="K104" s="105" t="s">
        <v>1546</v>
      </c>
      <c r="M104" s="106" t="str">
        <f>IF(COUNT('Reported Financials'!E104:H104)=0,"",IF(SUMPRODUCT(--ISNUMBER('Reported Financials'!E104:H104),--(E104:H104=""))=0,"OK","source missing"))</f>
        <v>OK</v>
      </c>
    </row>
    <row r="105" spans="1:13" ht="15" customHeight="1" x14ac:dyDescent="0.35">
      <c r="B105" s="40" t="s">
        <v>1176</v>
      </c>
      <c r="C105" s="41" t="s">
        <v>1173</v>
      </c>
      <c r="F105" s="41" t="s">
        <v>1617</v>
      </c>
      <c r="G105" s="41" t="s">
        <v>1618</v>
      </c>
      <c r="H105" s="41" t="s">
        <v>1618</v>
      </c>
      <c r="J105" s="105" t="s">
        <v>1176</v>
      </c>
      <c r="K105" s="105" t="s">
        <v>1546</v>
      </c>
      <c r="M105" s="106" t="str">
        <f>IF(COUNT('Reported Financials'!E105:H105)=0,"",IF(SUMPRODUCT(--ISNUMBER('Reported Financials'!E105:H105),--(E105:H105=""))=0,"OK","source missing"))</f>
        <v>OK</v>
      </c>
    </row>
    <row r="106" spans="1:13" ht="15" customHeight="1" x14ac:dyDescent="0.35">
      <c r="B106" s="40" t="s">
        <v>1177</v>
      </c>
      <c r="C106" s="41" t="s">
        <v>1173</v>
      </c>
      <c r="F106" s="41" t="s">
        <v>1617</v>
      </c>
      <c r="G106" s="41" t="s">
        <v>1618</v>
      </c>
      <c r="H106" s="41" t="s">
        <v>1618</v>
      </c>
      <c r="J106" s="105" t="s">
        <v>1177</v>
      </c>
      <c r="K106" s="105" t="s">
        <v>1546</v>
      </c>
      <c r="M106" s="106" t="str">
        <f>IF(COUNT('Reported Financials'!E106:H106)=0,"",IF(SUMPRODUCT(--ISNUMBER('Reported Financials'!E106:H106),--(E106:H106=""))=0,"OK","source missing"))</f>
        <v>OK</v>
      </c>
    </row>
    <row r="107" spans="1:13" ht="15" customHeight="1" x14ac:dyDescent="0.35">
      <c r="B107" s="40" t="s">
        <v>1178</v>
      </c>
      <c r="C107" s="41" t="s">
        <v>1173</v>
      </c>
      <c r="F107" s="41" t="s">
        <v>1617</v>
      </c>
      <c r="G107" s="41" t="s">
        <v>1618</v>
      </c>
      <c r="H107" s="41" t="s">
        <v>1618</v>
      </c>
      <c r="J107" s="105" t="s">
        <v>1178</v>
      </c>
      <c r="K107" s="105" t="s">
        <v>1546</v>
      </c>
      <c r="M107" s="106" t="str">
        <f>IF(COUNT('Reported Financials'!E107:H107)=0,"",IF(SUMPRODUCT(--ISNUMBER('Reported Financials'!E107:H107),--(E107:H107=""))=0,"OK","source missing"))</f>
        <v>OK</v>
      </c>
    </row>
    <row r="108" spans="1:13" ht="15" customHeight="1" x14ac:dyDescent="0.35">
      <c r="B108" s="40" t="s">
        <v>1180</v>
      </c>
      <c r="C108" s="41" t="s">
        <v>1181</v>
      </c>
      <c r="F108" s="41" t="s">
        <v>1619</v>
      </c>
      <c r="G108" s="41" t="s">
        <v>1620</v>
      </c>
      <c r="H108" s="41" t="s">
        <v>1620</v>
      </c>
      <c r="J108" s="105" t="s">
        <v>1180</v>
      </c>
      <c r="K108" s="105" t="s">
        <v>1546</v>
      </c>
      <c r="M108" s="106" t="str">
        <f>IF(COUNT('Reported Financials'!E108:H108)=0,"",IF(SUMPRODUCT(--ISNUMBER('Reported Financials'!E108:H108),--(E108:H108=""))=0,"OK","source missing"))</f>
        <v>OK</v>
      </c>
    </row>
    <row r="109" spans="1:13" ht="15" customHeight="1" x14ac:dyDescent="0.35">
      <c r="B109" s="44" t="s">
        <v>1183</v>
      </c>
      <c r="C109" s="41" t="s">
        <v>1126</v>
      </c>
      <c r="F109" s="41" t="s">
        <v>1567</v>
      </c>
      <c r="G109" s="41" t="s">
        <v>1565</v>
      </c>
      <c r="H109" s="41" t="s">
        <v>1565</v>
      </c>
      <c r="J109" s="105" t="s">
        <v>1183</v>
      </c>
      <c r="K109" s="105" t="s">
        <v>1546</v>
      </c>
      <c r="M109" s="106" t="str">
        <f>IF(COUNT('Reported Financials'!E109:H109)=0,"",IF(SUMPRODUCT(--ISNUMBER('Reported Financials'!E109:H109),--(E109:H109=""))=0,"OK","source missing"))</f>
        <v>OK</v>
      </c>
    </row>
    <row r="111" spans="1:13" ht="15" customHeight="1" x14ac:dyDescent="0.35">
      <c r="A111" s="38" t="s">
        <v>5</v>
      </c>
      <c r="B111" s="39" t="s">
        <v>1185</v>
      </c>
      <c r="C111" s="27"/>
      <c r="D111" s="27"/>
      <c r="E111" s="27"/>
      <c r="F111" s="27"/>
      <c r="G111" s="27"/>
      <c r="H111" s="27"/>
      <c r="I111" s="15"/>
      <c r="J111" s="15"/>
      <c r="K111" s="15"/>
      <c r="L111" s="15"/>
    </row>
    <row r="113" spans="1:13" ht="15" customHeight="1" x14ac:dyDescent="0.35">
      <c r="B113" s="40" t="s">
        <v>1186</v>
      </c>
      <c r="F113" s="41" t="s">
        <v>1536</v>
      </c>
      <c r="G113" s="41" t="s">
        <v>1537</v>
      </c>
      <c r="H113" s="41" t="s">
        <v>1537</v>
      </c>
      <c r="J113" s="105" t="s">
        <v>1186</v>
      </c>
      <c r="K113" s="105" t="s">
        <v>1546</v>
      </c>
      <c r="M113" s="106" t="str">
        <f>IF(COUNT('Reported Financials'!E113:H113)=0,"",IF(SUMPRODUCT(--ISNUMBER('Reported Financials'!E113:H113),--(E113:H113=""))=0,"OK","source missing"))</f>
        <v>OK</v>
      </c>
    </row>
    <row r="114" spans="1:13" ht="15" customHeight="1" x14ac:dyDescent="0.35">
      <c r="B114" s="40" t="s">
        <v>1187</v>
      </c>
      <c r="F114" s="41" t="s">
        <v>1536</v>
      </c>
      <c r="G114" s="41" t="s">
        <v>1537</v>
      </c>
      <c r="H114" s="41" t="s">
        <v>1537</v>
      </c>
      <c r="J114" s="105" t="s">
        <v>1187</v>
      </c>
      <c r="K114" s="105" t="s">
        <v>1546</v>
      </c>
      <c r="M114" s="106" t="str">
        <f>IF(COUNT('Reported Financials'!E114:H114)=0,"",IF(SUMPRODUCT(--ISNUMBER('Reported Financials'!E114:H114),--(E114:H114=""))=0,"OK","source missing"))</f>
        <v>OK</v>
      </c>
    </row>
    <row r="115" spans="1:13" ht="15" customHeight="1" x14ac:dyDescent="0.35">
      <c r="B115" s="40" t="s">
        <v>1188</v>
      </c>
      <c r="F115" s="41" t="s">
        <v>1536</v>
      </c>
      <c r="G115" s="41" t="s">
        <v>1537</v>
      </c>
      <c r="H115" s="41" t="s">
        <v>1537</v>
      </c>
      <c r="J115" s="105" t="s">
        <v>1188</v>
      </c>
      <c r="K115" s="105" t="s">
        <v>1546</v>
      </c>
      <c r="M115" s="106" t="str">
        <f>IF(COUNT('Reported Financials'!E115:H115)=0,"",IF(SUMPRODUCT(--ISNUMBER('Reported Financials'!E115:H115),--(E115:H115=""))=0,"OK","source missing"))</f>
        <v>OK</v>
      </c>
    </row>
    <row r="116" spans="1:13" ht="15" customHeight="1" x14ac:dyDescent="0.35">
      <c r="B116" s="40" t="s">
        <v>1189</v>
      </c>
      <c r="F116" s="41" t="s">
        <v>1536</v>
      </c>
      <c r="G116" s="41" t="s">
        <v>1537</v>
      </c>
      <c r="H116" s="41" t="s">
        <v>1537</v>
      </c>
      <c r="J116" s="105" t="s">
        <v>1189</v>
      </c>
      <c r="K116" s="105" t="s">
        <v>1546</v>
      </c>
      <c r="M116" s="106" t="str">
        <f>IF(COUNT('Reported Financials'!E116:H116)=0,"",IF(SUMPRODUCT(--ISNUMBER('Reported Financials'!E116:H116),--(E116:H116=""))=0,"OK","source missing"))</f>
        <v>OK</v>
      </c>
    </row>
    <row r="117" spans="1:13" ht="15" customHeight="1" x14ac:dyDescent="0.35">
      <c r="B117" s="40" t="s">
        <v>1190</v>
      </c>
      <c r="F117" s="41" t="s">
        <v>1536</v>
      </c>
      <c r="G117" s="41" t="s">
        <v>1537</v>
      </c>
      <c r="H117" s="41" t="s">
        <v>1537</v>
      </c>
      <c r="J117" s="105" t="s">
        <v>1190</v>
      </c>
      <c r="K117" s="105" t="s">
        <v>1546</v>
      </c>
      <c r="M117" s="106" t="str">
        <f>IF(COUNT('Reported Financials'!E117:H117)=0,"",IF(SUMPRODUCT(--ISNUMBER('Reported Financials'!E117:H117),--(E117:H117=""))=0,"OK","source missing"))</f>
        <v>OK</v>
      </c>
    </row>
    <row r="118" spans="1:13" ht="15" customHeight="1" x14ac:dyDescent="0.35">
      <c r="B118" s="40" t="s">
        <v>1119</v>
      </c>
      <c r="F118" s="107" t="s">
        <v>1539</v>
      </c>
      <c r="G118" s="107" t="s">
        <v>1539</v>
      </c>
      <c r="H118" s="107" t="s">
        <v>1539</v>
      </c>
      <c r="K118" s="108" t="s">
        <v>1548</v>
      </c>
    </row>
    <row r="119" spans="1:13" ht="15" customHeight="1" x14ac:dyDescent="0.35">
      <c r="B119" s="46" t="s">
        <v>1192</v>
      </c>
      <c r="C119" s="47"/>
      <c r="D119" s="47"/>
      <c r="E119" s="47"/>
      <c r="F119" s="109" t="s">
        <v>1539</v>
      </c>
      <c r="G119" s="109" t="s">
        <v>1539</v>
      </c>
      <c r="H119" s="109" t="s">
        <v>1539</v>
      </c>
      <c r="K119" s="108" t="s">
        <v>1540</v>
      </c>
    </row>
    <row r="120" spans="1:13" ht="15" customHeight="1" x14ac:dyDescent="0.35">
      <c r="B120" s="46" t="s">
        <v>1193</v>
      </c>
      <c r="C120" s="47"/>
      <c r="D120" s="47"/>
      <c r="E120" s="47"/>
      <c r="F120" s="109" t="s">
        <v>1539</v>
      </c>
      <c r="G120" s="109" t="s">
        <v>1539</v>
      </c>
      <c r="H120" s="109" t="s">
        <v>1539</v>
      </c>
      <c r="K120" s="108" t="s">
        <v>1540</v>
      </c>
    </row>
    <row r="121" spans="1:13" ht="15" customHeight="1" x14ac:dyDescent="0.35">
      <c r="B121" s="40" t="s">
        <v>469</v>
      </c>
      <c r="F121" s="41" t="s">
        <v>1536</v>
      </c>
      <c r="G121" s="41" t="s">
        <v>1537</v>
      </c>
      <c r="H121" s="41" t="s">
        <v>1537</v>
      </c>
      <c r="J121" s="105" t="s">
        <v>1228</v>
      </c>
      <c r="K121" s="105" t="s">
        <v>1546</v>
      </c>
      <c r="M121" s="106" t="str">
        <f>IF(COUNT('Reported Financials'!E121:H121)=0,"",IF(SUMPRODUCT(--ISNUMBER('Reported Financials'!E121:H121),--(E121:H121=""))=0,"OK","source missing"))</f>
        <v>OK</v>
      </c>
    </row>
    <row r="122" spans="1:13" ht="15" customHeight="1" x14ac:dyDescent="0.35">
      <c r="B122" s="40" t="s">
        <v>1133</v>
      </c>
      <c r="F122" s="107" t="s">
        <v>1539</v>
      </c>
      <c r="G122" s="107" t="s">
        <v>1539</v>
      </c>
      <c r="H122" s="107" t="s">
        <v>1539</v>
      </c>
      <c r="K122" s="108" t="s">
        <v>1540</v>
      </c>
    </row>
    <row r="124" spans="1:13" ht="15" customHeight="1" x14ac:dyDescent="0.35">
      <c r="A124" s="38" t="s">
        <v>5</v>
      </c>
      <c r="B124" s="39" t="s">
        <v>1194</v>
      </c>
      <c r="C124" s="27"/>
      <c r="D124" s="27"/>
      <c r="E124" s="27"/>
      <c r="F124" s="27"/>
      <c r="G124" s="27"/>
      <c r="H124" s="27"/>
      <c r="I124" s="15"/>
      <c r="J124" s="15"/>
      <c r="K124" s="15"/>
      <c r="L124" s="15"/>
    </row>
    <row r="126" spans="1:13" ht="15" customHeight="1" x14ac:dyDescent="0.35">
      <c r="B126" s="40" t="s">
        <v>1195</v>
      </c>
      <c r="C126" s="41" t="s">
        <v>1181</v>
      </c>
      <c r="E126" s="41" t="s">
        <v>1621</v>
      </c>
      <c r="F126" s="41" t="s">
        <v>1622</v>
      </c>
      <c r="G126" s="41" t="s">
        <v>1623</v>
      </c>
      <c r="H126" s="41" t="s">
        <v>1623</v>
      </c>
      <c r="J126" s="105" t="s">
        <v>1195</v>
      </c>
      <c r="K126" s="105" t="s">
        <v>1546</v>
      </c>
      <c r="M126" s="106" t="str">
        <f>IF(COUNT('Reported Financials'!E126:H126)=0,"",IF(SUMPRODUCT(--ISNUMBER('Reported Financials'!E126:H126),--(E126:H126=""))=0,"OK","source missing"))</f>
        <v>OK</v>
      </c>
    </row>
    <row r="127" spans="1:13" ht="15" customHeight="1" x14ac:dyDescent="0.35">
      <c r="B127" s="40" t="s">
        <v>1196</v>
      </c>
      <c r="C127" s="41" t="s">
        <v>1181</v>
      </c>
      <c r="E127" s="41" t="s">
        <v>1621</v>
      </c>
      <c r="F127" s="41" t="s">
        <v>1622</v>
      </c>
      <c r="G127" s="41" t="s">
        <v>1623</v>
      </c>
      <c r="H127" s="41" t="s">
        <v>1623</v>
      </c>
      <c r="J127" s="105" t="s">
        <v>1196</v>
      </c>
      <c r="K127" s="105" t="s">
        <v>1546</v>
      </c>
      <c r="M127" s="106" t="str">
        <f>IF(COUNT('Reported Financials'!E127:H127)=0,"",IF(SUMPRODUCT(--ISNUMBER('Reported Financials'!E127:H127),--(E127:H127=""))=0,"OK","source missing"))</f>
        <v>OK</v>
      </c>
    </row>
    <row r="128" spans="1:13" ht="15" customHeight="1" x14ac:dyDescent="0.35">
      <c r="B128" s="40" t="s">
        <v>1197</v>
      </c>
      <c r="C128" s="41" t="s">
        <v>1143</v>
      </c>
      <c r="E128" s="41" t="s">
        <v>1621</v>
      </c>
      <c r="F128" s="41" t="s">
        <v>1622</v>
      </c>
      <c r="G128" s="41" t="s">
        <v>1623</v>
      </c>
      <c r="H128" s="41" t="s">
        <v>1623</v>
      </c>
      <c r="J128" s="105" t="s">
        <v>1197</v>
      </c>
      <c r="K128" s="105" t="s">
        <v>1546</v>
      </c>
      <c r="M128" s="106" t="str">
        <f>IF(COUNT('Reported Financials'!E128:H128)=0,"",IF(SUMPRODUCT(--ISNUMBER('Reported Financials'!E128:H128),--(E128:H128=""))=0,"OK","source missing"))</f>
        <v>OK</v>
      </c>
    </row>
    <row r="129" spans="2:13" ht="15" customHeight="1" x14ac:dyDescent="0.35">
      <c r="B129" s="40" t="s">
        <v>1198</v>
      </c>
      <c r="C129" s="41" t="s">
        <v>1199</v>
      </c>
      <c r="E129" s="41" t="s">
        <v>1621</v>
      </c>
      <c r="F129" s="41" t="s">
        <v>1622</v>
      </c>
      <c r="G129" s="41" t="s">
        <v>1623</v>
      </c>
      <c r="H129" s="41" t="s">
        <v>1623</v>
      </c>
      <c r="J129" s="105" t="s">
        <v>1198</v>
      </c>
      <c r="K129" s="105" t="s">
        <v>1546</v>
      </c>
      <c r="M129" s="106" t="str">
        <f>IF(COUNT('Reported Financials'!E129:H129)=0,"",IF(SUMPRODUCT(--ISNUMBER('Reported Financials'!E129:H129),--(E129:H129=""))=0,"OK","source missing"))</f>
        <v>OK</v>
      </c>
    </row>
    <row r="130" spans="2:13" ht="15" customHeight="1" x14ac:dyDescent="0.35">
      <c r="B130" s="40" t="s">
        <v>1200</v>
      </c>
      <c r="C130" s="41" t="s">
        <v>1201</v>
      </c>
      <c r="E130" s="41" t="s">
        <v>1621</v>
      </c>
      <c r="F130" s="41" t="s">
        <v>1622</v>
      </c>
      <c r="G130" s="41" t="s">
        <v>1623</v>
      </c>
      <c r="H130" s="41" t="s">
        <v>1623</v>
      </c>
      <c r="J130" s="105" t="s">
        <v>1200</v>
      </c>
      <c r="K130" s="105" t="s">
        <v>1546</v>
      </c>
      <c r="M130" s="106" t="str">
        <f>IF(COUNT('Reported Financials'!E130:H130)=0,"",IF(SUMPRODUCT(--ISNUMBER('Reported Financials'!E130:H130),--(E130:H130=""))=0,"OK","source missing"))</f>
        <v>OK</v>
      </c>
    </row>
    <row r="131" spans="2:13" ht="15" customHeight="1" x14ac:dyDescent="0.35">
      <c r="B131" s="40" t="s">
        <v>1202</v>
      </c>
      <c r="C131" s="41" t="s">
        <v>1115</v>
      </c>
      <c r="E131" s="41" t="s">
        <v>1621</v>
      </c>
      <c r="F131" s="41" t="s">
        <v>1622</v>
      </c>
      <c r="G131" s="41" t="s">
        <v>1623</v>
      </c>
      <c r="H131" s="41" t="s">
        <v>1623</v>
      </c>
      <c r="J131" s="105" t="s">
        <v>1202</v>
      </c>
      <c r="K131" s="105" t="s">
        <v>1546</v>
      </c>
      <c r="M131" s="106" t="str">
        <f>IF(COUNT('Reported Financials'!E131:H131)=0,"",IF(SUMPRODUCT(--ISNUMBER('Reported Financials'!E131:H131),--(E131:H131=""))=0,"OK","source missing"))</f>
        <v>OK</v>
      </c>
    </row>
    <row r="132" spans="2:13" ht="15" customHeight="1" x14ac:dyDescent="0.35">
      <c r="B132" s="40" t="s">
        <v>1203</v>
      </c>
      <c r="C132" s="41" t="s">
        <v>1204</v>
      </c>
      <c r="E132" s="41" t="s">
        <v>1621</v>
      </c>
      <c r="F132" s="41" t="s">
        <v>1622</v>
      </c>
      <c r="G132" s="41" t="s">
        <v>1623</v>
      </c>
      <c r="H132" s="41" t="s">
        <v>1623</v>
      </c>
      <c r="J132" s="105" t="s">
        <v>1203</v>
      </c>
      <c r="K132" s="105" t="s">
        <v>1546</v>
      </c>
      <c r="M132" s="106" t="str">
        <f>IF(COUNT('Reported Financials'!E132:H132)=0,"",IF(SUMPRODUCT(--ISNUMBER('Reported Financials'!E132:H132),--(E132:H132=""))=0,"OK","source missing"))</f>
        <v>OK</v>
      </c>
    </row>
    <row r="133" spans="2:13" ht="15" customHeight="1" x14ac:dyDescent="0.35">
      <c r="B133" s="40" t="s">
        <v>1206</v>
      </c>
      <c r="C133" s="41" t="s">
        <v>1126</v>
      </c>
      <c r="E133" s="41" t="s">
        <v>1621</v>
      </c>
      <c r="F133" s="41" t="s">
        <v>1622</v>
      </c>
      <c r="G133" s="41" t="s">
        <v>1623</v>
      </c>
      <c r="H133" s="41" t="s">
        <v>1623</v>
      </c>
      <c r="J133" s="105" t="s">
        <v>1624</v>
      </c>
      <c r="K133" s="105" t="s">
        <v>1546</v>
      </c>
      <c r="M133" s="106" t="str">
        <f>IF(COUNT('Reported Financials'!E133:H133)=0,"",IF(SUMPRODUCT(--ISNUMBER('Reported Financials'!E133:H133),--(E133:H133=""))=0,"OK","source missing"))</f>
        <v>OK</v>
      </c>
    </row>
    <row r="134" spans="2:13" ht="15" customHeight="1" x14ac:dyDescent="0.35">
      <c r="B134" s="40" t="s">
        <v>1119</v>
      </c>
      <c r="E134" s="107" t="s">
        <v>1539</v>
      </c>
      <c r="F134" s="107" t="s">
        <v>1539</v>
      </c>
      <c r="G134" s="107" t="s">
        <v>1539</v>
      </c>
      <c r="H134" s="107" t="s">
        <v>1539</v>
      </c>
      <c r="K134" s="108" t="s">
        <v>1548</v>
      </c>
    </row>
    <row r="135" spans="2:13" ht="15" customHeight="1" x14ac:dyDescent="0.35">
      <c r="B135" s="46" t="s">
        <v>1207</v>
      </c>
      <c r="C135" s="47"/>
      <c r="D135" s="47"/>
      <c r="E135" s="109" t="s">
        <v>1539</v>
      </c>
      <c r="F135" s="109" t="s">
        <v>1539</v>
      </c>
      <c r="G135" s="109" t="s">
        <v>1539</v>
      </c>
      <c r="H135" s="109" t="s">
        <v>1539</v>
      </c>
      <c r="K135" s="108" t="s">
        <v>1540</v>
      </c>
    </row>
    <row r="136" spans="2:13" ht="15" customHeight="1" x14ac:dyDescent="0.35">
      <c r="B136" s="40" t="s">
        <v>1208</v>
      </c>
      <c r="C136" s="41" t="s">
        <v>1209</v>
      </c>
      <c r="E136" s="41" t="s">
        <v>1621</v>
      </c>
      <c r="F136" s="41" t="s">
        <v>1622</v>
      </c>
      <c r="G136" s="41" t="s">
        <v>1623</v>
      </c>
      <c r="H136" s="41" t="s">
        <v>1623</v>
      </c>
      <c r="J136" s="105" t="s">
        <v>1208</v>
      </c>
      <c r="K136" s="105" t="s">
        <v>1546</v>
      </c>
      <c r="M136" s="106" t="str">
        <f>IF(COUNT('Reported Financials'!E136:H136)=0,"",IF(SUMPRODUCT(--ISNUMBER('Reported Financials'!E136:H136),--(E136:H136=""))=0,"OK","source missing"))</f>
        <v>OK</v>
      </c>
    </row>
    <row r="137" spans="2:13" ht="15" customHeight="1" x14ac:dyDescent="0.35">
      <c r="B137" s="40" t="s">
        <v>1210</v>
      </c>
      <c r="C137" s="41" t="s">
        <v>1061</v>
      </c>
      <c r="E137" s="41" t="s">
        <v>1621</v>
      </c>
      <c r="F137" s="41" t="s">
        <v>1622</v>
      </c>
      <c r="G137" s="41" t="s">
        <v>1623</v>
      </c>
      <c r="H137" s="41" t="s">
        <v>1623</v>
      </c>
      <c r="J137" s="105" t="s">
        <v>1210</v>
      </c>
      <c r="K137" s="105" t="s">
        <v>1546</v>
      </c>
      <c r="M137" s="106" t="str">
        <f>IF(COUNT('Reported Financials'!E137:H137)=0,"",IF(SUMPRODUCT(--ISNUMBER('Reported Financials'!E137:H137),--(E137:H137=""))=0,"OK","source missing"))</f>
        <v>OK</v>
      </c>
    </row>
    <row r="138" spans="2:13" ht="15" customHeight="1" x14ac:dyDescent="0.35">
      <c r="B138" s="40" t="s">
        <v>1211</v>
      </c>
      <c r="C138" s="41" t="s">
        <v>1061</v>
      </c>
      <c r="E138" s="41" t="s">
        <v>1621</v>
      </c>
      <c r="F138" s="41" t="s">
        <v>1622</v>
      </c>
      <c r="G138" s="41" t="s">
        <v>1623</v>
      </c>
      <c r="H138" s="41" t="s">
        <v>1623</v>
      </c>
      <c r="J138" s="105" t="s">
        <v>1211</v>
      </c>
      <c r="K138" s="105" t="s">
        <v>1546</v>
      </c>
      <c r="M138" s="106" t="str">
        <f>IF(COUNT('Reported Financials'!E138:H138)=0,"",IF(SUMPRODUCT(--ISNUMBER('Reported Financials'!E138:H138),--(E138:H138=""))=0,"OK","source missing"))</f>
        <v>OK</v>
      </c>
    </row>
    <row r="139" spans="2:13" ht="15" customHeight="1" x14ac:dyDescent="0.35">
      <c r="B139" s="40" t="s">
        <v>1212</v>
      </c>
      <c r="C139" s="41" t="s">
        <v>1204</v>
      </c>
      <c r="E139" s="41" t="s">
        <v>1621</v>
      </c>
      <c r="F139" s="41" t="s">
        <v>1622</v>
      </c>
      <c r="G139" s="41" t="s">
        <v>1623</v>
      </c>
      <c r="H139" s="41" t="s">
        <v>1623</v>
      </c>
      <c r="J139" s="105" t="s">
        <v>1212</v>
      </c>
      <c r="K139" s="105" t="s">
        <v>1546</v>
      </c>
      <c r="M139" s="106" t="str">
        <f>IF(COUNT('Reported Financials'!E139:H139)=0,"",IF(SUMPRODUCT(--ISNUMBER('Reported Financials'!E139:H139),--(E139:H139=""))=0,"OK","source missing"))</f>
        <v>OK</v>
      </c>
    </row>
    <row r="140" spans="2:13" ht="15" customHeight="1" x14ac:dyDescent="0.35">
      <c r="B140" s="40" t="s">
        <v>1213</v>
      </c>
      <c r="E140" s="41" t="s">
        <v>1621</v>
      </c>
      <c r="F140" s="41" t="s">
        <v>1622</v>
      </c>
      <c r="G140" s="41" t="s">
        <v>1623</v>
      </c>
      <c r="H140" s="41" t="s">
        <v>1623</v>
      </c>
      <c r="J140" s="105" t="s">
        <v>1213</v>
      </c>
      <c r="K140" s="105" t="s">
        <v>1546</v>
      </c>
      <c r="M140" s="106" t="str">
        <f>IF(COUNT('Reported Financials'!E140:H140)=0,"",IF(SUMPRODUCT(--ISNUMBER('Reported Financials'!E140:H140),--(E140:H140=""))=0,"OK","source missing"))</f>
        <v>OK</v>
      </c>
    </row>
    <row r="141" spans="2:13" ht="15" customHeight="1" x14ac:dyDescent="0.35">
      <c r="B141" s="40" t="s">
        <v>1214</v>
      </c>
      <c r="C141" s="41" t="s">
        <v>1215</v>
      </c>
      <c r="E141" s="41" t="s">
        <v>1621</v>
      </c>
      <c r="F141" s="41" t="s">
        <v>1622</v>
      </c>
      <c r="G141" s="41" t="s">
        <v>1623</v>
      </c>
      <c r="H141" s="41" t="s">
        <v>1623</v>
      </c>
      <c r="J141" s="105" t="s">
        <v>1214</v>
      </c>
      <c r="K141" s="105" t="s">
        <v>1546</v>
      </c>
      <c r="M141" s="106" t="str">
        <f>IF(COUNT('Reported Financials'!E141:H141)=0,"",IF(SUMPRODUCT(--ISNUMBER('Reported Financials'!E141:H141),--(E141:H141=""))=0,"OK","source missing"))</f>
        <v>OK</v>
      </c>
    </row>
    <row r="142" spans="2:13" ht="15" customHeight="1" x14ac:dyDescent="0.35">
      <c r="B142" s="40" t="s">
        <v>1217</v>
      </c>
      <c r="C142" s="41" t="s">
        <v>1215</v>
      </c>
      <c r="E142" s="41" t="s">
        <v>1621</v>
      </c>
      <c r="F142" s="41" t="s">
        <v>1622</v>
      </c>
      <c r="G142" s="41" t="s">
        <v>1623</v>
      </c>
      <c r="H142" s="41" t="s">
        <v>1623</v>
      </c>
      <c r="J142" s="105" t="s">
        <v>1217</v>
      </c>
      <c r="K142" s="105" t="s">
        <v>1546</v>
      </c>
      <c r="M142" s="106" t="str">
        <f>IF(COUNT('Reported Financials'!E142:H142)=0,"",IF(SUMPRODUCT(--ISNUMBER('Reported Financials'!E142:H142),--(E142:H142=""))=0,"OK","source missing"))</f>
        <v>OK</v>
      </c>
    </row>
    <row r="143" spans="2:13" ht="15" customHeight="1" x14ac:dyDescent="0.35">
      <c r="B143" s="40" t="s">
        <v>1218</v>
      </c>
      <c r="C143" s="41" t="s">
        <v>1130</v>
      </c>
      <c r="E143" s="41" t="s">
        <v>1621</v>
      </c>
      <c r="F143" s="41" t="s">
        <v>1622</v>
      </c>
      <c r="G143" s="41" t="s">
        <v>1623</v>
      </c>
      <c r="H143" s="41" t="s">
        <v>1623</v>
      </c>
      <c r="J143" s="105" t="s">
        <v>1218</v>
      </c>
      <c r="K143" s="105" t="s">
        <v>1546</v>
      </c>
      <c r="M143" s="106" t="str">
        <f>IF(COUNT('Reported Financials'!E143:H143)=0,"",IF(SUMPRODUCT(--ISNUMBER('Reported Financials'!E143:H143),--(E143:H143=""))=0,"OK","source missing"))</f>
        <v>OK</v>
      </c>
    </row>
    <row r="144" spans="2:13" ht="15" customHeight="1" x14ac:dyDescent="0.35">
      <c r="B144" s="40" t="s">
        <v>1119</v>
      </c>
      <c r="E144" s="107" t="s">
        <v>1539</v>
      </c>
      <c r="F144" s="107" t="s">
        <v>1539</v>
      </c>
      <c r="G144" s="107" t="s">
        <v>1539</v>
      </c>
      <c r="H144" s="107" t="s">
        <v>1539</v>
      </c>
      <c r="K144" s="108" t="s">
        <v>1548</v>
      </c>
    </row>
    <row r="145" spans="1:13" ht="15" customHeight="1" x14ac:dyDescent="0.35">
      <c r="B145" s="46" t="s">
        <v>1219</v>
      </c>
      <c r="C145" s="47"/>
      <c r="D145" s="47"/>
      <c r="E145" s="109" t="s">
        <v>1539</v>
      </c>
      <c r="F145" s="109" t="s">
        <v>1539</v>
      </c>
      <c r="G145" s="109" t="s">
        <v>1539</v>
      </c>
      <c r="H145" s="109" t="s">
        <v>1539</v>
      </c>
      <c r="K145" s="108" t="s">
        <v>1540</v>
      </c>
    </row>
    <row r="146" spans="1:13" ht="15" customHeight="1" x14ac:dyDescent="0.35">
      <c r="B146" s="40" t="s">
        <v>1119</v>
      </c>
      <c r="E146" s="107" t="s">
        <v>1539</v>
      </c>
      <c r="F146" s="107" t="s">
        <v>1539</v>
      </c>
      <c r="G146" s="107" t="s">
        <v>1539</v>
      </c>
      <c r="H146" s="107" t="s">
        <v>1539</v>
      </c>
      <c r="K146" s="108" t="s">
        <v>1548</v>
      </c>
    </row>
    <row r="147" spans="1:13" ht="15" customHeight="1" x14ac:dyDescent="0.35">
      <c r="B147" s="46" t="s">
        <v>1220</v>
      </c>
      <c r="C147" s="47"/>
      <c r="D147" s="47"/>
      <c r="E147" s="109" t="s">
        <v>1539</v>
      </c>
      <c r="F147" s="109" t="s">
        <v>1539</v>
      </c>
      <c r="G147" s="109" t="s">
        <v>1539</v>
      </c>
      <c r="H147" s="109" t="s">
        <v>1539</v>
      </c>
      <c r="K147" s="108" t="s">
        <v>1540</v>
      </c>
    </row>
    <row r="149" spans="1:13" ht="15" customHeight="1" x14ac:dyDescent="0.35">
      <c r="A149" s="38" t="s">
        <v>5</v>
      </c>
      <c r="B149" s="39" t="s">
        <v>1221</v>
      </c>
      <c r="C149" s="27"/>
      <c r="D149" s="27"/>
      <c r="E149" s="27"/>
      <c r="F149" s="27"/>
      <c r="G149" s="27"/>
      <c r="H149" s="27"/>
      <c r="I149" s="15"/>
      <c r="J149" s="15"/>
      <c r="K149" s="15"/>
      <c r="L149" s="15"/>
    </row>
    <row r="151" spans="1:13" ht="15" customHeight="1" x14ac:dyDescent="0.35">
      <c r="B151" s="40" t="s">
        <v>1222</v>
      </c>
      <c r="C151" s="41" t="s">
        <v>1173</v>
      </c>
      <c r="E151" s="41" t="s">
        <v>1621</v>
      </c>
      <c r="F151" s="41" t="s">
        <v>1622</v>
      </c>
      <c r="G151" s="41" t="s">
        <v>1623</v>
      </c>
      <c r="H151" s="41" t="s">
        <v>1623</v>
      </c>
      <c r="J151" s="105" t="s">
        <v>1222</v>
      </c>
      <c r="K151" s="105" t="s">
        <v>1546</v>
      </c>
      <c r="M151" s="106" t="str">
        <f>IF(COUNT('Reported Financials'!E151:H151)=0,"",IF(SUMPRODUCT(--ISNUMBER('Reported Financials'!E151:H151),--(E151:H151=""))=0,"OK","source missing"))</f>
        <v>OK</v>
      </c>
    </row>
    <row r="152" spans="1:13" ht="15" customHeight="1" x14ac:dyDescent="0.35">
      <c r="B152" s="40" t="s">
        <v>1223</v>
      </c>
      <c r="C152" s="41" t="s">
        <v>1173</v>
      </c>
      <c r="E152" s="41" t="s">
        <v>1621</v>
      </c>
      <c r="F152" s="41" t="s">
        <v>1622</v>
      </c>
      <c r="G152" s="41" t="s">
        <v>1623</v>
      </c>
      <c r="H152" s="41" t="s">
        <v>1623</v>
      </c>
      <c r="J152" s="105" t="s">
        <v>1223</v>
      </c>
      <c r="K152" s="105" t="s">
        <v>1546</v>
      </c>
      <c r="M152" s="106" t="str">
        <f>IF(COUNT('Reported Financials'!E152:H152)=0,"",IF(SUMPRODUCT(--ISNUMBER('Reported Financials'!E152:H152),--(E152:H152=""))=0,"OK","source missing"))</f>
        <v>OK</v>
      </c>
    </row>
    <row r="153" spans="1:13" ht="15" customHeight="1" x14ac:dyDescent="0.35">
      <c r="B153" s="40" t="s">
        <v>1225</v>
      </c>
      <c r="C153" s="41" t="s">
        <v>1173</v>
      </c>
      <c r="E153" s="41" t="s">
        <v>1621</v>
      </c>
      <c r="F153" s="41" t="s">
        <v>1622</v>
      </c>
      <c r="G153" s="41" t="s">
        <v>1623</v>
      </c>
      <c r="H153" s="41" t="s">
        <v>1623</v>
      </c>
      <c r="J153" s="105" t="s">
        <v>1225</v>
      </c>
      <c r="K153" s="105" t="s">
        <v>1546</v>
      </c>
      <c r="M153" s="106" t="str">
        <f>IF(COUNT('Reported Financials'!E153:H153)=0,"",IF(SUMPRODUCT(--ISNUMBER('Reported Financials'!E153:H153),--(E153:H153=""))=0,"OK","source missing"))</f>
        <v>OK</v>
      </c>
    </row>
    <row r="154" spans="1:13" ht="15" customHeight="1" x14ac:dyDescent="0.35">
      <c r="B154" s="40" t="s">
        <v>1226</v>
      </c>
      <c r="C154" s="41" t="s">
        <v>1173</v>
      </c>
      <c r="E154" s="41" t="s">
        <v>1621</v>
      </c>
      <c r="F154" s="41" t="s">
        <v>1622</v>
      </c>
      <c r="G154" s="41" t="s">
        <v>1623</v>
      </c>
      <c r="H154" s="41" t="s">
        <v>1623</v>
      </c>
      <c r="J154" s="105" t="s">
        <v>1226</v>
      </c>
      <c r="K154" s="105" t="s">
        <v>1546</v>
      </c>
      <c r="M154" s="106" t="str">
        <f>IF(COUNT('Reported Financials'!E154:H154)=0,"",IF(SUMPRODUCT(--ISNUMBER('Reported Financials'!E154:H154),--(E154:H154=""))=0,"OK","source missing"))</f>
        <v>OK</v>
      </c>
    </row>
    <row r="155" spans="1:13" ht="15" customHeight="1" x14ac:dyDescent="0.35">
      <c r="B155" s="40" t="s">
        <v>1119</v>
      </c>
      <c r="E155" s="107" t="s">
        <v>1539</v>
      </c>
      <c r="F155" s="107" t="s">
        <v>1539</v>
      </c>
      <c r="G155" s="107" t="s">
        <v>1539</v>
      </c>
      <c r="H155" s="107" t="s">
        <v>1539</v>
      </c>
      <c r="K155" s="108" t="s">
        <v>1548</v>
      </c>
    </row>
    <row r="156" spans="1:13" ht="15" customHeight="1" x14ac:dyDescent="0.35">
      <c r="B156" s="46" t="s">
        <v>1227</v>
      </c>
      <c r="C156" s="47"/>
      <c r="D156" s="47"/>
      <c r="E156" s="109" t="s">
        <v>1539</v>
      </c>
      <c r="F156" s="109" t="s">
        <v>1539</v>
      </c>
      <c r="G156" s="109" t="s">
        <v>1539</v>
      </c>
      <c r="H156" s="109" t="s">
        <v>1539</v>
      </c>
      <c r="K156" s="108" t="s">
        <v>1540</v>
      </c>
    </row>
    <row r="157" spans="1:13" ht="15" customHeight="1" x14ac:dyDescent="0.35">
      <c r="B157" s="40" t="s">
        <v>1228</v>
      </c>
      <c r="E157" s="41" t="s">
        <v>1621</v>
      </c>
      <c r="F157" s="41" t="s">
        <v>1622</v>
      </c>
      <c r="G157" s="41" t="s">
        <v>1623</v>
      </c>
      <c r="H157" s="41" t="s">
        <v>1623</v>
      </c>
      <c r="J157" s="105" t="s">
        <v>1228</v>
      </c>
      <c r="K157" s="105" t="s">
        <v>1546</v>
      </c>
      <c r="M157" s="106" t="str">
        <f>IF(COUNT('Reported Financials'!E157:H157)=0,"",IF(SUMPRODUCT(--ISNUMBER('Reported Financials'!E157:H157),--(E157:H157=""))=0,"OK","source missing"))</f>
        <v>OK</v>
      </c>
    </row>
    <row r="158" spans="1:13" ht="15" customHeight="1" x14ac:dyDescent="0.35">
      <c r="B158" s="40" t="s">
        <v>1119</v>
      </c>
      <c r="E158" s="107" t="s">
        <v>1539</v>
      </c>
      <c r="F158" s="107" t="s">
        <v>1539</v>
      </c>
      <c r="G158" s="107" t="s">
        <v>1539</v>
      </c>
      <c r="H158" s="107" t="s">
        <v>1539</v>
      </c>
      <c r="K158" s="108" t="s">
        <v>1548</v>
      </c>
    </row>
    <row r="159" spans="1:13" ht="15" customHeight="1" x14ac:dyDescent="0.35">
      <c r="B159" s="46" t="s">
        <v>1229</v>
      </c>
      <c r="C159" s="47"/>
      <c r="D159" s="47"/>
      <c r="E159" s="109" t="s">
        <v>1539</v>
      </c>
      <c r="F159" s="109" t="s">
        <v>1539</v>
      </c>
      <c r="G159" s="109" t="s">
        <v>1539</v>
      </c>
      <c r="H159" s="109" t="s">
        <v>1539</v>
      </c>
      <c r="K159" s="108" t="s">
        <v>1540</v>
      </c>
    </row>
    <row r="160" spans="1:13" ht="15" customHeight="1" x14ac:dyDescent="0.35">
      <c r="B160" s="40" t="s">
        <v>1230</v>
      </c>
      <c r="C160" s="41" t="s">
        <v>1140</v>
      </c>
      <c r="E160" s="41" t="s">
        <v>1621</v>
      </c>
      <c r="F160" s="41" t="s">
        <v>1622</v>
      </c>
      <c r="G160" s="41" t="s">
        <v>1623</v>
      </c>
      <c r="H160" s="41" t="s">
        <v>1623</v>
      </c>
      <c r="J160" s="105" t="s">
        <v>1230</v>
      </c>
      <c r="K160" s="105" t="s">
        <v>1546</v>
      </c>
      <c r="M160" s="106" t="str">
        <f>IF(COUNT('Reported Financials'!E160:H160)=0,"",IF(SUMPRODUCT(--ISNUMBER('Reported Financials'!E160:H160),--(E160:H160=""))=0,"OK","source missing"))</f>
        <v>OK</v>
      </c>
    </row>
    <row r="161" spans="2:13" ht="15" customHeight="1" x14ac:dyDescent="0.35">
      <c r="B161" s="40" t="s">
        <v>1231</v>
      </c>
      <c r="C161" s="41" t="s">
        <v>1166</v>
      </c>
      <c r="E161" s="41" t="s">
        <v>1621</v>
      </c>
      <c r="F161" s="41" t="s">
        <v>1622</v>
      </c>
      <c r="G161" s="41" t="s">
        <v>1623</v>
      </c>
      <c r="H161" s="41" t="s">
        <v>1623</v>
      </c>
      <c r="J161" s="105" t="s">
        <v>1231</v>
      </c>
      <c r="K161" s="105" t="s">
        <v>1546</v>
      </c>
      <c r="M161" s="106" t="str">
        <f>IF(COUNT('Reported Financials'!E161:H161)=0,"",IF(SUMPRODUCT(--ISNUMBER('Reported Financials'!E161:H161),--(E161:H161=""))=0,"OK","source missing"))</f>
        <v>OK</v>
      </c>
    </row>
    <row r="162" spans="2:13" ht="15" customHeight="1" x14ac:dyDescent="0.35">
      <c r="B162" s="40" t="s">
        <v>1232</v>
      </c>
      <c r="C162" s="41" t="s">
        <v>1233</v>
      </c>
      <c r="E162" s="41" t="s">
        <v>1621</v>
      </c>
      <c r="F162" s="41" t="s">
        <v>1622</v>
      </c>
      <c r="G162" s="41" t="s">
        <v>1623</v>
      </c>
      <c r="H162" s="41" t="s">
        <v>1623</v>
      </c>
      <c r="J162" s="105" t="s">
        <v>1232</v>
      </c>
      <c r="K162" s="105" t="s">
        <v>1546</v>
      </c>
      <c r="M162" s="106" t="str">
        <f>IF(COUNT('Reported Financials'!E162:H162)=0,"",IF(SUMPRODUCT(--ISNUMBER('Reported Financials'!E162:H162),--(E162:H162=""))=0,"OK","source missing"))</f>
        <v>OK</v>
      </c>
    </row>
    <row r="163" spans="2:13" ht="15" customHeight="1" x14ac:dyDescent="0.35">
      <c r="B163" s="40" t="s">
        <v>1234</v>
      </c>
      <c r="C163" s="41" t="s">
        <v>1235</v>
      </c>
      <c r="E163" s="41" t="s">
        <v>1621</v>
      </c>
      <c r="F163" s="41" t="s">
        <v>1622</v>
      </c>
      <c r="G163" s="41" t="s">
        <v>1623</v>
      </c>
      <c r="H163" s="41" t="s">
        <v>1623</v>
      </c>
      <c r="J163" s="105" t="s">
        <v>1234</v>
      </c>
      <c r="K163" s="105" t="s">
        <v>1546</v>
      </c>
      <c r="M163" s="106" t="str">
        <f>IF(COUNT('Reported Financials'!E163:H163)=0,"",IF(SUMPRODUCT(--ISNUMBER('Reported Financials'!E163:H163),--(E163:H163=""))=0,"OK","source missing"))</f>
        <v>OK</v>
      </c>
    </row>
    <row r="164" spans="2:13" ht="15" customHeight="1" x14ac:dyDescent="0.35">
      <c r="B164" s="40" t="s">
        <v>1206</v>
      </c>
      <c r="C164" s="41" t="s">
        <v>1126</v>
      </c>
      <c r="E164" s="41" t="s">
        <v>1621</v>
      </c>
      <c r="F164" s="41" t="s">
        <v>1622</v>
      </c>
      <c r="G164" s="41" t="s">
        <v>1623</v>
      </c>
      <c r="H164" s="41" t="s">
        <v>1623</v>
      </c>
      <c r="J164" s="105" t="s">
        <v>1625</v>
      </c>
      <c r="K164" s="105" t="s">
        <v>1546</v>
      </c>
      <c r="M164" s="106" t="str">
        <f>IF(COUNT('Reported Financials'!E164:H164)=0,"",IF(SUMPRODUCT(--ISNUMBER('Reported Financials'!E164:H164),--(E164:H164=""))=0,"OK","source missing"))</f>
        <v>OK</v>
      </c>
    </row>
    <row r="165" spans="2:13" ht="15" customHeight="1" x14ac:dyDescent="0.35">
      <c r="B165" s="40" t="s">
        <v>1119</v>
      </c>
      <c r="E165" s="107" t="s">
        <v>1539</v>
      </c>
      <c r="F165" s="107" t="s">
        <v>1539</v>
      </c>
      <c r="G165" s="107" t="s">
        <v>1539</v>
      </c>
      <c r="H165" s="107" t="s">
        <v>1539</v>
      </c>
      <c r="K165" s="108" t="s">
        <v>1548</v>
      </c>
    </row>
    <row r="166" spans="2:13" ht="15" customHeight="1" x14ac:dyDescent="0.35">
      <c r="B166" s="46" t="s">
        <v>1236</v>
      </c>
      <c r="C166" s="47"/>
      <c r="D166" s="47"/>
      <c r="E166" s="109" t="s">
        <v>1539</v>
      </c>
      <c r="F166" s="109" t="s">
        <v>1539</v>
      </c>
      <c r="G166" s="109" t="s">
        <v>1539</v>
      </c>
      <c r="H166" s="109" t="s">
        <v>1539</v>
      </c>
      <c r="K166" s="108" t="s">
        <v>1540</v>
      </c>
    </row>
    <row r="167" spans="2:13" ht="15" customHeight="1" x14ac:dyDescent="0.35">
      <c r="B167" s="40" t="s">
        <v>1237</v>
      </c>
      <c r="C167" s="41" t="s">
        <v>1166</v>
      </c>
      <c r="E167" s="41" t="s">
        <v>1621</v>
      </c>
      <c r="F167" s="41" t="s">
        <v>1622</v>
      </c>
      <c r="G167" s="41" t="s">
        <v>1623</v>
      </c>
      <c r="H167" s="41" t="s">
        <v>1623</v>
      </c>
      <c r="J167" s="105" t="s">
        <v>1237</v>
      </c>
      <c r="K167" s="105" t="s">
        <v>1546</v>
      </c>
      <c r="M167" s="106" t="str">
        <f>IF(COUNT('Reported Financials'!E167:H167)=0,"",IF(SUMPRODUCT(--ISNUMBER('Reported Financials'!E167:H167),--(E167:H167=""))=0,"OK","source missing"))</f>
        <v>OK</v>
      </c>
    </row>
    <row r="168" spans="2:13" ht="15" customHeight="1" x14ac:dyDescent="0.35">
      <c r="B168" s="40" t="s">
        <v>1238</v>
      </c>
      <c r="C168" s="41" t="s">
        <v>1233</v>
      </c>
      <c r="E168" s="41" t="s">
        <v>1621</v>
      </c>
      <c r="F168" s="41" t="s">
        <v>1622</v>
      </c>
      <c r="G168" s="41" t="s">
        <v>1623</v>
      </c>
      <c r="H168" s="41" t="s">
        <v>1623</v>
      </c>
      <c r="J168" s="105" t="s">
        <v>1238</v>
      </c>
      <c r="K168" s="105" t="s">
        <v>1546</v>
      </c>
      <c r="M168" s="106" t="str">
        <f>IF(COUNT('Reported Financials'!E168:H168)=0,"",IF(SUMPRODUCT(--ISNUMBER('Reported Financials'!E168:H168),--(E168:H168=""))=0,"OK","source missing"))</f>
        <v>OK</v>
      </c>
    </row>
    <row r="169" spans="2:13" ht="15" customHeight="1" x14ac:dyDescent="0.35">
      <c r="B169" s="40" t="s">
        <v>1239</v>
      </c>
      <c r="C169" s="41" t="s">
        <v>1061</v>
      </c>
      <c r="E169" s="41" t="s">
        <v>1621</v>
      </c>
      <c r="F169" s="41" t="s">
        <v>1622</v>
      </c>
      <c r="G169" s="41" t="s">
        <v>1623</v>
      </c>
      <c r="H169" s="41" t="s">
        <v>1623</v>
      </c>
      <c r="J169" s="105" t="s">
        <v>1239</v>
      </c>
      <c r="K169" s="105" t="s">
        <v>1546</v>
      </c>
      <c r="M169" s="106" t="str">
        <f>IF(COUNT('Reported Financials'!E169:H169)=0,"",IF(SUMPRODUCT(--ISNUMBER('Reported Financials'!E169:H169),--(E169:H169=""))=0,"OK","source missing"))</f>
        <v>OK</v>
      </c>
    </row>
    <row r="170" spans="2:13" ht="15" customHeight="1" x14ac:dyDescent="0.35">
      <c r="B170" s="40" t="s">
        <v>1241</v>
      </c>
      <c r="E170" s="41" t="s">
        <v>1621</v>
      </c>
      <c r="F170" s="41" t="s">
        <v>1622</v>
      </c>
      <c r="G170" s="41" t="s">
        <v>1623</v>
      </c>
      <c r="H170" s="41" t="s">
        <v>1623</v>
      </c>
      <c r="J170" s="105" t="s">
        <v>1241</v>
      </c>
      <c r="K170" s="105" t="s">
        <v>1546</v>
      </c>
      <c r="M170" s="106" t="str">
        <f>IF(COUNT('Reported Financials'!E170:H170)=0,"",IF(SUMPRODUCT(--ISNUMBER('Reported Financials'!E170:H170),--(E170:H170=""))=0,"OK","source missing"))</f>
        <v>OK</v>
      </c>
    </row>
    <row r="171" spans="2:13" ht="15" customHeight="1" x14ac:dyDescent="0.35">
      <c r="B171" s="40" t="s">
        <v>1242</v>
      </c>
      <c r="C171" s="41" t="s">
        <v>1235</v>
      </c>
      <c r="E171" s="41" t="s">
        <v>1621</v>
      </c>
      <c r="F171" s="41" t="s">
        <v>1622</v>
      </c>
      <c r="G171" s="41" t="s">
        <v>1623</v>
      </c>
      <c r="H171" s="41" t="s">
        <v>1623</v>
      </c>
      <c r="J171" s="105" t="s">
        <v>1242</v>
      </c>
      <c r="K171" s="105" t="s">
        <v>1546</v>
      </c>
      <c r="M171" s="106" t="str">
        <f>IF(COUNT('Reported Financials'!E171:H171)=0,"",IF(SUMPRODUCT(--ISNUMBER('Reported Financials'!E171:H171),--(E171:H171=""))=0,"OK","source missing"))</f>
        <v>OK</v>
      </c>
    </row>
    <row r="172" spans="2:13" ht="15" customHeight="1" x14ac:dyDescent="0.35">
      <c r="B172" s="40" t="s">
        <v>1243</v>
      </c>
      <c r="E172" s="41" t="s">
        <v>1621</v>
      </c>
      <c r="F172" s="41" t="s">
        <v>1622</v>
      </c>
      <c r="G172" s="41" t="s">
        <v>1623</v>
      </c>
      <c r="H172" s="41" t="s">
        <v>1623</v>
      </c>
      <c r="J172" s="105" t="s">
        <v>1243</v>
      </c>
      <c r="K172" s="105" t="s">
        <v>1546</v>
      </c>
      <c r="M172" s="106" t="str">
        <f>IF(COUNT('Reported Financials'!E172:H172)=0,"",IF(SUMPRODUCT(--ISNUMBER('Reported Financials'!E172:H172),--(E172:H172=""))=0,"OK","source missing"))</f>
        <v>OK</v>
      </c>
    </row>
    <row r="173" spans="2:13" ht="15" customHeight="1" x14ac:dyDescent="0.35">
      <c r="B173" s="40" t="s">
        <v>1244</v>
      </c>
      <c r="C173" s="41" t="s">
        <v>1130</v>
      </c>
      <c r="E173" s="41" t="s">
        <v>1621</v>
      </c>
      <c r="F173" s="41" t="s">
        <v>1622</v>
      </c>
      <c r="G173" s="41" t="s">
        <v>1623</v>
      </c>
      <c r="H173" s="41" t="s">
        <v>1623</v>
      </c>
      <c r="J173" s="105" t="s">
        <v>1244</v>
      </c>
      <c r="K173" s="105" t="s">
        <v>1546</v>
      </c>
      <c r="M173" s="106" t="str">
        <f>IF(COUNT('Reported Financials'!E173:H173)=0,"",IF(SUMPRODUCT(--ISNUMBER('Reported Financials'!E173:H173),--(E173:H173=""))=0,"OK","source missing"))</f>
        <v>OK</v>
      </c>
    </row>
    <row r="174" spans="2:13" ht="15" customHeight="1" x14ac:dyDescent="0.35">
      <c r="B174" s="40" t="s">
        <v>1119</v>
      </c>
      <c r="E174" s="107" t="s">
        <v>1539</v>
      </c>
      <c r="F174" s="107" t="s">
        <v>1539</v>
      </c>
      <c r="G174" s="107" t="s">
        <v>1539</v>
      </c>
      <c r="H174" s="107" t="s">
        <v>1539</v>
      </c>
      <c r="K174" s="108" t="s">
        <v>1548</v>
      </c>
    </row>
    <row r="175" spans="2:13" ht="15" customHeight="1" x14ac:dyDescent="0.35">
      <c r="B175" s="46" t="s">
        <v>1245</v>
      </c>
      <c r="C175" s="47"/>
      <c r="D175" s="47"/>
      <c r="E175" s="109" t="s">
        <v>1539</v>
      </c>
      <c r="F175" s="109" t="s">
        <v>1539</v>
      </c>
      <c r="G175" s="109" t="s">
        <v>1539</v>
      </c>
      <c r="H175" s="109" t="s">
        <v>1539</v>
      </c>
      <c r="K175" s="108" t="s">
        <v>1540</v>
      </c>
    </row>
    <row r="176" spans="2:13" ht="15" customHeight="1" x14ac:dyDescent="0.35">
      <c r="B176" s="40" t="s">
        <v>1119</v>
      </c>
      <c r="E176" s="107" t="s">
        <v>1539</v>
      </c>
      <c r="F176" s="107" t="s">
        <v>1539</v>
      </c>
      <c r="G176" s="107" t="s">
        <v>1539</v>
      </c>
      <c r="H176" s="107" t="s">
        <v>1539</v>
      </c>
      <c r="K176" s="108" t="s">
        <v>1548</v>
      </c>
    </row>
    <row r="177" spans="1:13" ht="15" customHeight="1" x14ac:dyDescent="0.35">
      <c r="B177" s="46" t="s">
        <v>1246</v>
      </c>
      <c r="C177" s="47"/>
      <c r="D177" s="47"/>
      <c r="E177" s="109" t="s">
        <v>1539</v>
      </c>
      <c r="F177" s="109" t="s">
        <v>1539</v>
      </c>
      <c r="G177" s="109" t="s">
        <v>1539</v>
      </c>
      <c r="H177" s="109" t="s">
        <v>1539</v>
      </c>
      <c r="K177" s="108" t="s">
        <v>1540</v>
      </c>
    </row>
    <row r="179" spans="1:13" ht="15" customHeight="1" x14ac:dyDescent="0.35">
      <c r="A179" s="38" t="s">
        <v>5</v>
      </c>
      <c r="B179" s="39" t="s">
        <v>1247</v>
      </c>
      <c r="C179" s="27"/>
      <c r="D179" s="27"/>
      <c r="E179" s="27"/>
      <c r="F179" s="27"/>
      <c r="G179" s="27"/>
      <c r="H179" s="27"/>
      <c r="I179" s="15"/>
      <c r="J179" s="15"/>
      <c r="K179" s="15"/>
      <c r="L179" s="15"/>
    </row>
    <row r="181" spans="1:13" ht="15" customHeight="1" x14ac:dyDescent="0.35">
      <c r="B181" s="40" t="s">
        <v>1248</v>
      </c>
      <c r="C181" s="41" t="s">
        <v>1204</v>
      </c>
      <c r="E181" s="107" t="s">
        <v>1541</v>
      </c>
      <c r="F181" s="107" t="s">
        <v>1541</v>
      </c>
      <c r="G181" s="107" t="s">
        <v>1541</v>
      </c>
      <c r="H181" s="107" t="s">
        <v>1541</v>
      </c>
      <c r="J181" s="105" t="s">
        <v>1248</v>
      </c>
      <c r="K181" s="108" t="s">
        <v>1542</v>
      </c>
      <c r="M181" s="106" t="str">
        <f>IF(COUNT('Reported Financials'!E181:H181)=0,"",IF(SUMPRODUCT(--ISNUMBER('Reported Financials'!E181:H181),--(E181:H181=""))=0,"OK","source missing"))</f>
        <v>OK</v>
      </c>
    </row>
    <row r="182" spans="1:13" ht="15" customHeight="1" x14ac:dyDescent="0.35">
      <c r="B182" s="40" t="s">
        <v>1249</v>
      </c>
      <c r="C182" s="41" t="s">
        <v>1204</v>
      </c>
      <c r="E182" s="41" t="s">
        <v>1626</v>
      </c>
      <c r="F182" s="41" t="s">
        <v>1627</v>
      </c>
      <c r="G182" s="41" t="s">
        <v>1628</v>
      </c>
      <c r="H182" s="41" t="s">
        <v>1628</v>
      </c>
      <c r="J182" s="105" t="s">
        <v>1629</v>
      </c>
      <c r="K182" s="105" t="s">
        <v>1546</v>
      </c>
      <c r="M182" s="106" t="str">
        <f>IF(COUNT('Reported Financials'!E182:H182)=0,"",IF(SUMPRODUCT(--ISNUMBER('Reported Financials'!E182:H182),--(E182:H182=""))=0,"OK","source missing"))</f>
        <v>OK</v>
      </c>
    </row>
    <row r="183" spans="1:13" ht="15" customHeight="1" x14ac:dyDescent="0.35">
      <c r="B183" s="40" t="s">
        <v>1250</v>
      </c>
      <c r="C183" s="41" t="s">
        <v>1204</v>
      </c>
      <c r="E183" s="41" t="s">
        <v>1626</v>
      </c>
      <c r="F183" s="41" t="s">
        <v>1627</v>
      </c>
      <c r="G183" s="41" t="s">
        <v>1628</v>
      </c>
      <c r="H183" s="41" t="s">
        <v>1628</v>
      </c>
      <c r="J183" s="105" t="s">
        <v>1630</v>
      </c>
      <c r="K183" s="105" t="s">
        <v>1546</v>
      </c>
      <c r="M183" s="106" t="str">
        <f>IF(COUNT('Reported Financials'!E183:H183)=0,"",IF(SUMPRODUCT(--ISNUMBER('Reported Financials'!E183:H183),--(E183:H183=""))=0,"OK","source missing"))</f>
        <v>OK</v>
      </c>
    </row>
    <row r="184" spans="1:13" ht="15" customHeight="1" x14ac:dyDescent="0.35">
      <c r="B184" s="40" t="s">
        <v>1251</v>
      </c>
      <c r="C184" s="41" t="s">
        <v>1204</v>
      </c>
      <c r="E184" s="41" t="s">
        <v>1626</v>
      </c>
      <c r="F184" s="41" t="s">
        <v>1627</v>
      </c>
      <c r="G184" s="41" t="s">
        <v>1628</v>
      </c>
      <c r="H184" s="41" t="s">
        <v>1628</v>
      </c>
      <c r="J184" s="105" t="s">
        <v>1631</v>
      </c>
      <c r="K184" s="105" t="s">
        <v>1546</v>
      </c>
      <c r="M184" s="106" t="str">
        <f>IF(COUNT('Reported Financials'!E184:H184)=0,"",IF(SUMPRODUCT(--ISNUMBER('Reported Financials'!E184:H184),--(E184:H184=""))=0,"OK","source missing"))</f>
        <v>OK</v>
      </c>
    </row>
    <row r="185" spans="1:13" ht="15" customHeight="1" x14ac:dyDescent="0.35">
      <c r="B185" s="40" t="s">
        <v>1253</v>
      </c>
      <c r="C185" s="41" t="s">
        <v>1204</v>
      </c>
      <c r="E185" s="41" t="s">
        <v>1626</v>
      </c>
      <c r="F185" s="41" t="s">
        <v>1627</v>
      </c>
      <c r="G185" s="41" t="s">
        <v>1628</v>
      </c>
      <c r="H185" s="41" t="s">
        <v>1628</v>
      </c>
      <c r="J185" s="105" t="s">
        <v>1632</v>
      </c>
      <c r="K185" s="105" t="s">
        <v>1546</v>
      </c>
      <c r="M185" s="106" t="str">
        <f>IF(COUNT('Reported Financials'!E185:H185)=0,"",IF(SUMPRODUCT(--ISNUMBER('Reported Financials'!E185:H185),--(E185:H185=""))=0,"OK","source missing"))</f>
        <v>OK</v>
      </c>
    </row>
    <row r="186" spans="1:13" ht="15" customHeight="1" x14ac:dyDescent="0.35">
      <c r="B186" s="40" t="s">
        <v>1112</v>
      </c>
      <c r="C186" s="41" t="s">
        <v>1204</v>
      </c>
      <c r="E186" s="41" t="s">
        <v>1626</v>
      </c>
      <c r="F186" s="41" t="s">
        <v>1627</v>
      </c>
      <c r="G186" s="41" t="s">
        <v>1628</v>
      </c>
      <c r="H186" s="41" t="s">
        <v>1628</v>
      </c>
      <c r="J186" s="105" t="s">
        <v>1582</v>
      </c>
      <c r="K186" s="105" t="s">
        <v>1546</v>
      </c>
      <c r="M186" s="106" t="str">
        <f>IF(COUNT('Reported Financials'!E186:H186)=0,"",IF(SUMPRODUCT(--ISNUMBER('Reported Financials'!E186:H186),--(E186:H186=""))=0,"OK","source missing"))</f>
        <v>OK</v>
      </c>
    </row>
    <row r="187" spans="1:13" ht="15" customHeight="1" x14ac:dyDescent="0.35">
      <c r="B187" s="40" t="s">
        <v>1255</v>
      </c>
      <c r="C187" s="41" t="s">
        <v>1204</v>
      </c>
      <c r="E187" s="41" t="s">
        <v>1626</v>
      </c>
      <c r="F187" s="41" t="s">
        <v>1627</v>
      </c>
      <c r="G187" s="41" t="s">
        <v>1628</v>
      </c>
      <c r="H187" s="41" t="s">
        <v>1628</v>
      </c>
      <c r="J187" s="105" t="s">
        <v>1633</v>
      </c>
      <c r="K187" s="105" t="s">
        <v>1546</v>
      </c>
      <c r="M187" s="106" t="str">
        <f>IF(COUNT('Reported Financials'!E187:H187)=0,"",IF(SUMPRODUCT(--ISNUMBER('Reported Financials'!E187:H187),--(E187:H187=""))=0,"OK","source missing"))</f>
        <v>OK</v>
      </c>
    </row>
    <row r="188" spans="1:13" ht="15" customHeight="1" x14ac:dyDescent="0.35">
      <c r="B188" s="40" t="s">
        <v>1256</v>
      </c>
      <c r="C188" s="41" t="s">
        <v>1204</v>
      </c>
      <c r="E188" s="41" t="s">
        <v>1626</v>
      </c>
      <c r="F188" s="41" t="s">
        <v>1627</v>
      </c>
      <c r="G188" s="41" t="s">
        <v>1628</v>
      </c>
      <c r="H188" s="41" t="s">
        <v>1628</v>
      </c>
      <c r="J188" s="105" t="s">
        <v>1634</v>
      </c>
      <c r="K188" s="105" t="s">
        <v>1546</v>
      </c>
      <c r="M188" s="106" t="str">
        <f>IF(COUNT('Reported Financials'!E188:H188)=0,"",IF(SUMPRODUCT(--ISNUMBER('Reported Financials'!E188:H188),--(E188:H188=""))=0,"OK","source missing"))</f>
        <v>OK</v>
      </c>
    </row>
    <row r="189" spans="1:13" ht="15" customHeight="1" x14ac:dyDescent="0.35">
      <c r="B189" s="40" t="s">
        <v>1257</v>
      </c>
      <c r="C189" s="41" t="s">
        <v>1204</v>
      </c>
      <c r="E189" s="41" t="s">
        <v>1626</v>
      </c>
      <c r="F189" s="41" t="s">
        <v>1627</v>
      </c>
      <c r="G189" s="41" t="s">
        <v>1628</v>
      </c>
      <c r="H189" s="41" t="s">
        <v>1628</v>
      </c>
      <c r="J189" s="105" t="s">
        <v>1635</v>
      </c>
      <c r="K189" s="105" t="s">
        <v>1546</v>
      </c>
      <c r="M189" s="106" t="str">
        <f>IF(COUNT('Reported Financials'!E189:H189)=0,"",IF(SUMPRODUCT(--ISNUMBER('Reported Financials'!E189:H189),--(E189:H189=""))=0,"OK","source missing"))</f>
        <v>OK</v>
      </c>
    </row>
    <row r="190" spans="1:13" ht="15" customHeight="1" x14ac:dyDescent="0.35">
      <c r="B190" s="40" t="s">
        <v>1258</v>
      </c>
      <c r="C190" s="41" t="s">
        <v>1204</v>
      </c>
      <c r="E190" s="41" t="s">
        <v>1626</v>
      </c>
      <c r="F190" s="41" t="s">
        <v>1627</v>
      </c>
      <c r="G190" s="41" t="s">
        <v>1628</v>
      </c>
      <c r="H190" s="41" t="s">
        <v>1628</v>
      </c>
      <c r="J190" s="105" t="s">
        <v>1636</v>
      </c>
      <c r="K190" s="105" t="s">
        <v>1546</v>
      </c>
      <c r="M190" s="106" t="str">
        <f>IF(COUNT('Reported Financials'!E190:H190)=0,"",IF(SUMPRODUCT(--ISNUMBER('Reported Financials'!E190:H190),--(E190:H190=""))=0,"OK","source missing"))</f>
        <v>OK</v>
      </c>
    </row>
    <row r="191" spans="1:13" ht="15" customHeight="1" x14ac:dyDescent="0.35">
      <c r="B191" s="40" t="s">
        <v>1259</v>
      </c>
      <c r="C191" s="41" t="s">
        <v>1204</v>
      </c>
      <c r="E191" s="41" t="s">
        <v>1626</v>
      </c>
      <c r="F191" s="41" t="s">
        <v>1627</v>
      </c>
      <c r="G191" s="41" t="s">
        <v>1628</v>
      </c>
      <c r="H191" s="41" t="s">
        <v>1628</v>
      </c>
      <c r="J191" s="105" t="s">
        <v>1637</v>
      </c>
      <c r="K191" s="105" t="s">
        <v>1546</v>
      </c>
      <c r="M191" s="106" t="str">
        <f>IF(COUNT('Reported Financials'!E191:H191)=0,"",IF(SUMPRODUCT(--ISNUMBER('Reported Financials'!E191:H191),--(E191:H191=""))=0,"OK","source missing"))</f>
        <v>OK</v>
      </c>
    </row>
    <row r="192" spans="1:13" ht="15" customHeight="1" x14ac:dyDescent="0.35">
      <c r="B192" s="40" t="s">
        <v>1068</v>
      </c>
      <c r="E192" s="107" t="s">
        <v>1539</v>
      </c>
      <c r="F192" s="107" t="s">
        <v>1539</v>
      </c>
      <c r="G192" s="107" t="s">
        <v>1539</v>
      </c>
      <c r="H192" s="107" t="s">
        <v>1539</v>
      </c>
      <c r="K192" s="108" t="s">
        <v>1548</v>
      </c>
    </row>
    <row r="194" spans="2:13" ht="15" customHeight="1" x14ac:dyDescent="0.35">
      <c r="B194" s="40" t="s">
        <v>1261</v>
      </c>
      <c r="C194" s="41" t="s">
        <v>1233</v>
      </c>
      <c r="E194" s="107" t="s">
        <v>1541</v>
      </c>
      <c r="F194" s="107" t="s">
        <v>1541</v>
      </c>
      <c r="G194" s="107" t="s">
        <v>1541</v>
      </c>
      <c r="H194" s="107" t="s">
        <v>1541</v>
      </c>
      <c r="J194" s="105" t="s">
        <v>1261</v>
      </c>
      <c r="K194" s="108" t="s">
        <v>1542</v>
      </c>
      <c r="M194" s="106" t="str">
        <f>IF(COUNT('Reported Financials'!E194:H194)=0,"",IF(SUMPRODUCT(--ISNUMBER('Reported Financials'!E194:H194),--(E194:H194=""))=0,"OK","source missing"))</f>
        <v>OK</v>
      </c>
    </row>
    <row r="195" spans="2:13" ht="15" customHeight="1" x14ac:dyDescent="0.35">
      <c r="B195" s="40" t="s">
        <v>1262</v>
      </c>
      <c r="C195" s="41" t="s">
        <v>1233</v>
      </c>
      <c r="E195" s="41" t="s">
        <v>1638</v>
      </c>
      <c r="F195" s="41" t="s">
        <v>1639</v>
      </c>
      <c r="G195" s="41" t="s">
        <v>1613</v>
      </c>
      <c r="H195" s="41" t="s">
        <v>1613</v>
      </c>
      <c r="J195" s="105" t="s">
        <v>1640</v>
      </c>
      <c r="K195" s="105" t="s">
        <v>1546</v>
      </c>
      <c r="M195" s="106" t="str">
        <f>IF(COUNT('Reported Financials'!E195:H195)=0,"",IF(SUMPRODUCT(--ISNUMBER('Reported Financials'!E195:H195),--(E195:H195=""))=0,"OK","source missing"))</f>
        <v>OK</v>
      </c>
    </row>
    <row r="196" spans="2:13" ht="15" customHeight="1" x14ac:dyDescent="0.35">
      <c r="B196" s="40" t="s">
        <v>1263</v>
      </c>
      <c r="C196" s="41" t="s">
        <v>1233</v>
      </c>
      <c r="E196" s="41" t="s">
        <v>1638</v>
      </c>
      <c r="F196" s="41" t="s">
        <v>1639</v>
      </c>
      <c r="G196" s="41" t="s">
        <v>1613</v>
      </c>
      <c r="H196" s="41" t="s">
        <v>1613</v>
      </c>
      <c r="J196" s="105" t="s">
        <v>1641</v>
      </c>
      <c r="K196" s="105" t="s">
        <v>1546</v>
      </c>
      <c r="M196" s="106" t="str">
        <f>IF(COUNT('Reported Financials'!E196:H196)=0,"",IF(SUMPRODUCT(--ISNUMBER('Reported Financials'!E196:H196),--(E196:H196=""))=0,"OK","source missing"))</f>
        <v>OK</v>
      </c>
    </row>
    <row r="197" spans="2:13" ht="15" customHeight="1" x14ac:dyDescent="0.35">
      <c r="B197" s="40" t="s">
        <v>1264</v>
      </c>
      <c r="C197" s="41" t="s">
        <v>1233</v>
      </c>
      <c r="E197" s="41" t="s">
        <v>1638</v>
      </c>
      <c r="F197" s="41" t="s">
        <v>1639</v>
      </c>
      <c r="G197" s="41" t="s">
        <v>1613</v>
      </c>
      <c r="H197" s="41" t="s">
        <v>1613</v>
      </c>
      <c r="J197" s="105" t="s">
        <v>1642</v>
      </c>
      <c r="K197" s="105" t="s">
        <v>1546</v>
      </c>
      <c r="M197" s="106" t="str">
        <f>IF(COUNT('Reported Financials'!E197:H197)=0,"",IF(SUMPRODUCT(--ISNUMBER('Reported Financials'!E197:H197),--(E197:H197=""))=0,"OK","source missing"))</f>
        <v>OK</v>
      </c>
    </row>
    <row r="198" spans="2:13" ht="15" customHeight="1" x14ac:dyDescent="0.35">
      <c r="B198" s="40" t="s">
        <v>1265</v>
      </c>
      <c r="C198" s="41" t="s">
        <v>1233</v>
      </c>
      <c r="E198" s="41" t="s">
        <v>1638</v>
      </c>
      <c r="F198" s="41" t="s">
        <v>1639</v>
      </c>
      <c r="G198" s="41" t="s">
        <v>1613</v>
      </c>
      <c r="H198" s="41" t="s">
        <v>1613</v>
      </c>
      <c r="J198" s="105" t="s">
        <v>1643</v>
      </c>
      <c r="K198" s="105" t="s">
        <v>1546</v>
      </c>
      <c r="M198" s="106" t="str">
        <f>IF(COUNT('Reported Financials'!E198:H198)=0,"",IF(SUMPRODUCT(--ISNUMBER('Reported Financials'!E198:H198),--(E198:H198=""))=0,"OK","source missing"))</f>
        <v>OK</v>
      </c>
    </row>
    <row r="199" spans="2:13" ht="15" customHeight="1" x14ac:dyDescent="0.35">
      <c r="B199" s="40" t="s">
        <v>1266</v>
      </c>
      <c r="C199" s="41" t="s">
        <v>1233</v>
      </c>
      <c r="E199" s="41" t="s">
        <v>1638</v>
      </c>
      <c r="F199" s="41" t="s">
        <v>1639</v>
      </c>
      <c r="G199" s="41" t="s">
        <v>1613</v>
      </c>
      <c r="H199" s="41" t="s">
        <v>1613</v>
      </c>
      <c r="J199" s="105" t="s">
        <v>1644</v>
      </c>
      <c r="K199" s="105" t="s">
        <v>1546</v>
      </c>
      <c r="M199" s="106" t="str">
        <f>IF(COUNT('Reported Financials'!E199:H199)=0,"",IF(SUMPRODUCT(--ISNUMBER('Reported Financials'!E199:H199),--(E199:H199=""))=0,"OK","source missing"))</f>
        <v>OK</v>
      </c>
    </row>
    <row r="200" spans="2:13" ht="15" customHeight="1" x14ac:dyDescent="0.35">
      <c r="B200" s="40" t="s">
        <v>1267</v>
      </c>
      <c r="C200" s="41" t="s">
        <v>1233</v>
      </c>
      <c r="E200" s="41" t="s">
        <v>1638</v>
      </c>
      <c r="F200" s="41" t="s">
        <v>1639</v>
      </c>
      <c r="G200" s="41" t="s">
        <v>1613</v>
      </c>
      <c r="H200" s="41" t="s">
        <v>1613</v>
      </c>
      <c r="J200" s="105" t="s">
        <v>1645</v>
      </c>
      <c r="K200" s="105" t="s">
        <v>1546</v>
      </c>
      <c r="M200" s="106" t="str">
        <f>IF(COUNT('Reported Financials'!E200:H200)=0,"",IF(SUMPRODUCT(--ISNUMBER('Reported Financials'!E200:H200),--(E200:H200=""))=0,"OK","source missing"))</f>
        <v>OK</v>
      </c>
    </row>
    <row r="201" spans="2:13" ht="15" customHeight="1" x14ac:dyDescent="0.35">
      <c r="B201" s="40" t="s">
        <v>1068</v>
      </c>
      <c r="E201" s="107" t="s">
        <v>1539</v>
      </c>
      <c r="F201" s="107" t="s">
        <v>1539</v>
      </c>
      <c r="G201" s="107" t="s">
        <v>1539</v>
      </c>
      <c r="H201" s="107" t="s">
        <v>1539</v>
      </c>
      <c r="K201" s="108" t="s">
        <v>1548</v>
      </c>
    </row>
    <row r="203" spans="2:13" ht="15" customHeight="1" x14ac:dyDescent="0.35">
      <c r="B203" s="40" t="s">
        <v>1268</v>
      </c>
      <c r="C203" s="41" t="s">
        <v>1235</v>
      </c>
      <c r="E203" s="107" t="s">
        <v>1541</v>
      </c>
      <c r="F203" s="107" t="s">
        <v>1541</v>
      </c>
      <c r="G203" s="107" t="s">
        <v>1541</v>
      </c>
      <c r="H203" s="107" t="s">
        <v>1541</v>
      </c>
      <c r="J203" s="105" t="s">
        <v>1268</v>
      </c>
      <c r="K203" s="108" t="s">
        <v>1542</v>
      </c>
      <c r="M203" s="106" t="str">
        <f>IF(COUNT('Reported Financials'!E203:H203)=0,"",IF(SUMPRODUCT(--ISNUMBER('Reported Financials'!E203:H203),--(E203:H203=""))=0,"OK","source missing"))</f>
        <v>OK</v>
      </c>
    </row>
    <row r="204" spans="2:13" ht="15" customHeight="1" x14ac:dyDescent="0.35">
      <c r="B204" s="40" t="s">
        <v>1249</v>
      </c>
      <c r="C204" s="41" t="s">
        <v>1235</v>
      </c>
      <c r="E204" s="41" t="s">
        <v>1646</v>
      </c>
      <c r="F204" s="41" t="s">
        <v>1647</v>
      </c>
      <c r="G204" s="41" t="s">
        <v>1648</v>
      </c>
      <c r="H204" s="41" t="s">
        <v>1648</v>
      </c>
      <c r="J204" s="105" t="s">
        <v>1629</v>
      </c>
      <c r="K204" s="105" t="s">
        <v>1546</v>
      </c>
      <c r="M204" s="106" t="str">
        <f>IF(COUNT('Reported Financials'!E204:H204)=0,"",IF(SUMPRODUCT(--ISNUMBER('Reported Financials'!E204:H204),--(E204:H204=""))=0,"OK","source missing"))</f>
        <v>OK</v>
      </c>
    </row>
    <row r="205" spans="2:13" ht="15" customHeight="1" x14ac:dyDescent="0.35">
      <c r="B205" s="40" t="s">
        <v>1269</v>
      </c>
      <c r="C205" s="41" t="s">
        <v>1235</v>
      </c>
      <c r="E205" s="41" t="s">
        <v>1646</v>
      </c>
      <c r="F205" s="41" t="s">
        <v>1647</v>
      </c>
      <c r="G205" s="41" t="s">
        <v>1648</v>
      </c>
      <c r="H205" s="41" t="s">
        <v>1648</v>
      </c>
      <c r="J205" s="105" t="s">
        <v>1649</v>
      </c>
      <c r="K205" s="105" t="s">
        <v>1546</v>
      </c>
      <c r="M205" s="106" t="str">
        <f>IF(COUNT('Reported Financials'!E205:H205)=0,"",IF(SUMPRODUCT(--ISNUMBER('Reported Financials'!E205:H205),--(E205:H205=""))=0,"OK","source missing"))</f>
        <v>OK</v>
      </c>
    </row>
    <row r="206" spans="2:13" ht="15" customHeight="1" x14ac:dyDescent="0.35">
      <c r="B206" s="40" t="s">
        <v>1271</v>
      </c>
      <c r="C206" s="41" t="s">
        <v>1235</v>
      </c>
      <c r="E206" s="41" t="s">
        <v>1646</v>
      </c>
      <c r="F206" s="41" t="s">
        <v>1647</v>
      </c>
      <c r="G206" s="41" t="s">
        <v>1648</v>
      </c>
      <c r="H206" s="41" t="s">
        <v>1648</v>
      </c>
      <c r="J206" s="105" t="s">
        <v>1650</v>
      </c>
      <c r="K206" s="105" t="s">
        <v>1546</v>
      </c>
      <c r="M206" s="106" t="str">
        <f>IF(COUNT('Reported Financials'!E206:H206)=0,"",IF(SUMPRODUCT(--ISNUMBER('Reported Financials'!E206:H206),--(E206:H206=""))=0,"OK","source missing"))</f>
        <v>OK</v>
      </c>
    </row>
    <row r="207" spans="2:13" ht="15" customHeight="1" x14ac:dyDescent="0.35">
      <c r="B207" s="40" t="s">
        <v>1272</v>
      </c>
      <c r="C207" s="41" t="s">
        <v>1235</v>
      </c>
      <c r="E207" s="41" t="s">
        <v>1646</v>
      </c>
      <c r="F207" s="41" t="s">
        <v>1647</v>
      </c>
      <c r="G207" s="41" t="s">
        <v>1648</v>
      </c>
      <c r="H207" s="41" t="s">
        <v>1648</v>
      </c>
      <c r="J207" s="105" t="s">
        <v>1651</v>
      </c>
      <c r="K207" s="105" t="s">
        <v>1546</v>
      </c>
      <c r="M207" s="106" t="str">
        <f>IF(COUNT('Reported Financials'!E207:H207)=0,"",IF(SUMPRODUCT(--ISNUMBER('Reported Financials'!E207:H207),--(E207:H207=""))=0,"OK","source missing"))</f>
        <v>OK</v>
      </c>
    </row>
    <row r="208" spans="2:13" ht="15" customHeight="1" x14ac:dyDescent="0.35">
      <c r="B208" s="40" t="s">
        <v>1273</v>
      </c>
      <c r="C208" s="41" t="s">
        <v>1235</v>
      </c>
      <c r="E208" s="41" t="s">
        <v>1646</v>
      </c>
      <c r="F208" s="41" t="s">
        <v>1647</v>
      </c>
      <c r="G208" s="41" t="s">
        <v>1648</v>
      </c>
      <c r="H208" s="41" t="s">
        <v>1648</v>
      </c>
      <c r="J208" s="105" t="s">
        <v>1652</v>
      </c>
      <c r="K208" s="105" t="s">
        <v>1546</v>
      </c>
      <c r="M208" s="106" t="str">
        <f>IF(COUNT('Reported Financials'!E208:H208)=0,"",IF(SUMPRODUCT(--ISNUMBER('Reported Financials'!E208:H208),--(E208:H208=""))=0,"OK","source missing"))</f>
        <v>OK</v>
      </c>
    </row>
    <row r="209" spans="1:13" ht="15" customHeight="1" x14ac:dyDescent="0.35">
      <c r="B209" s="40" t="s">
        <v>1068</v>
      </c>
      <c r="E209" s="107" t="s">
        <v>1539</v>
      </c>
      <c r="F209" s="107" t="s">
        <v>1539</v>
      </c>
      <c r="G209" s="107" t="s">
        <v>1539</v>
      </c>
      <c r="H209" s="107" t="s">
        <v>1539</v>
      </c>
      <c r="K209" s="108" t="s">
        <v>1548</v>
      </c>
    </row>
    <row r="211" spans="1:13" ht="15" customHeight="1" x14ac:dyDescent="0.35">
      <c r="B211" s="40" t="s">
        <v>1274</v>
      </c>
      <c r="C211" s="41" t="s">
        <v>1275</v>
      </c>
      <c r="E211" s="107" t="s">
        <v>1541</v>
      </c>
      <c r="F211" s="107" t="s">
        <v>1541</v>
      </c>
      <c r="G211" s="107" t="s">
        <v>1541</v>
      </c>
      <c r="H211" s="107" t="s">
        <v>1541</v>
      </c>
      <c r="J211" s="105" t="s">
        <v>1274</v>
      </c>
      <c r="K211" s="108" t="s">
        <v>1542</v>
      </c>
      <c r="M211" s="106" t="str">
        <f>IF(COUNT('Reported Financials'!E211:H211)=0,"",IF(SUMPRODUCT(--ISNUMBER('Reported Financials'!E211:H211),--(E211:H211=""))=0,"OK","source missing"))</f>
        <v>OK</v>
      </c>
    </row>
    <row r="212" spans="1:13" ht="15" customHeight="1" x14ac:dyDescent="0.35">
      <c r="B212" s="40" t="s">
        <v>1276</v>
      </c>
      <c r="C212" s="41" t="s">
        <v>1181</v>
      </c>
      <c r="E212" s="41" t="s">
        <v>1653</v>
      </c>
      <c r="F212" s="41" t="s">
        <v>1654</v>
      </c>
      <c r="G212" s="41" t="s">
        <v>1655</v>
      </c>
      <c r="H212" s="41" t="s">
        <v>1655</v>
      </c>
      <c r="J212" s="105" t="s">
        <v>1656</v>
      </c>
      <c r="K212" s="105" t="s">
        <v>1546</v>
      </c>
      <c r="M212" s="106" t="str">
        <f>IF(COUNT('Reported Financials'!E212:H212)=0,"",IF(SUMPRODUCT(--ISNUMBER('Reported Financials'!E212:H212),--(E212:H212=""))=0,"OK","source missing"))</f>
        <v>OK</v>
      </c>
    </row>
    <row r="213" spans="1:13" ht="15" customHeight="1" x14ac:dyDescent="0.35">
      <c r="B213" s="40" t="s">
        <v>421</v>
      </c>
      <c r="C213" s="41" t="s">
        <v>1143</v>
      </c>
      <c r="E213" s="41" t="s">
        <v>1657</v>
      </c>
      <c r="F213" s="41" t="s">
        <v>1586</v>
      </c>
      <c r="G213" s="41" t="s">
        <v>1587</v>
      </c>
      <c r="H213" s="41" t="s">
        <v>1587</v>
      </c>
      <c r="J213" s="105" t="s">
        <v>1656</v>
      </c>
      <c r="K213" s="105" t="s">
        <v>1546</v>
      </c>
      <c r="M213" s="106" t="str">
        <f>IF(COUNT('Reported Financials'!E213:H213)=0,"",IF(SUMPRODUCT(--ISNUMBER('Reported Financials'!E213:H213),--(E213:H213=""))=0,"OK","source missing"))</f>
        <v>OK</v>
      </c>
    </row>
    <row r="214" spans="1:13" ht="15" customHeight="1" x14ac:dyDescent="0.35">
      <c r="B214" s="40" t="s">
        <v>423</v>
      </c>
      <c r="C214" s="41" t="s">
        <v>1199</v>
      </c>
      <c r="E214" s="41" t="s">
        <v>1658</v>
      </c>
      <c r="F214" s="41" t="s">
        <v>1659</v>
      </c>
      <c r="G214" s="41" t="s">
        <v>1660</v>
      </c>
      <c r="H214" s="41" t="s">
        <v>1660</v>
      </c>
      <c r="J214" s="105" t="s">
        <v>1656</v>
      </c>
      <c r="K214" s="105" t="s">
        <v>1546</v>
      </c>
      <c r="M214" s="106" t="str">
        <f>IF(COUNT('Reported Financials'!E214:H214)=0,"",IF(SUMPRODUCT(--ISNUMBER('Reported Financials'!E214:H214),--(E214:H214=""))=0,"OK","source missing"))</f>
        <v>OK</v>
      </c>
    </row>
    <row r="215" spans="1:13" ht="15" customHeight="1" x14ac:dyDescent="0.35">
      <c r="B215" s="40" t="s">
        <v>425</v>
      </c>
      <c r="C215" s="41" t="s">
        <v>1201</v>
      </c>
      <c r="E215" s="41" t="s">
        <v>1658</v>
      </c>
      <c r="F215" s="41" t="s">
        <v>1661</v>
      </c>
      <c r="G215" s="41" t="s">
        <v>1662</v>
      </c>
      <c r="H215" s="41" t="s">
        <v>1662</v>
      </c>
      <c r="J215" s="105" t="s">
        <v>1663</v>
      </c>
      <c r="K215" s="105" t="s">
        <v>1546</v>
      </c>
      <c r="M215" s="106" t="str">
        <f>IF(COUNT('Reported Financials'!E215:H215)=0,"",IF(SUMPRODUCT(--ISNUMBER('Reported Financials'!E215:H215),--(E215:H215=""))=0,"OK","source missing"))</f>
        <v>OK</v>
      </c>
    </row>
    <row r="217" spans="1:13" ht="15" customHeight="1" x14ac:dyDescent="0.35">
      <c r="A217" s="38" t="s">
        <v>5</v>
      </c>
      <c r="B217" s="39" t="s">
        <v>1278</v>
      </c>
      <c r="C217" s="27"/>
      <c r="D217" s="27"/>
      <c r="E217" s="27"/>
      <c r="F217" s="27"/>
      <c r="G217" s="27"/>
      <c r="H217" s="27"/>
      <c r="I217" s="15"/>
      <c r="J217" s="15"/>
      <c r="K217" s="15"/>
      <c r="L217" s="15"/>
    </row>
    <row r="219" spans="1:13" ht="15" customHeight="1" x14ac:dyDescent="0.35">
      <c r="B219" s="40" t="s">
        <v>1279</v>
      </c>
      <c r="F219" s="41" t="s">
        <v>1664</v>
      </c>
      <c r="G219" s="41" t="s">
        <v>1665</v>
      </c>
      <c r="H219" s="41" t="s">
        <v>1665</v>
      </c>
      <c r="J219" s="105" t="s">
        <v>1279</v>
      </c>
      <c r="K219" s="105" t="s">
        <v>1546</v>
      </c>
      <c r="M219" s="106" t="str">
        <f>IF(COUNT('Reported Financials'!E219:H219)=0,"",IF(SUMPRODUCT(--ISNUMBER('Reported Financials'!E219:H219),--(E219:H219=""))=0,"OK","source missing"))</f>
        <v>OK</v>
      </c>
    </row>
    <row r="220" spans="1:13" ht="15" customHeight="1" x14ac:dyDescent="0.35">
      <c r="B220" s="40" t="s">
        <v>1281</v>
      </c>
      <c r="F220" s="41" t="s">
        <v>1664</v>
      </c>
      <c r="G220" s="41" t="s">
        <v>1665</v>
      </c>
      <c r="H220" s="41" t="s">
        <v>1665</v>
      </c>
      <c r="J220" s="105" t="s">
        <v>1281</v>
      </c>
      <c r="K220" s="105" t="s">
        <v>1546</v>
      </c>
      <c r="M220" s="106" t="str">
        <f>IF(COUNT('Reported Financials'!E220:H220)=0,"",IF(SUMPRODUCT(--ISNUMBER('Reported Financials'!E220:H220),--(E220:H220=""))=0,"OK","source missing"))</f>
        <v>OK</v>
      </c>
    </row>
    <row r="221" spans="1:13" ht="15" customHeight="1" x14ac:dyDescent="0.35">
      <c r="B221" s="40" t="s">
        <v>1282</v>
      </c>
      <c r="F221" s="41" t="s">
        <v>1664</v>
      </c>
      <c r="G221" s="41" t="s">
        <v>1665</v>
      </c>
      <c r="H221" s="41" t="s">
        <v>1665</v>
      </c>
      <c r="J221" s="105" t="s">
        <v>1282</v>
      </c>
      <c r="K221" s="105" t="s">
        <v>1546</v>
      </c>
      <c r="M221" s="106" t="str">
        <f>IF(COUNT('Reported Financials'!E221:H221)=0,"",IF(SUMPRODUCT(--ISNUMBER('Reported Financials'!E221:H221),--(E221:H221=""))=0,"OK","source missing"))</f>
        <v>OK</v>
      </c>
    </row>
    <row r="222" spans="1:13" ht="15" customHeight="1" x14ac:dyDescent="0.35">
      <c r="B222" s="40" t="s">
        <v>1284</v>
      </c>
      <c r="F222" s="41" t="s">
        <v>1664</v>
      </c>
      <c r="G222" s="41" t="s">
        <v>1665</v>
      </c>
      <c r="H222" s="41" t="s">
        <v>1665</v>
      </c>
      <c r="J222" s="105" t="s">
        <v>1284</v>
      </c>
      <c r="K222" s="105" t="s">
        <v>1546</v>
      </c>
      <c r="M222" s="106" t="str">
        <f>IF(COUNT('Reported Financials'!E222:H222)=0,"",IF(SUMPRODUCT(--ISNUMBER('Reported Financials'!E222:H222),--(E222:H222=""))=0,"OK","source missing"))</f>
        <v>OK</v>
      </c>
    </row>
    <row r="224" spans="1:13" ht="15" customHeight="1" x14ac:dyDescent="0.35">
      <c r="A224" s="38" t="s">
        <v>5</v>
      </c>
      <c r="B224" s="39" t="s">
        <v>1285</v>
      </c>
      <c r="C224" s="27"/>
      <c r="D224" s="27"/>
      <c r="E224" s="27"/>
      <c r="F224" s="27"/>
      <c r="G224" s="27"/>
      <c r="H224" s="27"/>
      <c r="I224" s="15"/>
      <c r="J224" s="15"/>
      <c r="K224" s="15"/>
      <c r="L224" s="15"/>
    </row>
    <row r="226" spans="1:13" ht="15" customHeight="1" x14ac:dyDescent="0.35">
      <c r="B226" s="40" t="s">
        <v>1286</v>
      </c>
      <c r="F226" s="41" t="s">
        <v>1591</v>
      </c>
      <c r="G226" s="41" t="s">
        <v>1589</v>
      </c>
      <c r="H226" s="41" t="s">
        <v>1589</v>
      </c>
      <c r="J226" s="105" t="s">
        <v>1286</v>
      </c>
      <c r="K226" s="105" t="s">
        <v>1592</v>
      </c>
      <c r="M226" s="106" t="str">
        <f>IF(COUNT('Reported Financials'!E226:H226)=0,"",IF(SUMPRODUCT(--ISNUMBER('Reported Financials'!E226:H226),--(E226:H226=""))=0,"OK","source missing"))</f>
        <v>OK</v>
      </c>
    </row>
    <row r="227" spans="1:13" ht="15" customHeight="1" x14ac:dyDescent="0.35">
      <c r="B227" s="40" t="s">
        <v>1288</v>
      </c>
      <c r="F227" s="41" t="s">
        <v>1591</v>
      </c>
      <c r="G227" s="41" t="s">
        <v>1589</v>
      </c>
      <c r="H227" s="41" t="s">
        <v>1589</v>
      </c>
      <c r="J227" s="105" t="s">
        <v>1288</v>
      </c>
      <c r="K227" s="105" t="s">
        <v>1592</v>
      </c>
      <c r="M227" s="106" t="str">
        <f>IF(COUNT('Reported Financials'!E227:H227)=0,"",IF(SUMPRODUCT(--ISNUMBER('Reported Financials'!E227:H227),--(E227:H227=""))=0,"OK","source missing"))</f>
        <v>OK</v>
      </c>
    </row>
    <row r="228" spans="1:13" ht="15" customHeight="1" x14ac:dyDescent="0.35">
      <c r="B228" s="40" t="s">
        <v>1289</v>
      </c>
      <c r="F228" s="41" t="s">
        <v>1591</v>
      </c>
      <c r="G228" s="41" t="s">
        <v>1589</v>
      </c>
      <c r="H228" s="41" t="s">
        <v>1589</v>
      </c>
      <c r="J228" s="105" t="s">
        <v>1289</v>
      </c>
      <c r="K228" s="105" t="s">
        <v>1592</v>
      </c>
      <c r="M228" s="106" t="str">
        <f>IF(COUNT('Reported Financials'!E228:H228)=0,"",IF(SUMPRODUCT(--ISNUMBER('Reported Financials'!E228:H228),--(E228:H228=""))=0,"OK","source missing"))</f>
        <v>OK</v>
      </c>
    </row>
    <row r="229" spans="1:13" ht="15" customHeight="1" x14ac:dyDescent="0.35">
      <c r="B229" s="46" t="s">
        <v>1290</v>
      </c>
      <c r="C229" s="47"/>
      <c r="D229" s="47"/>
      <c r="E229" s="47"/>
      <c r="F229" s="109" t="s">
        <v>1539</v>
      </c>
      <c r="G229" s="109" t="s">
        <v>1539</v>
      </c>
      <c r="H229" s="109" t="s">
        <v>1539</v>
      </c>
      <c r="K229" s="108" t="s">
        <v>1540</v>
      </c>
    </row>
    <row r="231" spans="1:13" ht="15" customHeight="1" x14ac:dyDescent="0.35">
      <c r="A231" s="38" t="s">
        <v>5</v>
      </c>
      <c r="B231" s="39" t="s">
        <v>88</v>
      </c>
      <c r="C231" s="27"/>
      <c r="D231" s="27"/>
      <c r="E231" s="27"/>
      <c r="F231" s="27"/>
      <c r="G231" s="27"/>
      <c r="H231" s="27"/>
      <c r="I231" s="15"/>
      <c r="J231" s="15"/>
      <c r="K231" s="15"/>
      <c r="L231" s="15"/>
    </row>
    <row r="235" spans="1:13" ht="15" customHeight="1" x14ac:dyDescent="0.35">
      <c r="B235" s="53" t="s">
        <v>1292</v>
      </c>
    </row>
    <row r="236" spans="1:13" ht="15" customHeight="1" x14ac:dyDescent="0.35">
      <c r="B236" s="40" t="s">
        <v>1064</v>
      </c>
      <c r="F236" s="41" t="s">
        <v>1536</v>
      </c>
      <c r="G236" s="41" t="s">
        <v>1537</v>
      </c>
      <c r="H236" s="41" t="s">
        <v>1537</v>
      </c>
      <c r="J236" s="105" t="s">
        <v>1064</v>
      </c>
      <c r="K236" s="105" t="s">
        <v>1546</v>
      </c>
      <c r="M236" s="106" t="str">
        <f>IF(COUNT('Reported Financials'!E236:H236)=0,"",IF(SUMPRODUCT(--ISNUMBER('Reported Financials'!E236:H236),--(E236:H236=""))=0,"OK","source missing"))</f>
        <v>OK</v>
      </c>
    </row>
    <row r="237" spans="1:13" ht="15" customHeight="1" x14ac:dyDescent="0.35">
      <c r="B237" s="40" t="s">
        <v>1070</v>
      </c>
      <c r="F237" s="41" t="s">
        <v>1536</v>
      </c>
      <c r="G237" s="41" t="s">
        <v>1537</v>
      </c>
      <c r="H237" s="41" t="s">
        <v>1537</v>
      </c>
      <c r="J237" s="105" t="s">
        <v>1070</v>
      </c>
      <c r="K237" s="105" t="s">
        <v>1546</v>
      </c>
      <c r="M237" s="106" t="str">
        <f>IF(COUNT('Reported Financials'!E237:H237)=0,"",IF(SUMPRODUCT(--ISNUMBER('Reported Financials'!E237:H237),--(E237:H237=""))=0,"OK","source missing"))</f>
        <v>OK</v>
      </c>
    </row>
    <row r="238" spans="1:13" ht="15" customHeight="1" x14ac:dyDescent="0.35">
      <c r="B238" s="40" t="s">
        <v>1071</v>
      </c>
      <c r="F238" s="41" t="s">
        <v>1536</v>
      </c>
      <c r="G238" s="41" t="s">
        <v>1537</v>
      </c>
      <c r="H238" s="41" t="s">
        <v>1537</v>
      </c>
      <c r="J238" s="105" t="s">
        <v>1071</v>
      </c>
      <c r="K238" s="105" t="s">
        <v>1546</v>
      </c>
      <c r="M238" s="106" t="str">
        <f>IF(COUNT('Reported Financials'!E238:H238)=0,"",IF(SUMPRODUCT(--ISNUMBER('Reported Financials'!E238:H238),--(E238:H238=""))=0,"OK","source missing"))</f>
        <v>OK</v>
      </c>
    </row>
    <row r="239" spans="1:13" ht="15" customHeight="1" x14ac:dyDescent="0.35">
      <c r="B239" s="40" t="s">
        <v>1082</v>
      </c>
      <c r="F239" s="41" t="s">
        <v>1536</v>
      </c>
      <c r="G239" s="41" t="s">
        <v>1537</v>
      </c>
      <c r="H239" s="41" t="s">
        <v>1537</v>
      </c>
      <c r="J239" s="105" t="s">
        <v>1082</v>
      </c>
      <c r="K239" s="105" t="s">
        <v>1546</v>
      </c>
      <c r="M239" s="106" t="str">
        <f>IF(COUNT('Reported Financials'!E239:H239)=0,"",IF(SUMPRODUCT(--ISNUMBER('Reported Financials'!E239:H239),--(E239:H239=""))=0,"OK","source missing"))</f>
        <v>OK</v>
      </c>
    </row>
    <row r="240" spans="1:13" ht="15" customHeight="1" x14ac:dyDescent="0.35">
      <c r="B240" s="40" t="s">
        <v>1087</v>
      </c>
      <c r="F240" s="41" t="s">
        <v>1536</v>
      </c>
      <c r="G240" s="41" t="s">
        <v>1537</v>
      </c>
      <c r="H240" s="41" t="s">
        <v>1537</v>
      </c>
      <c r="J240" s="105" t="s">
        <v>1087</v>
      </c>
      <c r="K240" s="105" t="s">
        <v>1546</v>
      </c>
      <c r="M240" s="106" t="str">
        <f>IF(COUNT('Reported Financials'!E240:H240)=0,"",IF(SUMPRODUCT(--ISNUMBER('Reported Financials'!E240:H240),--(E240:H240=""))=0,"OK","source missing"))</f>
        <v>OK</v>
      </c>
    </row>
    <row r="241" spans="2:13" ht="15" customHeight="1" x14ac:dyDescent="0.35">
      <c r="B241" s="40" t="s">
        <v>1093</v>
      </c>
      <c r="F241" s="41" t="s">
        <v>1536</v>
      </c>
      <c r="G241" s="41" t="s">
        <v>1537</v>
      </c>
      <c r="H241" s="41" t="s">
        <v>1537</v>
      </c>
      <c r="J241" s="105" t="s">
        <v>1093</v>
      </c>
      <c r="K241" s="105" t="s">
        <v>1546</v>
      </c>
      <c r="M241" s="106" t="str">
        <f>IF(COUNT('Reported Financials'!E241:H241)=0,"",IF(SUMPRODUCT(--ISNUMBER('Reported Financials'!E241:H241),--(E241:H241=""))=0,"OK","source missing"))</f>
        <v>OK</v>
      </c>
    </row>
    <row r="242" spans="2:13" ht="15" customHeight="1" x14ac:dyDescent="0.35">
      <c r="B242" s="40" t="s">
        <v>1097</v>
      </c>
      <c r="F242" s="41" t="s">
        <v>1536</v>
      </c>
      <c r="G242" s="41" t="s">
        <v>1537</v>
      </c>
      <c r="H242" s="41" t="s">
        <v>1537</v>
      </c>
      <c r="J242" s="105" t="s">
        <v>1097</v>
      </c>
      <c r="K242" s="105" t="s">
        <v>1546</v>
      </c>
      <c r="M242" s="106" t="str">
        <f>IF(COUNT('Reported Financials'!E242:H242)=0,"",IF(SUMPRODUCT(--ISNUMBER('Reported Financials'!E242:H242),--(E242:H242=""))=0,"OK","source missing"))</f>
        <v>OK</v>
      </c>
    </row>
    <row r="243" spans="2:13" ht="15" customHeight="1" x14ac:dyDescent="0.35">
      <c r="B243" s="40" t="s">
        <v>1293</v>
      </c>
      <c r="F243" s="41" t="s">
        <v>1536</v>
      </c>
      <c r="G243" s="41" t="s">
        <v>1537</v>
      </c>
      <c r="H243" s="41" t="s">
        <v>1537</v>
      </c>
      <c r="J243" s="105" t="s">
        <v>1293</v>
      </c>
      <c r="K243" s="105" t="s">
        <v>1546</v>
      </c>
      <c r="M243" s="106" t="str">
        <f>IF(COUNT('Reported Financials'!E243:H243)=0,"",IF(SUMPRODUCT(--ISNUMBER('Reported Financials'!E243:H243),--(E243:H243=""))=0,"OK","source missing"))</f>
        <v>OK</v>
      </c>
    </row>
    <row r="244" spans="2:13" ht="15" customHeight="1" x14ac:dyDescent="0.35">
      <c r="B244" s="40" t="s">
        <v>1294</v>
      </c>
      <c r="F244" s="41" t="s">
        <v>1536</v>
      </c>
      <c r="G244" s="41" t="s">
        <v>1537</v>
      </c>
      <c r="H244" s="41" t="s">
        <v>1537</v>
      </c>
      <c r="J244" s="105" t="s">
        <v>1294</v>
      </c>
      <c r="K244" s="105" t="s">
        <v>1546</v>
      </c>
      <c r="M244" s="106" t="str">
        <f>IF(COUNT('Reported Financials'!E244:H244)=0,"",IF(SUMPRODUCT(--ISNUMBER('Reported Financials'!E244:H244),--(E244:H244=""))=0,"OK","source missing"))</f>
        <v>OK</v>
      </c>
    </row>
    <row r="245" spans="2:13" ht="15" customHeight="1" x14ac:dyDescent="0.35">
      <c r="B245" s="40" t="s">
        <v>1128</v>
      </c>
      <c r="F245" s="41" t="s">
        <v>1536</v>
      </c>
      <c r="G245" s="41" t="s">
        <v>1537</v>
      </c>
      <c r="H245" s="41" t="s">
        <v>1537</v>
      </c>
      <c r="J245" s="105" t="s">
        <v>1128</v>
      </c>
      <c r="K245" s="105" t="s">
        <v>1546</v>
      </c>
      <c r="M245" s="106" t="str">
        <f>IF(COUNT('Reported Financials'!E245:H245)=0,"",IF(SUMPRODUCT(--ISNUMBER('Reported Financials'!E245:H245),--(E245:H245=""))=0,"OK","source missing"))</f>
        <v>OK</v>
      </c>
    </row>
    <row r="246" spans="2:13" ht="15" customHeight="1" x14ac:dyDescent="0.35">
      <c r="B246" s="40" t="s">
        <v>1132</v>
      </c>
      <c r="F246" s="41" t="s">
        <v>1536</v>
      </c>
      <c r="G246" s="41" t="s">
        <v>1537</v>
      </c>
      <c r="H246" s="41" t="s">
        <v>1537</v>
      </c>
      <c r="J246" s="105" t="s">
        <v>1132</v>
      </c>
      <c r="K246" s="105" t="s">
        <v>1546</v>
      </c>
      <c r="M246" s="106" t="str">
        <f>IF(COUNT('Reported Financials'!E246:H246)=0,"",IF(SUMPRODUCT(--ISNUMBER('Reported Financials'!E246:H246),--(E246:H246=""))=0,"OK","source missing"))</f>
        <v>OK</v>
      </c>
    </row>
    <row r="247" spans="2:13" ht="15" customHeight="1" x14ac:dyDescent="0.35">
      <c r="B247" s="40" t="s">
        <v>1192</v>
      </c>
      <c r="F247" s="41" t="s">
        <v>1536</v>
      </c>
      <c r="G247" s="41" t="s">
        <v>1537</v>
      </c>
      <c r="H247" s="41" t="s">
        <v>1537</v>
      </c>
      <c r="J247" s="105" t="s">
        <v>1192</v>
      </c>
      <c r="K247" s="105" t="s">
        <v>1546</v>
      </c>
      <c r="M247" s="106" t="str">
        <f>IF(COUNT('Reported Financials'!E247:H247)=0,"",IF(SUMPRODUCT(--ISNUMBER('Reported Financials'!E247:H247),--(E247:H247=""))=0,"OK","source missing"))</f>
        <v>OK</v>
      </c>
    </row>
    <row r="248" spans="2:13" ht="15" customHeight="1" x14ac:dyDescent="0.35">
      <c r="B248" s="40" t="s">
        <v>1193</v>
      </c>
      <c r="F248" s="41" t="s">
        <v>1536</v>
      </c>
      <c r="G248" s="41" t="s">
        <v>1537</v>
      </c>
      <c r="H248" s="41" t="s">
        <v>1537</v>
      </c>
      <c r="J248" s="105" t="s">
        <v>1193</v>
      </c>
      <c r="K248" s="105" t="s">
        <v>1546</v>
      </c>
      <c r="M248" s="106" t="str">
        <f>IF(COUNT('Reported Financials'!E248:H248)=0,"",IF(SUMPRODUCT(--ISNUMBER('Reported Financials'!E248:H248),--(E248:H248=""))=0,"OK","source missing"))</f>
        <v>OK</v>
      </c>
    </row>
    <row r="249" spans="2:13" ht="15" customHeight="1" x14ac:dyDescent="0.35">
      <c r="B249" s="40" t="s">
        <v>1207</v>
      </c>
      <c r="E249" s="41" t="s">
        <v>1621</v>
      </c>
      <c r="F249" s="41" t="s">
        <v>1622</v>
      </c>
      <c r="G249" s="41" t="s">
        <v>1623</v>
      </c>
      <c r="H249" s="41" t="s">
        <v>1623</v>
      </c>
      <c r="J249" s="105" t="s">
        <v>1207</v>
      </c>
      <c r="K249" s="105" t="s">
        <v>1546</v>
      </c>
      <c r="M249" s="106" t="str">
        <f>IF(COUNT('Reported Financials'!E249:H249)=0,"",IF(SUMPRODUCT(--ISNUMBER('Reported Financials'!E249:H249),--(E249:H249=""))=0,"OK","source missing"))</f>
        <v>OK</v>
      </c>
    </row>
    <row r="250" spans="2:13" ht="15" customHeight="1" x14ac:dyDescent="0.35">
      <c r="B250" s="40" t="s">
        <v>1219</v>
      </c>
      <c r="E250" s="41" t="s">
        <v>1621</v>
      </c>
      <c r="F250" s="41" t="s">
        <v>1622</v>
      </c>
      <c r="G250" s="41" t="s">
        <v>1623</v>
      </c>
      <c r="H250" s="41" t="s">
        <v>1623</v>
      </c>
      <c r="J250" s="105" t="s">
        <v>1219</v>
      </c>
      <c r="K250" s="105" t="s">
        <v>1546</v>
      </c>
      <c r="M250" s="106" t="str">
        <f>IF(COUNT('Reported Financials'!E250:H250)=0,"",IF(SUMPRODUCT(--ISNUMBER('Reported Financials'!E250:H250),--(E250:H250=""))=0,"OK","source missing"))</f>
        <v>OK</v>
      </c>
    </row>
    <row r="251" spans="2:13" ht="15" customHeight="1" x14ac:dyDescent="0.35">
      <c r="B251" s="40" t="s">
        <v>1220</v>
      </c>
      <c r="E251" s="41" t="s">
        <v>1621</v>
      </c>
      <c r="F251" s="41" t="s">
        <v>1622</v>
      </c>
      <c r="G251" s="41" t="s">
        <v>1623</v>
      </c>
      <c r="H251" s="41" t="s">
        <v>1623</v>
      </c>
      <c r="J251" s="105" t="s">
        <v>1220</v>
      </c>
      <c r="K251" s="105" t="s">
        <v>1546</v>
      </c>
      <c r="M251" s="106" t="str">
        <f>IF(COUNT('Reported Financials'!E251:H251)=0,"",IF(SUMPRODUCT(--ISNUMBER('Reported Financials'!E251:H251),--(E251:H251=""))=0,"OK","source missing"))</f>
        <v>OK</v>
      </c>
    </row>
    <row r="252" spans="2:13" ht="15" customHeight="1" x14ac:dyDescent="0.35">
      <c r="B252" s="40" t="s">
        <v>1227</v>
      </c>
      <c r="E252" s="41" t="s">
        <v>1621</v>
      </c>
      <c r="F252" s="41" t="s">
        <v>1622</v>
      </c>
      <c r="G252" s="41" t="s">
        <v>1623</v>
      </c>
      <c r="H252" s="41" t="s">
        <v>1623</v>
      </c>
      <c r="J252" s="105" t="s">
        <v>1227</v>
      </c>
      <c r="K252" s="105" t="s">
        <v>1546</v>
      </c>
      <c r="M252" s="106" t="str">
        <f>IF(COUNT('Reported Financials'!E252:H252)=0,"",IF(SUMPRODUCT(--ISNUMBER('Reported Financials'!E252:H252),--(E252:H252=""))=0,"OK","source missing"))</f>
        <v>OK</v>
      </c>
    </row>
    <row r="253" spans="2:13" ht="15" customHeight="1" x14ac:dyDescent="0.35">
      <c r="B253" s="40" t="s">
        <v>1229</v>
      </c>
      <c r="E253" s="41" t="s">
        <v>1621</v>
      </c>
      <c r="F253" s="41" t="s">
        <v>1622</v>
      </c>
      <c r="G253" s="41" t="s">
        <v>1623</v>
      </c>
      <c r="H253" s="41" t="s">
        <v>1623</v>
      </c>
      <c r="J253" s="105" t="s">
        <v>1229</v>
      </c>
      <c r="K253" s="105" t="s">
        <v>1546</v>
      </c>
      <c r="M253" s="106" t="str">
        <f>IF(COUNT('Reported Financials'!E253:H253)=0,"",IF(SUMPRODUCT(--ISNUMBER('Reported Financials'!E253:H253),--(E253:H253=""))=0,"OK","source missing"))</f>
        <v>OK</v>
      </c>
    </row>
    <row r="254" spans="2:13" ht="15" customHeight="1" x14ac:dyDescent="0.35">
      <c r="B254" s="40" t="s">
        <v>1236</v>
      </c>
      <c r="E254" s="41" t="s">
        <v>1621</v>
      </c>
      <c r="F254" s="41" t="s">
        <v>1622</v>
      </c>
      <c r="G254" s="41" t="s">
        <v>1623</v>
      </c>
      <c r="H254" s="41" t="s">
        <v>1623</v>
      </c>
      <c r="J254" s="105" t="s">
        <v>1236</v>
      </c>
      <c r="K254" s="105" t="s">
        <v>1546</v>
      </c>
      <c r="M254" s="106" t="str">
        <f>IF(COUNT('Reported Financials'!E254:H254)=0,"",IF(SUMPRODUCT(--ISNUMBER('Reported Financials'!E254:H254),--(E254:H254=""))=0,"OK","source missing"))</f>
        <v>OK</v>
      </c>
    </row>
    <row r="255" spans="2:13" ht="15" customHeight="1" x14ac:dyDescent="0.35">
      <c r="B255" s="40" t="s">
        <v>1245</v>
      </c>
      <c r="E255" s="41" t="s">
        <v>1621</v>
      </c>
      <c r="F255" s="41" t="s">
        <v>1622</v>
      </c>
      <c r="G255" s="41" t="s">
        <v>1623</v>
      </c>
      <c r="H255" s="41" t="s">
        <v>1623</v>
      </c>
      <c r="J255" s="105" t="s">
        <v>1245</v>
      </c>
      <c r="K255" s="105" t="s">
        <v>1546</v>
      </c>
      <c r="M255" s="106" t="str">
        <f>IF(COUNT('Reported Financials'!E255:H255)=0,"",IF(SUMPRODUCT(--ISNUMBER('Reported Financials'!E255:H255),--(E255:H255=""))=0,"OK","source missing"))</f>
        <v>OK</v>
      </c>
    </row>
    <row r="256" spans="2:13" ht="15" customHeight="1" x14ac:dyDescent="0.35">
      <c r="B256" s="40" t="s">
        <v>1246</v>
      </c>
      <c r="E256" s="41" t="s">
        <v>1621</v>
      </c>
      <c r="F256" s="41" t="s">
        <v>1622</v>
      </c>
      <c r="G256" s="41" t="s">
        <v>1623</v>
      </c>
      <c r="H256" s="41" t="s">
        <v>1623</v>
      </c>
      <c r="J256" s="105" t="s">
        <v>1246</v>
      </c>
      <c r="K256" s="105" t="s">
        <v>1546</v>
      </c>
      <c r="M256" s="106" t="str">
        <f>IF(COUNT('Reported Financials'!E256:H256)=0,"",IF(SUMPRODUCT(--ISNUMBER('Reported Financials'!E256:H256),--(E256:H256=""))=0,"OK","source missing"))</f>
        <v>OK</v>
      </c>
    </row>
    <row r="257" spans="2:13" ht="15" customHeight="1" x14ac:dyDescent="0.35">
      <c r="B257" s="40" t="s">
        <v>1295</v>
      </c>
      <c r="E257" s="41" t="s">
        <v>1626</v>
      </c>
      <c r="F257" s="41" t="s">
        <v>1627</v>
      </c>
      <c r="G257" s="41" t="s">
        <v>1628</v>
      </c>
      <c r="H257" s="41" t="s">
        <v>1628</v>
      </c>
      <c r="J257" s="105" t="s">
        <v>1295</v>
      </c>
      <c r="K257" s="105" t="s">
        <v>1546</v>
      </c>
      <c r="M257" s="106" t="str">
        <f>IF(COUNT('Reported Financials'!E257:H257)=0,"",IF(SUMPRODUCT(--ISNUMBER('Reported Financials'!E257:H257),--(E257:H257=""))=0,"OK","source missing"))</f>
        <v>OK</v>
      </c>
    </row>
    <row r="258" spans="2:13" ht="15" customHeight="1" x14ac:dyDescent="0.35">
      <c r="B258" s="40" t="s">
        <v>1296</v>
      </c>
      <c r="E258" s="41" t="s">
        <v>1638</v>
      </c>
      <c r="F258" s="41" t="s">
        <v>1639</v>
      </c>
      <c r="G258" s="41" t="s">
        <v>1613</v>
      </c>
      <c r="H258" s="41" t="s">
        <v>1613</v>
      </c>
      <c r="J258" s="105" t="s">
        <v>1296</v>
      </c>
      <c r="K258" s="105" t="s">
        <v>1546</v>
      </c>
      <c r="M258" s="106" t="str">
        <f>IF(COUNT('Reported Financials'!E258:H258)=0,"",IF(SUMPRODUCT(--ISNUMBER('Reported Financials'!E258:H258),--(E258:H258=""))=0,"OK","source missing"))</f>
        <v>OK</v>
      </c>
    </row>
    <row r="259" spans="2:13" ht="15" customHeight="1" x14ac:dyDescent="0.35">
      <c r="B259" s="40" t="s">
        <v>1297</v>
      </c>
      <c r="E259" s="41" t="s">
        <v>1646</v>
      </c>
      <c r="F259" s="41" t="s">
        <v>1647</v>
      </c>
      <c r="G259" s="41" t="s">
        <v>1648</v>
      </c>
      <c r="H259" s="41" t="s">
        <v>1648</v>
      </c>
      <c r="J259" s="105" t="s">
        <v>1297</v>
      </c>
      <c r="K259" s="105" t="s">
        <v>1546</v>
      </c>
      <c r="M259" s="106" t="str">
        <f>IF(COUNT('Reported Financials'!E259:H259)=0,"",IF(SUMPRODUCT(--ISNUMBER('Reported Financials'!E259:H259),--(E259:H259=""))=0,"OK","source missing"))</f>
        <v>OK</v>
      </c>
    </row>
    <row r="261" spans="2:13" ht="15" customHeight="1" x14ac:dyDescent="0.35">
      <c r="B261" s="53" t="s">
        <v>1298</v>
      </c>
    </row>
    <row r="262" spans="2:13" ht="15" customHeight="1" x14ac:dyDescent="0.35">
      <c r="B262" s="40" t="s">
        <v>1299</v>
      </c>
      <c r="E262" s="107" t="s">
        <v>1539</v>
      </c>
      <c r="F262" s="107" t="s">
        <v>1539</v>
      </c>
      <c r="G262" s="107" t="s">
        <v>1539</v>
      </c>
      <c r="H262" s="107" t="s">
        <v>1539</v>
      </c>
      <c r="K262" s="108" t="s">
        <v>1540</v>
      </c>
    </row>
    <row r="263" spans="2:13" ht="15" customHeight="1" x14ac:dyDescent="0.35">
      <c r="B263" s="40" t="s">
        <v>1300</v>
      </c>
      <c r="F263" s="107" t="s">
        <v>1539</v>
      </c>
      <c r="G263" s="107" t="s">
        <v>1539</v>
      </c>
      <c r="H263" s="107" t="s">
        <v>1539</v>
      </c>
      <c r="K263" s="108" t="s">
        <v>1540</v>
      </c>
    </row>
    <row r="264" spans="2:13" ht="15" customHeight="1" x14ac:dyDescent="0.35">
      <c r="B264" s="40" t="s">
        <v>1301</v>
      </c>
      <c r="F264" s="107" t="s">
        <v>1539</v>
      </c>
      <c r="G264" s="107" t="s">
        <v>1539</v>
      </c>
      <c r="H264" s="107" t="s">
        <v>1539</v>
      </c>
      <c r="K264" s="108" t="s">
        <v>1540</v>
      </c>
    </row>
    <row r="265" spans="2:13" ht="15" customHeight="1" x14ac:dyDescent="0.35">
      <c r="B265" s="40" t="s">
        <v>1302</v>
      </c>
      <c r="F265" s="107" t="s">
        <v>1539</v>
      </c>
      <c r="G265" s="107" t="s">
        <v>1539</v>
      </c>
      <c r="H265" s="107" t="s">
        <v>1539</v>
      </c>
      <c r="K265" s="108" t="s">
        <v>1540</v>
      </c>
    </row>
    <row r="266" spans="2:13" ht="15" customHeight="1" x14ac:dyDescent="0.35">
      <c r="B266" s="40" t="s">
        <v>1303</v>
      </c>
      <c r="F266" s="107" t="s">
        <v>1539</v>
      </c>
      <c r="G266" s="107" t="s">
        <v>1539</v>
      </c>
      <c r="H266" s="107" t="s">
        <v>1539</v>
      </c>
      <c r="K266" s="108" t="s">
        <v>1540</v>
      </c>
    </row>
    <row r="267" spans="2:13" ht="15" customHeight="1" x14ac:dyDescent="0.35">
      <c r="B267" s="40" t="s">
        <v>1304</v>
      </c>
      <c r="F267" s="107" t="s">
        <v>1539</v>
      </c>
      <c r="G267" s="107" t="s">
        <v>1539</v>
      </c>
      <c r="H267" s="107" t="s">
        <v>1539</v>
      </c>
      <c r="K267" s="108" t="s">
        <v>1540</v>
      </c>
    </row>
    <row r="268" spans="2:13" ht="15" customHeight="1" x14ac:dyDescent="0.35">
      <c r="B268" s="40" t="s">
        <v>1305</v>
      </c>
      <c r="F268" s="107" t="s">
        <v>1539</v>
      </c>
      <c r="G268" s="107" t="s">
        <v>1539</v>
      </c>
      <c r="H268" s="107" t="s">
        <v>1539</v>
      </c>
      <c r="K268" s="108" t="s">
        <v>1540</v>
      </c>
    </row>
    <row r="269" spans="2:13" ht="15" customHeight="1" x14ac:dyDescent="0.35">
      <c r="B269" s="40" t="s">
        <v>1306</v>
      </c>
      <c r="F269" s="107" t="s">
        <v>1539</v>
      </c>
      <c r="G269" s="107" t="s">
        <v>1539</v>
      </c>
      <c r="H269" s="107" t="s">
        <v>1539</v>
      </c>
      <c r="K269" s="108" t="s">
        <v>1540</v>
      </c>
    </row>
    <row r="270" spans="2:13" ht="15" customHeight="1" x14ac:dyDescent="0.35">
      <c r="B270" s="40" t="s">
        <v>1307</v>
      </c>
      <c r="F270" s="107" t="s">
        <v>1539</v>
      </c>
      <c r="G270" s="107" t="s">
        <v>1539</v>
      </c>
      <c r="H270" s="107" t="s">
        <v>1539</v>
      </c>
      <c r="K270" s="108" t="s">
        <v>1540</v>
      </c>
    </row>
    <row r="271" spans="2:13" ht="15" customHeight="1" x14ac:dyDescent="0.35">
      <c r="B271" s="40" t="s">
        <v>1308</v>
      </c>
      <c r="E271" s="107" t="s">
        <v>1539</v>
      </c>
      <c r="F271" s="107" t="s">
        <v>1539</v>
      </c>
      <c r="G271" s="107" t="s">
        <v>1539</v>
      </c>
      <c r="H271" s="107" t="s">
        <v>1539</v>
      </c>
      <c r="K271" s="108" t="s">
        <v>1540</v>
      </c>
    </row>
    <row r="272" spans="2:13" ht="15" customHeight="1" x14ac:dyDescent="0.35">
      <c r="B272" s="40" t="s">
        <v>1309</v>
      </c>
      <c r="E272" s="107" t="s">
        <v>1539</v>
      </c>
      <c r="F272" s="107" t="s">
        <v>1539</v>
      </c>
      <c r="G272" s="107" t="s">
        <v>1539</v>
      </c>
      <c r="H272" s="107" t="s">
        <v>1539</v>
      </c>
      <c r="K272" s="108" t="s">
        <v>1540</v>
      </c>
    </row>
    <row r="273" spans="2:11" ht="15" customHeight="1" x14ac:dyDescent="0.35">
      <c r="B273" s="40" t="s">
        <v>1310</v>
      </c>
      <c r="E273" s="107" t="s">
        <v>1539</v>
      </c>
      <c r="F273" s="107" t="s">
        <v>1539</v>
      </c>
      <c r="G273" s="107" t="s">
        <v>1539</v>
      </c>
      <c r="H273" s="107" t="s">
        <v>1539</v>
      </c>
      <c r="K273" s="108" t="s">
        <v>1540</v>
      </c>
    </row>
    <row r="274" spans="2:11" ht="15" customHeight="1" x14ac:dyDescent="0.35">
      <c r="B274" s="40" t="s">
        <v>1311</v>
      </c>
      <c r="E274" s="107" t="s">
        <v>1539</v>
      </c>
      <c r="F274" s="107" t="s">
        <v>1539</v>
      </c>
      <c r="G274" s="107" t="s">
        <v>1539</v>
      </c>
      <c r="H274" s="107" t="s">
        <v>1539</v>
      </c>
      <c r="K274" s="108" t="s">
        <v>1540</v>
      </c>
    </row>
    <row r="275" spans="2:11" ht="15" customHeight="1" x14ac:dyDescent="0.35">
      <c r="B275" s="40" t="s">
        <v>1312</v>
      </c>
      <c r="E275" s="107" t="s">
        <v>1539</v>
      </c>
      <c r="F275" s="107" t="s">
        <v>1539</v>
      </c>
      <c r="G275" s="107" t="s">
        <v>1539</v>
      </c>
      <c r="H275" s="107" t="s">
        <v>1539</v>
      </c>
      <c r="K275" s="108" t="s">
        <v>1540</v>
      </c>
    </row>
    <row r="276" spans="2:11" ht="15" customHeight="1" x14ac:dyDescent="0.35">
      <c r="B276" s="40" t="s">
        <v>1313</v>
      </c>
      <c r="E276" s="107" t="s">
        <v>1539</v>
      </c>
      <c r="F276" s="107" t="s">
        <v>1539</v>
      </c>
      <c r="G276" s="107" t="s">
        <v>1539</v>
      </c>
      <c r="H276" s="107" t="s">
        <v>1539</v>
      </c>
      <c r="K276" s="108" t="s">
        <v>1540</v>
      </c>
    </row>
    <row r="277" spans="2:11" ht="15" customHeight="1" x14ac:dyDescent="0.35">
      <c r="B277" s="40" t="s">
        <v>1314</v>
      </c>
      <c r="E277" s="107" t="s">
        <v>1539</v>
      </c>
      <c r="F277" s="107" t="s">
        <v>1539</v>
      </c>
      <c r="G277" s="107" t="s">
        <v>1539</v>
      </c>
      <c r="H277" s="107" t="s">
        <v>1539</v>
      </c>
      <c r="K277" s="108" t="s">
        <v>1540</v>
      </c>
    </row>
    <row r="278" spans="2:11" ht="15" customHeight="1" x14ac:dyDescent="0.35">
      <c r="B278" s="40" t="s">
        <v>1315</v>
      </c>
      <c r="E278" s="107" t="s">
        <v>1539</v>
      </c>
      <c r="F278" s="107" t="s">
        <v>1539</v>
      </c>
      <c r="G278" s="107" t="s">
        <v>1539</v>
      </c>
      <c r="H278" s="107" t="s">
        <v>1539</v>
      </c>
      <c r="K278" s="108" t="s">
        <v>1540</v>
      </c>
    </row>
    <row r="279" spans="2:11" ht="15" customHeight="1" x14ac:dyDescent="0.35">
      <c r="B279" s="40" t="s">
        <v>1316</v>
      </c>
      <c r="E279" s="107" t="s">
        <v>1539</v>
      </c>
      <c r="F279" s="107" t="s">
        <v>1539</v>
      </c>
      <c r="G279" s="107" t="s">
        <v>1539</v>
      </c>
      <c r="H279" s="107" t="s">
        <v>1539</v>
      </c>
      <c r="K279" s="108" t="s">
        <v>1540</v>
      </c>
    </row>
    <row r="280" spans="2:11" ht="15" customHeight="1" x14ac:dyDescent="0.35">
      <c r="B280" s="40" t="s">
        <v>1317</v>
      </c>
      <c r="E280" s="107" t="s">
        <v>1539</v>
      </c>
      <c r="F280" s="107" t="s">
        <v>1539</v>
      </c>
      <c r="G280" s="107" t="s">
        <v>1539</v>
      </c>
      <c r="H280" s="107" t="s">
        <v>1539</v>
      </c>
      <c r="K280" s="108" t="s">
        <v>1540</v>
      </c>
    </row>
    <row r="281" spans="2:11" ht="15" customHeight="1" x14ac:dyDescent="0.35">
      <c r="B281" s="40" t="s">
        <v>1318</v>
      </c>
      <c r="E281" s="107" t="s">
        <v>1539</v>
      </c>
      <c r="F281" s="107" t="s">
        <v>1539</v>
      </c>
      <c r="G281" s="107" t="s">
        <v>1539</v>
      </c>
      <c r="H281" s="107" t="s">
        <v>1539</v>
      </c>
      <c r="K281" s="108" t="s">
        <v>1540</v>
      </c>
    </row>
    <row r="282" spans="2:11" ht="15" customHeight="1" x14ac:dyDescent="0.35">
      <c r="B282" s="40" t="s">
        <v>1064</v>
      </c>
      <c r="F282" s="107" t="s">
        <v>1539</v>
      </c>
      <c r="G282" s="107" t="s">
        <v>1539</v>
      </c>
      <c r="H282" s="107" t="s">
        <v>1539</v>
      </c>
      <c r="K282" s="108" t="s">
        <v>1540</v>
      </c>
    </row>
    <row r="283" spans="2:11" ht="15" customHeight="1" x14ac:dyDescent="0.35">
      <c r="B283" s="40" t="s">
        <v>1070</v>
      </c>
      <c r="F283" s="107" t="s">
        <v>1539</v>
      </c>
      <c r="G283" s="107" t="s">
        <v>1539</v>
      </c>
      <c r="H283" s="107" t="s">
        <v>1539</v>
      </c>
      <c r="K283" s="108" t="s">
        <v>1540</v>
      </c>
    </row>
    <row r="284" spans="2:11" ht="15" customHeight="1" x14ac:dyDescent="0.35">
      <c r="B284" s="40" t="s">
        <v>1071</v>
      </c>
      <c r="F284" s="107" t="s">
        <v>1539</v>
      </c>
      <c r="G284" s="107" t="s">
        <v>1539</v>
      </c>
      <c r="H284" s="107" t="s">
        <v>1539</v>
      </c>
      <c r="K284" s="108" t="s">
        <v>1540</v>
      </c>
    </row>
    <row r="285" spans="2:11" ht="15" customHeight="1" x14ac:dyDescent="0.35">
      <c r="B285" s="40" t="s">
        <v>1082</v>
      </c>
      <c r="F285" s="107" t="s">
        <v>1539</v>
      </c>
      <c r="G285" s="107" t="s">
        <v>1539</v>
      </c>
      <c r="H285" s="107" t="s">
        <v>1539</v>
      </c>
      <c r="K285" s="108" t="s">
        <v>1540</v>
      </c>
    </row>
    <row r="286" spans="2:11" ht="15" customHeight="1" x14ac:dyDescent="0.35">
      <c r="B286" s="40" t="s">
        <v>1087</v>
      </c>
      <c r="F286" s="107" t="s">
        <v>1539</v>
      </c>
      <c r="G286" s="107" t="s">
        <v>1539</v>
      </c>
      <c r="H286" s="107" t="s">
        <v>1539</v>
      </c>
      <c r="K286" s="108" t="s">
        <v>1540</v>
      </c>
    </row>
    <row r="287" spans="2:11" ht="15" customHeight="1" x14ac:dyDescent="0.35">
      <c r="B287" s="40" t="s">
        <v>1093</v>
      </c>
      <c r="F287" s="107" t="s">
        <v>1539</v>
      </c>
      <c r="G287" s="107" t="s">
        <v>1539</v>
      </c>
      <c r="H287" s="107" t="s">
        <v>1539</v>
      </c>
      <c r="K287" s="108" t="s">
        <v>1540</v>
      </c>
    </row>
    <row r="288" spans="2:11" ht="15" customHeight="1" x14ac:dyDescent="0.35">
      <c r="B288" s="40" t="s">
        <v>1097</v>
      </c>
      <c r="F288" s="107" t="s">
        <v>1539</v>
      </c>
      <c r="G288" s="107" t="s">
        <v>1539</v>
      </c>
      <c r="H288" s="107" t="s">
        <v>1539</v>
      </c>
      <c r="K288" s="108" t="s">
        <v>1540</v>
      </c>
    </row>
    <row r="289" spans="2:11" ht="15" customHeight="1" x14ac:dyDescent="0.35">
      <c r="B289" s="40" t="s">
        <v>1293</v>
      </c>
      <c r="F289" s="107" t="s">
        <v>1539</v>
      </c>
      <c r="G289" s="107" t="s">
        <v>1539</v>
      </c>
      <c r="H289" s="107" t="s">
        <v>1539</v>
      </c>
      <c r="K289" s="108" t="s">
        <v>1540</v>
      </c>
    </row>
    <row r="290" spans="2:11" ht="15" customHeight="1" x14ac:dyDescent="0.35">
      <c r="B290" s="40" t="s">
        <v>1294</v>
      </c>
      <c r="F290" s="107" t="s">
        <v>1539</v>
      </c>
      <c r="G290" s="107" t="s">
        <v>1539</v>
      </c>
      <c r="H290" s="107" t="s">
        <v>1539</v>
      </c>
      <c r="K290" s="108" t="s">
        <v>1540</v>
      </c>
    </row>
    <row r="291" spans="2:11" ht="15" customHeight="1" x14ac:dyDescent="0.35">
      <c r="B291" s="40" t="s">
        <v>1128</v>
      </c>
      <c r="F291" s="107" t="s">
        <v>1539</v>
      </c>
      <c r="G291" s="107" t="s">
        <v>1539</v>
      </c>
      <c r="H291" s="107" t="s">
        <v>1539</v>
      </c>
      <c r="K291" s="108" t="s">
        <v>1540</v>
      </c>
    </row>
    <row r="292" spans="2:11" ht="15" customHeight="1" x14ac:dyDescent="0.35">
      <c r="B292" s="40" t="s">
        <v>1132</v>
      </c>
      <c r="F292" s="107" t="s">
        <v>1539</v>
      </c>
      <c r="G292" s="107" t="s">
        <v>1539</v>
      </c>
      <c r="H292" s="107" t="s">
        <v>1539</v>
      </c>
      <c r="K292" s="108" t="s">
        <v>1540</v>
      </c>
    </row>
    <row r="293" spans="2:11" ht="15" customHeight="1" x14ac:dyDescent="0.35">
      <c r="B293" s="40" t="s">
        <v>1192</v>
      </c>
      <c r="F293" s="107" t="s">
        <v>1539</v>
      </c>
      <c r="G293" s="107" t="s">
        <v>1539</v>
      </c>
      <c r="H293" s="107" t="s">
        <v>1539</v>
      </c>
      <c r="K293" s="108" t="s">
        <v>1540</v>
      </c>
    </row>
    <row r="294" spans="2:11" ht="15" customHeight="1" x14ac:dyDescent="0.35">
      <c r="B294" s="40" t="s">
        <v>1193</v>
      </c>
      <c r="F294" s="107" t="s">
        <v>1539</v>
      </c>
      <c r="G294" s="107" t="s">
        <v>1539</v>
      </c>
      <c r="H294" s="107" t="s">
        <v>1539</v>
      </c>
      <c r="K294" s="108" t="s">
        <v>1540</v>
      </c>
    </row>
    <row r="295" spans="2:11" ht="15" customHeight="1" x14ac:dyDescent="0.35">
      <c r="B295" s="40" t="s">
        <v>1207</v>
      </c>
      <c r="E295" s="107" t="s">
        <v>1539</v>
      </c>
      <c r="F295" s="107" t="s">
        <v>1539</v>
      </c>
      <c r="G295" s="107" t="s">
        <v>1539</v>
      </c>
      <c r="H295" s="107" t="s">
        <v>1539</v>
      </c>
      <c r="K295" s="108" t="s">
        <v>1540</v>
      </c>
    </row>
    <row r="296" spans="2:11" ht="15" customHeight="1" x14ac:dyDescent="0.35">
      <c r="B296" s="40" t="s">
        <v>1219</v>
      </c>
      <c r="E296" s="107" t="s">
        <v>1539</v>
      </c>
      <c r="F296" s="107" t="s">
        <v>1539</v>
      </c>
      <c r="G296" s="107" t="s">
        <v>1539</v>
      </c>
      <c r="H296" s="107" t="s">
        <v>1539</v>
      </c>
      <c r="K296" s="108" t="s">
        <v>1540</v>
      </c>
    </row>
    <row r="297" spans="2:11" ht="15" customHeight="1" x14ac:dyDescent="0.35">
      <c r="B297" s="40" t="s">
        <v>1220</v>
      </c>
      <c r="E297" s="107" t="s">
        <v>1539</v>
      </c>
      <c r="F297" s="107" t="s">
        <v>1539</v>
      </c>
      <c r="G297" s="107" t="s">
        <v>1539</v>
      </c>
      <c r="H297" s="107" t="s">
        <v>1539</v>
      </c>
      <c r="K297" s="108" t="s">
        <v>1540</v>
      </c>
    </row>
    <row r="298" spans="2:11" ht="15" customHeight="1" x14ac:dyDescent="0.35">
      <c r="B298" s="40" t="s">
        <v>1227</v>
      </c>
      <c r="E298" s="107" t="s">
        <v>1539</v>
      </c>
      <c r="F298" s="107" t="s">
        <v>1539</v>
      </c>
      <c r="G298" s="107" t="s">
        <v>1539</v>
      </c>
      <c r="H298" s="107" t="s">
        <v>1539</v>
      </c>
      <c r="K298" s="108" t="s">
        <v>1540</v>
      </c>
    </row>
    <row r="299" spans="2:11" ht="15" customHeight="1" x14ac:dyDescent="0.35">
      <c r="B299" s="40" t="s">
        <v>1229</v>
      </c>
      <c r="E299" s="107" t="s">
        <v>1539</v>
      </c>
      <c r="F299" s="107" t="s">
        <v>1539</v>
      </c>
      <c r="G299" s="107" t="s">
        <v>1539</v>
      </c>
      <c r="H299" s="107" t="s">
        <v>1539</v>
      </c>
      <c r="K299" s="108" t="s">
        <v>1540</v>
      </c>
    </row>
    <row r="300" spans="2:11" ht="15" customHeight="1" x14ac:dyDescent="0.35">
      <c r="B300" s="40" t="s">
        <v>1236</v>
      </c>
      <c r="E300" s="107" t="s">
        <v>1539</v>
      </c>
      <c r="F300" s="107" t="s">
        <v>1539</v>
      </c>
      <c r="G300" s="107" t="s">
        <v>1539</v>
      </c>
      <c r="H300" s="107" t="s">
        <v>1539</v>
      </c>
      <c r="K300" s="108" t="s">
        <v>1540</v>
      </c>
    </row>
    <row r="301" spans="2:11" ht="15" customHeight="1" x14ac:dyDescent="0.35">
      <c r="B301" s="40" t="s">
        <v>1245</v>
      </c>
      <c r="E301" s="107" t="s">
        <v>1539</v>
      </c>
      <c r="F301" s="107" t="s">
        <v>1539</v>
      </c>
      <c r="G301" s="107" t="s">
        <v>1539</v>
      </c>
      <c r="H301" s="107" t="s">
        <v>1539</v>
      </c>
      <c r="K301" s="108" t="s">
        <v>1540</v>
      </c>
    </row>
    <row r="302" spans="2:11" ht="15" customHeight="1" x14ac:dyDescent="0.35">
      <c r="B302" s="40" t="s">
        <v>1246</v>
      </c>
      <c r="E302" s="107" t="s">
        <v>1539</v>
      </c>
      <c r="F302" s="107" t="s">
        <v>1539</v>
      </c>
      <c r="G302" s="107" t="s">
        <v>1539</v>
      </c>
      <c r="H302" s="107" t="s">
        <v>1539</v>
      </c>
      <c r="K302" s="108" t="s">
        <v>1540</v>
      </c>
    </row>
    <row r="303" spans="2:11" ht="15" customHeight="1" x14ac:dyDescent="0.35">
      <c r="B303" s="40" t="s">
        <v>1295</v>
      </c>
      <c r="E303" s="107" t="s">
        <v>1539</v>
      </c>
      <c r="F303" s="107" t="s">
        <v>1539</v>
      </c>
      <c r="G303" s="107" t="s">
        <v>1539</v>
      </c>
      <c r="H303" s="107" t="s">
        <v>1539</v>
      </c>
      <c r="K303" s="108" t="s">
        <v>1540</v>
      </c>
    </row>
    <row r="304" spans="2:11" ht="15" customHeight="1" x14ac:dyDescent="0.35">
      <c r="B304" s="40" t="s">
        <v>1296</v>
      </c>
      <c r="E304" s="107" t="s">
        <v>1539</v>
      </c>
      <c r="F304" s="107" t="s">
        <v>1539</v>
      </c>
      <c r="G304" s="107" t="s">
        <v>1539</v>
      </c>
      <c r="H304" s="107" t="s">
        <v>1539</v>
      </c>
      <c r="K304" s="108" t="s">
        <v>1540</v>
      </c>
    </row>
    <row r="305" spans="1:13" ht="15" customHeight="1" x14ac:dyDescent="0.35">
      <c r="B305" s="40" t="s">
        <v>1297</v>
      </c>
      <c r="E305" s="107" t="s">
        <v>1539</v>
      </c>
      <c r="F305" s="107" t="s">
        <v>1539</v>
      </c>
      <c r="G305" s="107" t="s">
        <v>1539</v>
      </c>
      <c r="H305" s="107" t="s">
        <v>1539</v>
      </c>
      <c r="K305" s="108" t="s">
        <v>1540</v>
      </c>
    </row>
    <row r="306" spans="1:13" ht="15" customHeight="1" x14ac:dyDescent="0.35">
      <c r="B306" s="40" t="s">
        <v>1319</v>
      </c>
      <c r="E306" s="107" t="s">
        <v>1539</v>
      </c>
      <c r="F306" s="107" t="s">
        <v>1539</v>
      </c>
      <c r="G306" s="107" t="s">
        <v>1539</v>
      </c>
      <c r="H306" s="107" t="s">
        <v>1539</v>
      </c>
      <c r="K306" s="108" t="s">
        <v>1540</v>
      </c>
    </row>
    <row r="307" spans="1:13" ht="15" customHeight="1" x14ac:dyDescent="0.35">
      <c r="B307" s="40" t="s">
        <v>1320</v>
      </c>
      <c r="E307" s="107" t="s">
        <v>1539</v>
      </c>
      <c r="F307" s="107" t="s">
        <v>1539</v>
      </c>
      <c r="G307" s="107" t="s">
        <v>1539</v>
      </c>
      <c r="H307" s="107" t="s">
        <v>1539</v>
      </c>
      <c r="K307" s="108" t="s">
        <v>1540</v>
      </c>
    </row>
    <row r="308" spans="1:13" ht="15" customHeight="1" x14ac:dyDescent="0.35">
      <c r="B308" s="40" t="s">
        <v>1321</v>
      </c>
      <c r="E308" s="107" t="s">
        <v>1539</v>
      </c>
      <c r="F308" s="107" t="s">
        <v>1539</v>
      </c>
      <c r="G308" s="107" t="s">
        <v>1539</v>
      </c>
      <c r="H308" s="107" t="s">
        <v>1539</v>
      </c>
      <c r="K308" s="108" t="s">
        <v>1540</v>
      </c>
    </row>
    <row r="309" spans="1:13" ht="15" customHeight="1" x14ac:dyDescent="0.35">
      <c r="B309" s="40" t="s">
        <v>1322</v>
      </c>
      <c r="F309" s="107" t="s">
        <v>1539</v>
      </c>
      <c r="G309" s="107" t="s">
        <v>1539</v>
      </c>
      <c r="H309" s="107" t="s">
        <v>1539</v>
      </c>
      <c r="K309" s="108" t="s">
        <v>1540</v>
      </c>
    </row>
    <row r="310" spans="1:13" ht="15" customHeight="1" x14ac:dyDescent="0.35">
      <c r="B310" s="40" t="s">
        <v>1323</v>
      </c>
      <c r="F310" s="107" t="s">
        <v>1539</v>
      </c>
      <c r="G310" s="107" t="s">
        <v>1539</v>
      </c>
      <c r="H310" s="107" t="s">
        <v>1539</v>
      </c>
      <c r="K310" s="108" t="s">
        <v>1540</v>
      </c>
    </row>
    <row r="311" spans="1:13" ht="15" customHeight="1" x14ac:dyDescent="0.35">
      <c r="B311" s="40" t="s">
        <v>1324</v>
      </c>
      <c r="F311" s="107" t="s">
        <v>1539</v>
      </c>
      <c r="G311" s="107" t="s">
        <v>1539</v>
      </c>
      <c r="H311" s="107" t="s">
        <v>1539</v>
      </c>
      <c r="K311" s="108" t="s">
        <v>1540</v>
      </c>
    </row>
    <row r="313" spans="1:13" ht="15" customHeight="1" x14ac:dyDescent="0.35">
      <c r="B313" s="71" t="s">
        <v>1666</v>
      </c>
      <c r="C313" s="27"/>
      <c r="D313" s="27"/>
      <c r="E313" s="27"/>
      <c r="F313" s="27"/>
      <c r="G313" s="27"/>
      <c r="H313" s="27"/>
      <c r="I313" s="15"/>
      <c r="J313" s="15"/>
      <c r="K313" s="15"/>
      <c r="L313" s="15"/>
      <c r="M313" s="111" t="str">
        <f>IF(COUNTIF(M10:M312,"source missing")=0,"ALL OK",COUNTIF(M10:M312,"source missing")&amp;" missing")</f>
        <v>ALL OK</v>
      </c>
    </row>
    <row r="315" spans="1:13" ht="15" customHeight="1" x14ac:dyDescent="0.35">
      <c r="A315" s="38"/>
      <c r="B315" s="29"/>
    </row>
    <row r="317" spans="1:13" ht="15" customHeight="1" x14ac:dyDescent="0.35">
      <c r="A317" s="17" t="s">
        <v>5</v>
      </c>
      <c r="B317" s="18" t="s">
        <v>1325</v>
      </c>
      <c r="C317" s="15"/>
      <c r="D317" s="15"/>
      <c r="E317" s="15"/>
      <c r="F317" s="15"/>
      <c r="G317" s="15"/>
      <c r="H317" s="15"/>
      <c r="I317" s="15"/>
      <c r="J317" s="15"/>
      <c r="K317" s="15"/>
      <c r="L317" s="15"/>
    </row>
    <row r="319" spans="1:13" ht="15" customHeight="1" x14ac:dyDescent="0.35">
      <c r="B319" s="74" t="s">
        <v>1326</v>
      </c>
      <c r="J319" s="21" t="s">
        <v>1667</v>
      </c>
      <c r="K319" s="21" t="s">
        <v>1546</v>
      </c>
    </row>
    <row r="320" spans="1:13" ht="15" customHeight="1" x14ac:dyDescent="0.35">
      <c r="B320" s="74" t="s">
        <v>1328</v>
      </c>
      <c r="J320" s="21" t="s">
        <v>1665</v>
      </c>
      <c r="K320" s="21" t="s">
        <v>1546</v>
      </c>
    </row>
    <row r="321" spans="1:13" ht="15" customHeight="1" x14ac:dyDescent="0.35">
      <c r="B321" s="74" t="s">
        <v>1330</v>
      </c>
      <c r="J321" s="21" t="s">
        <v>1665</v>
      </c>
      <c r="K321" s="21" t="s">
        <v>1546</v>
      </c>
    </row>
    <row r="322" spans="1:13" ht="15" customHeight="1" x14ac:dyDescent="0.35">
      <c r="B322" s="74" t="s">
        <v>1332</v>
      </c>
      <c r="J322" s="21" t="s">
        <v>1668</v>
      </c>
      <c r="K322" s="21" t="s">
        <v>1546</v>
      </c>
    </row>
    <row r="323" spans="1:13" ht="15" customHeight="1" x14ac:dyDescent="0.35">
      <c r="B323" s="74" t="s">
        <v>1334</v>
      </c>
      <c r="J323" s="21" t="s">
        <v>1668</v>
      </c>
      <c r="K323" s="21" t="s">
        <v>1546</v>
      </c>
    </row>
    <row r="324" spans="1:13" ht="15" customHeight="1" x14ac:dyDescent="0.35">
      <c r="B324" s="74" t="s">
        <v>1335</v>
      </c>
      <c r="J324" s="21" t="s">
        <v>1665</v>
      </c>
      <c r="K324" s="21" t="s">
        <v>1546</v>
      </c>
    </row>
    <row r="325" spans="1:13" ht="15" customHeight="1" x14ac:dyDescent="0.35">
      <c r="B325" s="74" t="s">
        <v>1337</v>
      </c>
      <c r="J325" s="21" t="s">
        <v>1665</v>
      </c>
      <c r="K325" s="21" t="s">
        <v>1546</v>
      </c>
    </row>
    <row r="326" spans="1:13" ht="15" customHeight="1" x14ac:dyDescent="0.35">
      <c r="B326" s="74" t="s">
        <v>1339</v>
      </c>
      <c r="J326" s="21" t="s">
        <v>1665</v>
      </c>
      <c r="K326" s="21" t="s">
        <v>1546</v>
      </c>
    </row>
    <row r="327" spans="1:13" ht="15" customHeight="1" x14ac:dyDescent="0.35">
      <c r="B327" s="74" t="s">
        <v>1341</v>
      </c>
      <c r="J327" s="21" t="s">
        <v>1669</v>
      </c>
      <c r="K327" s="21" t="s">
        <v>1546</v>
      </c>
    </row>
    <row r="328" spans="1:13" ht="15" customHeight="1" x14ac:dyDescent="0.35">
      <c r="B328" s="74" t="s">
        <v>1343</v>
      </c>
      <c r="J328" s="21" t="s">
        <v>1670</v>
      </c>
      <c r="K328" s="21" t="s">
        <v>1546</v>
      </c>
    </row>
    <row r="330" spans="1:13" ht="15" customHeight="1" x14ac:dyDescent="0.35">
      <c r="A330" s="17" t="s">
        <v>5</v>
      </c>
      <c r="B330" s="18" t="s">
        <v>1345</v>
      </c>
      <c r="C330" s="15"/>
      <c r="D330" s="15"/>
      <c r="E330" s="15"/>
      <c r="F330" s="15"/>
      <c r="G330" s="15"/>
      <c r="H330" s="15"/>
      <c r="I330" s="15"/>
      <c r="J330" s="15"/>
      <c r="K330" s="15"/>
      <c r="L330" s="15"/>
    </row>
    <row r="332" spans="1:13" ht="15" customHeight="1" x14ac:dyDescent="0.35">
      <c r="B332" s="73" t="s">
        <v>1346</v>
      </c>
    </row>
    <row r="333" spans="1:13" ht="15" customHeight="1" x14ac:dyDescent="0.35">
      <c r="B333" s="74" t="s">
        <v>1347</v>
      </c>
      <c r="C333" s="98" t="s">
        <v>1348</v>
      </c>
      <c r="F333" s="98" t="s">
        <v>1664</v>
      </c>
      <c r="G333" s="98" t="s">
        <v>1665</v>
      </c>
      <c r="H333" s="98" t="s">
        <v>1665</v>
      </c>
      <c r="J333" s="21" t="s">
        <v>1132</v>
      </c>
      <c r="K333" s="21" t="s">
        <v>1546</v>
      </c>
      <c r="M333" s="112" t="str">
        <f>IF(COUNT('Reported Financials'!E333:H333)=0,"",IF(SUMPRODUCT(--ISNUMBER('Reported Financials'!E333:H333),--(E333:H333=""))=0,"OK","source missing"))</f>
        <v>OK</v>
      </c>
    </row>
    <row r="334" spans="1:13" ht="15" customHeight="1" x14ac:dyDescent="0.35">
      <c r="B334" s="74" t="s">
        <v>1350</v>
      </c>
      <c r="C334" s="98" t="s">
        <v>1348</v>
      </c>
      <c r="F334" s="98" t="s">
        <v>1664</v>
      </c>
      <c r="G334" s="98" t="s">
        <v>1665</v>
      </c>
      <c r="H334" s="98" t="s">
        <v>1665</v>
      </c>
      <c r="J334" s="21" t="s">
        <v>1671</v>
      </c>
      <c r="K334" s="21" t="s">
        <v>1546</v>
      </c>
      <c r="M334" s="112" t="str">
        <f>IF(COUNT('Reported Financials'!E334:H334)=0,"",IF(SUMPRODUCT(--ISNUMBER('Reported Financials'!E334:H334),--(E334:H334=""))=0,"OK","source missing"))</f>
        <v>OK</v>
      </c>
    </row>
    <row r="335" spans="1:13" ht="15" customHeight="1" x14ac:dyDescent="0.35">
      <c r="B335" s="74" t="s">
        <v>1351</v>
      </c>
      <c r="C335" s="98" t="s">
        <v>1348</v>
      </c>
      <c r="F335" s="98" t="s">
        <v>1664</v>
      </c>
      <c r="G335" s="98" t="s">
        <v>1665</v>
      </c>
      <c r="H335" s="98" t="s">
        <v>1665</v>
      </c>
      <c r="J335" s="21" t="s">
        <v>1672</v>
      </c>
      <c r="K335" s="21" t="s">
        <v>1546</v>
      </c>
      <c r="M335" s="112" t="str">
        <f>IF(COUNT('Reported Financials'!E335:H335)=0,"",IF(SUMPRODUCT(--ISNUMBER('Reported Financials'!E335:H335),--(E335:H335=""))=0,"OK","source missing"))</f>
        <v>OK</v>
      </c>
    </row>
    <row r="336" spans="1:13" ht="15" customHeight="1" x14ac:dyDescent="0.35">
      <c r="B336" s="74" t="s">
        <v>1353</v>
      </c>
      <c r="C336" s="98" t="s">
        <v>1348</v>
      </c>
      <c r="F336" s="98" t="s">
        <v>1664</v>
      </c>
      <c r="G336" s="98" t="s">
        <v>1665</v>
      </c>
      <c r="H336" s="98" t="s">
        <v>1665</v>
      </c>
      <c r="J336" s="21" t="s">
        <v>1673</v>
      </c>
      <c r="K336" s="21" t="s">
        <v>1546</v>
      </c>
      <c r="M336" s="112" t="str">
        <f>IF(COUNT('Reported Financials'!E336:H336)=0,"",IF(SUMPRODUCT(--ISNUMBER('Reported Financials'!E336:H336),--(E336:H336=""))=0,"OK","source missing"))</f>
        <v>OK</v>
      </c>
    </row>
    <row r="337" spans="2:13" ht="15" customHeight="1" x14ac:dyDescent="0.35">
      <c r="B337" s="74" t="s">
        <v>1354</v>
      </c>
      <c r="C337" s="98" t="s">
        <v>1348</v>
      </c>
      <c r="F337" s="98" t="s">
        <v>1664</v>
      </c>
      <c r="G337" s="113"/>
      <c r="H337" s="113"/>
      <c r="J337" s="21" t="s">
        <v>1674</v>
      </c>
      <c r="K337" s="21" t="s">
        <v>1546</v>
      </c>
      <c r="M337" s="112" t="str">
        <f>IF(COUNT('Reported Financials'!E337:H337)=0,"",IF(SUMPRODUCT(--ISNUMBER('Reported Financials'!E337:H337),--(E337:H337=""))=0,"OK","source missing"))</f>
        <v>OK</v>
      </c>
    </row>
    <row r="338" spans="2:13" ht="15" customHeight="1" x14ac:dyDescent="0.35">
      <c r="B338" s="74" t="s">
        <v>1356</v>
      </c>
      <c r="C338" s="98" t="s">
        <v>1348</v>
      </c>
      <c r="F338" s="98" t="s">
        <v>1664</v>
      </c>
      <c r="G338" s="98" t="s">
        <v>1665</v>
      </c>
      <c r="H338" s="98" t="s">
        <v>1665</v>
      </c>
      <c r="J338" s="21" t="s">
        <v>1675</v>
      </c>
      <c r="K338" s="21" t="s">
        <v>1546</v>
      </c>
      <c r="M338" s="112" t="str">
        <f>IF(COUNT('Reported Financials'!E338:H338)=0,"",IF(SUMPRODUCT(--ISNUMBER('Reported Financials'!E338:H338),--(E338:H338=""))=0,"OK","source missing"))</f>
        <v>OK</v>
      </c>
    </row>
    <row r="339" spans="2:13" ht="15" customHeight="1" x14ac:dyDescent="0.35">
      <c r="B339" s="74" t="s">
        <v>1357</v>
      </c>
      <c r="C339" s="98" t="s">
        <v>1348</v>
      </c>
      <c r="F339" s="98" t="s">
        <v>1664</v>
      </c>
      <c r="G339" s="98" t="s">
        <v>1665</v>
      </c>
      <c r="H339" s="98" t="s">
        <v>1665</v>
      </c>
      <c r="J339" s="21" t="s">
        <v>1676</v>
      </c>
      <c r="K339" s="21" t="s">
        <v>1546</v>
      </c>
      <c r="M339" s="112" t="str">
        <f>IF(COUNT('Reported Financials'!E339:H339)=0,"",IF(SUMPRODUCT(--ISNUMBER('Reported Financials'!E339:H339),--(E339:H339=""))=0,"OK","source missing"))</f>
        <v>OK</v>
      </c>
    </row>
    <row r="340" spans="2:13" ht="15" customHeight="1" x14ac:dyDescent="0.35">
      <c r="B340" s="74" t="s">
        <v>1358</v>
      </c>
      <c r="C340" s="98" t="s">
        <v>1348</v>
      </c>
      <c r="F340" s="98" t="s">
        <v>1664</v>
      </c>
      <c r="G340" s="98" t="s">
        <v>1665</v>
      </c>
      <c r="H340" s="98" t="s">
        <v>1665</v>
      </c>
      <c r="J340" s="21" t="s">
        <v>1677</v>
      </c>
      <c r="K340" s="21" t="s">
        <v>1546</v>
      </c>
      <c r="M340" s="112" t="str">
        <f>IF(COUNT('Reported Financials'!E340:H340)=0,"",IF(SUMPRODUCT(--ISNUMBER('Reported Financials'!E340:H340),--(E340:H340=""))=0,"OK","source missing"))</f>
        <v>OK</v>
      </c>
    </row>
    <row r="341" spans="2:13" ht="15" customHeight="1" x14ac:dyDescent="0.35">
      <c r="B341" s="74" t="s">
        <v>1359</v>
      </c>
      <c r="C341" s="98" t="s">
        <v>1348</v>
      </c>
      <c r="F341" s="98" t="s">
        <v>1664</v>
      </c>
      <c r="G341" s="98" t="s">
        <v>1665</v>
      </c>
      <c r="H341" s="98" t="s">
        <v>1665</v>
      </c>
      <c r="J341" s="21" t="s">
        <v>1678</v>
      </c>
      <c r="K341" s="21" t="s">
        <v>1546</v>
      </c>
      <c r="M341" s="112" t="str">
        <f>IF(COUNT('Reported Financials'!E341:H341)=0,"",IF(SUMPRODUCT(--ISNUMBER('Reported Financials'!E341:H341),--(E341:H341=""))=0,"OK","source missing"))</f>
        <v>OK</v>
      </c>
    </row>
    <row r="342" spans="2:13" ht="15" customHeight="1" x14ac:dyDescent="0.35">
      <c r="B342" s="74" t="s">
        <v>1360</v>
      </c>
      <c r="C342" s="98" t="s">
        <v>1348</v>
      </c>
      <c r="F342" s="98" t="s">
        <v>1664</v>
      </c>
      <c r="G342" s="98" t="s">
        <v>1665</v>
      </c>
      <c r="H342" s="98" t="s">
        <v>1665</v>
      </c>
      <c r="J342" s="21" t="s">
        <v>1679</v>
      </c>
      <c r="K342" s="21" t="s">
        <v>1546</v>
      </c>
      <c r="M342" s="112" t="str">
        <f>IF(COUNT('Reported Financials'!E342:H342)=0,"",IF(SUMPRODUCT(--ISNUMBER('Reported Financials'!E342:H342),--(E342:H342=""))=0,"OK","source missing"))</f>
        <v>OK</v>
      </c>
    </row>
    <row r="343" spans="2:13" ht="15" customHeight="1" x14ac:dyDescent="0.35">
      <c r="B343" s="74" t="s">
        <v>1361</v>
      </c>
      <c r="C343" s="98" t="s">
        <v>1348</v>
      </c>
      <c r="F343" s="98" t="s">
        <v>1664</v>
      </c>
      <c r="G343" s="98" t="s">
        <v>1665</v>
      </c>
      <c r="H343" s="98" t="s">
        <v>1665</v>
      </c>
      <c r="J343" s="21" t="s">
        <v>1680</v>
      </c>
      <c r="K343" s="21" t="s">
        <v>1546</v>
      </c>
      <c r="M343" s="112" t="str">
        <f>IF(COUNT('Reported Financials'!E343:H343)=0,"",IF(SUMPRODUCT(--ISNUMBER('Reported Financials'!E343:H343),--(E343:H343=""))=0,"OK","source missing"))</f>
        <v>OK</v>
      </c>
    </row>
    <row r="344" spans="2:13" ht="15" customHeight="1" x14ac:dyDescent="0.35">
      <c r="B344" s="74" t="s">
        <v>1362</v>
      </c>
      <c r="C344" s="98" t="s">
        <v>1348</v>
      </c>
      <c r="F344" s="98" t="s">
        <v>1664</v>
      </c>
      <c r="G344" s="98" t="s">
        <v>1665</v>
      </c>
      <c r="H344" s="98" t="s">
        <v>1665</v>
      </c>
      <c r="J344" s="21" t="s">
        <v>1681</v>
      </c>
      <c r="K344" s="21" t="s">
        <v>1546</v>
      </c>
      <c r="M344" s="112" t="str">
        <f>IF(COUNT('Reported Financials'!E344:H344)=0,"",IF(SUMPRODUCT(--ISNUMBER('Reported Financials'!E344:H344),--(E344:H344=""))=0,"OK","source missing"))</f>
        <v>OK</v>
      </c>
    </row>
    <row r="345" spans="2:13" ht="15" customHeight="1" x14ac:dyDescent="0.35">
      <c r="B345" s="74" t="s">
        <v>1363</v>
      </c>
      <c r="C345" s="98" t="s">
        <v>1348</v>
      </c>
      <c r="F345" s="98" t="s">
        <v>1664</v>
      </c>
      <c r="G345" s="98" t="s">
        <v>1665</v>
      </c>
      <c r="H345" s="98" t="s">
        <v>1665</v>
      </c>
      <c r="J345" s="21" t="s">
        <v>1682</v>
      </c>
      <c r="K345" s="21" t="s">
        <v>1546</v>
      </c>
      <c r="M345" s="112" t="str">
        <f>IF(COUNT('Reported Financials'!E345:H345)=0,"",IF(SUMPRODUCT(--ISNUMBER('Reported Financials'!E345:H345),--(E345:H345=""))=0,"OK","source missing"))</f>
        <v>OK</v>
      </c>
    </row>
    <row r="346" spans="2:13" ht="15" customHeight="1" x14ac:dyDescent="0.35">
      <c r="B346" s="74" t="s">
        <v>1068</v>
      </c>
      <c r="F346" s="114" t="s">
        <v>1539</v>
      </c>
      <c r="G346" s="114" t="s">
        <v>1539</v>
      </c>
      <c r="H346" s="114" t="s">
        <v>1539</v>
      </c>
      <c r="K346" s="115" t="s">
        <v>1548</v>
      </c>
    </row>
    <row r="347" spans="2:13" ht="15" customHeight="1" x14ac:dyDescent="0.35">
      <c r="B347" s="77" t="s">
        <v>1279</v>
      </c>
      <c r="C347" s="102" t="s">
        <v>1348</v>
      </c>
      <c r="D347" s="78"/>
      <c r="E347" s="78"/>
      <c r="F347" s="116" t="s">
        <v>1539</v>
      </c>
      <c r="G347" s="116" t="s">
        <v>1539</v>
      </c>
      <c r="H347" s="116" t="s">
        <v>1539</v>
      </c>
      <c r="K347" s="115" t="s">
        <v>1683</v>
      </c>
    </row>
    <row r="349" spans="2:13" ht="15" customHeight="1" x14ac:dyDescent="0.35">
      <c r="B349" s="73" t="s">
        <v>1366</v>
      </c>
    </row>
    <row r="350" spans="2:13" ht="15" customHeight="1" x14ac:dyDescent="0.35">
      <c r="B350" s="74" t="s">
        <v>1367</v>
      </c>
      <c r="C350" s="98" t="s">
        <v>1348</v>
      </c>
      <c r="F350" s="98" t="s">
        <v>1664</v>
      </c>
      <c r="G350" s="98" t="s">
        <v>1665</v>
      </c>
      <c r="H350" s="98" t="s">
        <v>1665</v>
      </c>
      <c r="J350" s="21" t="s">
        <v>1684</v>
      </c>
      <c r="K350" s="21" t="s">
        <v>1546</v>
      </c>
      <c r="M350" s="112" t="str">
        <f>IF(COUNT('Reported Financials'!E350:H350)=0,"",IF(SUMPRODUCT(--ISNUMBER('Reported Financials'!E350:H350),--(E350:H350=""))=0,"OK","source missing"))</f>
        <v>OK</v>
      </c>
    </row>
    <row r="351" spans="2:13" ht="15" customHeight="1" x14ac:dyDescent="0.35">
      <c r="B351" s="74" t="s">
        <v>1368</v>
      </c>
      <c r="C351" s="98" t="s">
        <v>1348</v>
      </c>
      <c r="F351" s="98" t="s">
        <v>1664</v>
      </c>
      <c r="G351" s="98" t="s">
        <v>1665</v>
      </c>
      <c r="H351" s="98" t="s">
        <v>1665</v>
      </c>
      <c r="J351" s="21" t="s">
        <v>1685</v>
      </c>
      <c r="K351" s="21" t="s">
        <v>1546</v>
      </c>
      <c r="M351" s="112" t="str">
        <f>IF(COUNT('Reported Financials'!E351:H351)=0,"",IF(SUMPRODUCT(--ISNUMBER('Reported Financials'!E351:H351),--(E351:H351=""))=0,"OK","source missing"))</f>
        <v>OK</v>
      </c>
    </row>
    <row r="352" spans="2:13" ht="15" customHeight="1" x14ac:dyDescent="0.35">
      <c r="B352" s="74" t="s">
        <v>1370</v>
      </c>
      <c r="C352" s="98" t="s">
        <v>1348</v>
      </c>
      <c r="F352" s="98" t="s">
        <v>1664</v>
      </c>
      <c r="G352" s="98" t="s">
        <v>1665</v>
      </c>
      <c r="H352" s="98" t="s">
        <v>1665</v>
      </c>
      <c r="J352" s="21" t="s">
        <v>1686</v>
      </c>
      <c r="K352" s="21" t="s">
        <v>1546</v>
      </c>
      <c r="M352" s="112" t="str">
        <f>IF(COUNT('Reported Financials'!E352:H352)=0,"",IF(SUMPRODUCT(--ISNUMBER('Reported Financials'!E352:H352),--(E352:H352=""))=0,"OK","source missing"))</f>
        <v>OK</v>
      </c>
    </row>
    <row r="353" spans="2:13" ht="15" customHeight="1" x14ac:dyDescent="0.35">
      <c r="B353" s="74" t="s">
        <v>1371</v>
      </c>
      <c r="C353" s="98" t="s">
        <v>1348</v>
      </c>
      <c r="F353" s="98" t="s">
        <v>1664</v>
      </c>
      <c r="G353" s="98" t="s">
        <v>1665</v>
      </c>
      <c r="H353" s="98" t="s">
        <v>1665</v>
      </c>
      <c r="J353" s="21" t="s">
        <v>1687</v>
      </c>
      <c r="K353" s="21" t="s">
        <v>1546</v>
      </c>
      <c r="M353" s="112" t="str">
        <f>IF(COUNT('Reported Financials'!E353:H353)=0,"",IF(SUMPRODUCT(--ISNUMBER('Reported Financials'!E353:H353),--(E353:H353=""))=0,"OK","source missing"))</f>
        <v>OK</v>
      </c>
    </row>
    <row r="354" spans="2:13" ht="15" customHeight="1" x14ac:dyDescent="0.35">
      <c r="B354" s="74" t="s">
        <v>1372</v>
      </c>
      <c r="C354" s="98" t="s">
        <v>1348</v>
      </c>
      <c r="F354" s="98" t="s">
        <v>1664</v>
      </c>
      <c r="G354" s="98" t="s">
        <v>1665</v>
      </c>
      <c r="H354" s="98" t="s">
        <v>1665</v>
      </c>
      <c r="J354" s="21" t="s">
        <v>1688</v>
      </c>
      <c r="K354" s="21" t="s">
        <v>1546</v>
      </c>
      <c r="M354" s="112" t="str">
        <f>IF(COUNT('Reported Financials'!E354:H354)=0,"",IF(SUMPRODUCT(--ISNUMBER('Reported Financials'!E354:H354),--(E354:H354=""))=0,"OK","source missing"))</f>
        <v>OK</v>
      </c>
    </row>
    <row r="355" spans="2:13" ht="15" customHeight="1" x14ac:dyDescent="0.35">
      <c r="B355" s="74" t="s">
        <v>1374</v>
      </c>
      <c r="C355" s="98" t="s">
        <v>1348</v>
      </c>
      <c r="F355" s="98" t="s">
        <v>1664</v>
      </c>
      <c r="G355" s="113"/>
      <c r="H355" s="113"/>
      <c r="J355" s="21" t="s">
        <v>1689</v>
      </c>
      <c r="K355" s="21" t="s">
        <v>1546</v>
      </c>
      <c r="M355" s="112" t="str">
        <f>IF(COUNT('Reported Financials'!E355:H355)=0,"",IF(SUMPRODUCT(--ISNUMBER('Reported Financials'!E355:H355),--(E355:H355=""))=0,"OK","source missing"))</f>
        <v>OK</v>
      </c>
    </row>
    <row r="356" spans="2:13" ht="15" customHeight="1" x14ac:dyDescent="0.35">
      <c r="B356" s="74" t="s">
        <v>1068</v>
      </c>
      <c r="F356" s="114" t="s">
        <v>1539</v>
      </c>
      <c r="G356" s="114" t="s">
        <v>1539</v>
      </c>
      <c r="H356" s="114" t="s">
        <v>1539</v>
      </c>
      <c r="K356" s="115" t="s">
        <v>1548</v>
      </c>
    </row>
    <row r="357" spans="2:13" ht="15" customHeight="1" x14ac:dyDescent="0.35">
      <c r="B357" s="77" t="s">
        <v>1376</v>
      </c>
      <c r="C357" s="102" t="s">
        <v>1348</v>
      </c>
      <c r="D357" s="78"/>
      <c r="E357" s="78"/>
      <c r="F357" s="116" t="s">
        <v>1539</v>
      </c>
      <c r="G357" s="116" t="s">
        <v>1539</v>
      </c>
      <c r="H357" s="116" t="s">
        <v>1539</v>
      </c>
      <c r="K357" s="115" t="s">
        <v>1683</v>
      </c>
    </row>
    <row r="359" spans="2:13" ht="15" customHeight="1" x14ac:dyDescent="0.35">
      <c r="B359" s="73" t="s">
        <v>1377</v>
      </c>
    </row>
    <row r="360" spans="2:13" ht="15" customHeight="1" x14ac:dyDescent="0.35">
      <c r="B360" s="74" t="s">
        <v>1378</v>
      </c>
      <c r="C360" s="98" t="s">
        <v>1348</v>
      </c>
      <c r="F360" s="98" t="s">
        <v>1664</v>
      </c>
      <c r="G360" s="98" t="s">
        <v>1665</v>
      </c>
      <c r="H360" s="98" t="s">
        <v>1665</v>
      </c>
      <c r="J360" s="21" t="s">
        <v>1690</v>
      </c>
      <c r="K360" s="21" t="s">
        <v>1546</v>
      </c>
      <c r="M360" s="112" t="str">
        <f>IF(COUNT('Reported Financials'!E360:H360)=0,"",IF(SUMPRODUCT(--ISNUMBER('Reported Financials'!E360:H360),--(E360:H360=""))=0,"OK","source missing"))</f>
        <v>OK</v>
      </c>
    </row>
    <row r="361" spans="2:13" ht="15" customHeight="1" x14ac:dyDescent="0.35">
      <c r="B361" s="74" t="s">
        <v>1379</v>
      </c>
      <c r="C361" s="98" t="s">
        <v>1348</v>
      </c>
      <c r="F361" s="98" t="s">
        <v>1664</v>
      </c>
      <c r="G361" s="98" t="s">
        <v>1665</v>
      </c>
      <c r="H361" s="98" t="s">
        <v>1665</v>
      </c>
      <c r="J361" s="21" t="s">
        <v>1691</v>
      </c>
      <c r="K361" s="21" t="s">
        <v>1546</v>
      </c>
      <c r="M361" s="112" t="str">
        <f>IF(COUNT('Reported Financials'!E361:H361)=0,"",IF(SUMPRODUCT(--ISNUMBER('Reported Financials'!E361:H361),--(E361:H361=""))=0,"OK","source missing"))</f>
        <v>OK</v>
      </c>
    </row>
    <row r="362" spans="2:13" ht="15" customHeight="1" x14ac:dyDescent="0.35">
      <c r="B362" s="74" t="s">
        <v>1380</v>
      </c>
      <c r="C362" s="98" t="s">
        <v>1348</v>
      </c>
      <c r="F362" s="98" t="s">
        <v>1664</v>
      </c>
      <c r="G362" s="98" t="s">
        <v>1665</v>
      </c>
      <c r="H362" s="98" t="s">
        <v>1665</v>
      </c>
      <c r="J362" s="21" t="s">
        <v>1692</v>
      </c>
      <c r="K362" s="21" t="s">
        <v>1546</v>
      </c>
      <c r="M362" s="112" t="str">
        <f>IF(COUNT('Reported Financials'!E362:H362)=0,"",IF(SUMPRODUCT(--ISNUMBER('Reported Financials'!E362:H362),--(E362:H362=""))=0,"OK","source missing"))</f>
        <v>OK</v>
      </c>
    </row>
    <row r="363" spans="2:13" ht="15" customHeight="1" x14ac:dyDescent="0.35">
      <c r="B363" s="74" t="s">
        <v>898</v>
      </c>
      <c r="C363" s="98" t="s">
        <v>1348</v>
      </c>
      <c r="F363" s="98" t="s">
        <v>1664</v>
      </c>
      <c r="G363" s="98" t="s">
        <v>1665</v>
      </c>
      <c r="H363" s="98" t="s">
        <v>1665</v>
      </c>
      <c r="J363" s="21" t="s">
        <v>1693</v>
      </c>
      <c r="K363" s="21" t="s">
        <v>1546</v>
      </c>
      <c r="M363" s="112" t="str">
        <f>IF(COUNT('Reported Financials'!E363:H363)=0,"",IF(SUMPRODUCT(--ISNUMBER('Reported Financials'!E363:H363),--(E363:H363=""))=0,"OK","source missing"))</f>
        <v>OK</v>
      </c>
    </row>
    <row r="364" spans="2:13" ht="15" customHeight="1" x14ac:dyDescent="0.35">
      <c r="B364" s="74" t="s">
        <v>899</v>
      </c>
      <c r="C364" s="98" t="s">
        <v>1348</v>
      </c>
      <c r="F364" s="98" t="s">
        <v>1664</v>
      </c>
      <c r="G364" s="98" t="s">
        <v>1665</v>
      </c>
      <c r="H364" s="98" t="s">
        <v>1665</v>
      </c>
      <c r="J364" s="21" t="s">
        <v>1694</v>
      </c>
      <c r="K364" s="21" t="s">
        <v>1546</v>
      </c>
      <c r="M364" s="112" t="str">
        <f>IF(COUNT('Reported Financials'!E364:H364)=0,"",IF(SUMPRODUCT(--ISNUMBER('Reported Financials'!E364:H364),--(E364:H364=""))=0,"OK","source missing"))</f>
        <v>OK</v>
      </c>
    </row>
    <row r="365" spans="2:13" ht="15" customHeight="1" x14ac:dyDescent="0.35">
      <c r="B365" s="74" t="s">
        <v>1382</v>
      </c>
      <c r="C365" s="98" t="s">
        <v>1348</v>
      </c>
      <c r="F365" s="98" t="s">
        <v>1664</v>
      </c>
      <c r="G365" s="113"/>
      <c r="H365" s="113"/>
      <c r="J365" s="21" t="s">
        <v>1695</v>
      </c>
      <c r="K365" s="21" t="s">
        <v>1546</v>
      </c>
      <c r="M365" s="112" t="str">
        <f>IF(COUNT('Reported Financials'!E365:H365)=0,"",IF(SUMPRODUCT(--ISNUMBER('Reported Financials'!E365:H365),--(E365:H365=""))=0,"OK","source missing"))</f>
        <v>OK</v>
      </c>
    </row>
    <row r="366" spans="2:13" ht="15" customHeight="1" x14ac:dyDescent="0.35">
      <c r="B366" s="74" t="s">
        <v>1384</v>
      </c>
      <c r="C366" s="98" t="s">
        <v>1348</v>
      </c>
      <c r="F366" s="98" t="s">
        <v>1664</v>
      </c>
      <c r="G366" s="113"/>
      <c r="H366" s="113"/>
      <c r="J366" s="21" t="s">
        <v>1696</v>
      </c>
      <c r="K366" s="21" t="s">
        <v>1546</v>
      </c>
      <c r="M366" s="112" t="str">
        <f>IF(COUNT('Reported Financials'!E366:H366)=0,"",IF(SUMPRODUCT(--ISNUMBER('Reported Financials'!E366:H366),--(E366:H366=""))=0,"OK","source missing"))</f>
        <v>OK</v>
      </c>
    </row>
    <row r="367" spans="2:13" ht="15" customHeight="1" x14ac:dyDescent="0.35">
      <c r="B367" s="74" t="s">
        <v>1385</v>
      </c>
      <c r="C367" s="98" t="s">
        <v>1348</v>
      </c>
      <c r="F367" s="98" t="s">
        <v>1664</v>
      </c>
      <c r="G367" s="113"/>
      <c r="H367" s="113"/>
      <c r="J367" s="21" t="s">
        <v>1697</v>
      </c>
      <c r="K367" s="21" t="s">
        <v>1546</v>
      </c>
      <c r="M367" s="112" t="str">
        <f>IF(COUNT('Reported Financials'!E367:H367)=0,"",IF(SUMPRODUCT(--ISNUMBER('Reported Financials'!E367:H367),--(E367:H367=""))=0,"OK","source missing"))</f>
        <v>OK</v>
      </c>
    </row>
    <row r="368" spans="2:13" ht="15" customHeight="1" x14ac:dyDescent="0.35">
      <c r="B368" s="74" t="s">
        <v>1068</v>
      </c>
      <c r="F368" s="114" t="s">
        <v>1539</v>
      </c>
      <c r="G368" s="114" t="s">
        <v>1539</v>
      </c>
      <c r="H368" s="114" t="s">
        <v>1539</v>
      </c>
      <c r="K368" s="115" t="s">
        <v>1548</v>
      </c>
    </row>
    <row r="369" spans="1:13" ht="15" customHeight="1" x14ac:dyDescent="0.35">
      <c r="B369" s="77" t="s">
        <v>1386</v>
      </c>
      <c r="C369" s="102" t="s">
        <v>1348</v>
      </c>
      <c r="D369" s="78"/>
      <c r="E369" s="78"/>
      <c r="F369" s="116" t="s">
        <v>1539</v>
      </c>
      <c r="G369" s="116" t="s">
        <v>1539</v>
      </c>
      <c r="H369" s="116" t="s">
        <v>1539</v>
      </c>
      <c r="K369" s="115" t="s">
        <v>1683</v>
      </c>
    </row>
    <row r="371" spans="1:13" ht="15" customHeight="1" x14ac:dyDescent="0.35">
      <c r="B371" s="74" t="s">
        <v>1119</v>
      </c>
      <c r="F371" s="114" t="s">
        <v>1539</v>
      </c>
      <c r="G371" s="114" t="s">
        <v>1539</v>
      </c>
      <c r="H371" s="114" t="s">
        <v>1539</v>
      </c>
      <c r="K371" s="115" t="s">
        <v>1548</v>
      </c>
    </row>
    <row r="372" spans="1:13" ht="15" customHeight="1" x14ac:dyDescent="0.35">
      <c r="B372" s="77" t="s">
        <v>1387</v>
      </c>
      <c r="C372" s="102" t="s">
        <v>1348</v>
      </c>
      <c r="D372" s="78"/>
      <c r="E372" s="78"/>
      <c r="F372" s="116" t="s">
        <v>1539</v>
      </c>
      <c r="G372" s="116" t="s">
        <v>1539</v>
      </c>
      <c r="H372" s="116" t="s">
        <v>1539</v>
      </c>
      <c r="K372" s="115" t="s">
        <v>1698</v>
      </c>
    </row>
    <row r="373" spans="1:13" ht="15" customHeight="1" x14ac:dyDescent="0.35">
      <c r="B373" s="74" t="s">
        <v>1388</v>
      </c>
      <c r="C373" s="98" t="s">
        <v>1348</v>
      </c>
      <c r="F373" s="98" t="s">
        <v>1664</v>
      </c>
      <c r="G373" s="98" t="s">
        <v>1665</v>
      </c>
      <c r="H373" s="98" t="s">
        <v>1665</v>
      </c>
      <c r="J373" s="21" t="s">
        <v>1388</v>
      </c>
      <c r="K373" s="21" t="s">
        <v>1546</v>
      </c>
      <c r="M373" s="112" t="str">
        <f>IF(COUNT('Reported Financials'!E373:H373)=0,"",IF(SUMPRODUCT(--ISNUMBER('Reported Financials'!E373:H373),--(E373:H373=""))=0,"OK","source missing"))</f>
        <v>OK</v>
      </c>
    </row>
    <row r="374" spans="1:13" ht="15" customHeight="1" x14ac:dyDescent="0.35">
      <c r="B374" s="74" t="s">
        <v>1119</v>
      </c>
      <c r="F374" s="114" t="s">
        <v>1539</v>
      </c>
      <c r="G374" s="114" t="s">
        <v>1539</v>
      </c>
      <c r="H374" s="114" t="s">
        <v>1539</v>
      </c>
      <c r="K374" s="115" t="s">
        <v>1548</v>
      </c>
    </row>
    <row r="375" spans="1:13" ht="15" customHeight="1" x14ac:dyDescent="0.35">
      <c r="B375" s="77" t="s">
        <v>1389</v>
      </c>
      <c r="C375" s="78"/>
      <c r="D375" s="78"/>
      <c r="E375" s="78"/>
      <c r="F375" s="116" t="s">
        <v>1539</v>
      </c>
      <c r="G375" s="116" t="s">
        <v>1539</v>
      </c>
      <c r="H375" s="116" t="s">
        <v>1539</v>
      </c>
      <c r="K375" s="115" t="s">
        <v>1698</v>
      </c>
    </row>
    <row r="376" spans="1:13" ht="15" customHeight="1" x14ac:dyDescent="0.35">
      <c r="B376" s="74" t="s">
        <v>1390</v>
      </c>
      <c r="C376" s="98" t="s">
        <v>1215</v>
      </c>
      <c r="F376" s="98" t="s">
        <v>1664</v>
      </c>
      <c r="G376" s="98" t="s">
        <v>1665</v>
      </c>
      <c r="H376" s="98" t="s">
        <v>1665</v>
      </c>
      <c r="J376" s="21" t="s">
        <v>1390</v>
      </c>
      <c r="K376" s="21" t="s">
        <v>1546</v>
      </c>
      <c r="M376" s="112" t="str">
        <f>IF(COUNT('Reported Financials'!E376:H376)=0,"",IF(SUMPRODUCT(--ISNUMBER('Reported Financials'!E376:H376),--(E376:H376=""))=0,"OK","source missing"))</f>
        <v>OK</v>
      </c>
    </row>
    <row r="377" spans="1:13" ht="15" customHeight="1" x14ac:dyDescent="0.35">
      <c r="B377" s="74" t="s">
        <v>1119</v>
      </c>
      <c r="F377" s="114" t="s">
        <v>1539</v>
      </c>
      <c r="G377" s="114" t="s">
        <v>1539</v>
      </c>
      <c r="H377" s="114" t="s">
        <v>1539</v>
      </c>
      <c r="K377" s="115" t="s">
        <v>1548</v>
      </c>
    </row>
    <row r="378" spans="1:13" ht="15" customHeight="1" x14ac:dyDescent="0.35">
      <c r="B378" s="77" t="s">
        <v>1392</v>
      </c>
      <c r="C378" s="78"/>
      <c r="D378" s="78"/>
      <c r="E378" s="78"/>
      <c r="F378" s="116" t="s">
        <v>1539</v>
      </c>
      <c r="G378" s="116" t="s">
        <v>1539</v>
      </c>
      <c r="H378" s="116" t="s">
        <v>1539</v>
      </c>
      <c r="K378" s="115" t="s">
        <v>1698</v>
      </c>
    </row>
    <row r="379" spans="1:13" ht="15" customHeight="1" x14ac:dyDescent="0.35">
      <c r="B379" s="74" t="s">
        <v>1393</v>
      </c>
      <c r="C379" s="98" t="s">
        <v>1130</v>
      </c>
      <c r="F379" s="98" t="s">
        <v>1664</v>
      </c>
      <c r="G379" s="98" t="s">
        <v>1665</v>
      </c>
      <c r="H379" s="98" t="s">
        <v>1665</v>
      </c>
      <c r="J379" s="21" t="s">
        <v>1393</v>
      </c>
      <c r="K379" s="21" t="s">
        <v>1546</v>
      </c>
      <c r="M379" s="112" t="str">
        <f>IF(COUNT('Reported Financials'!E379:H379)=0,"",IF(SUMPRODUCT(--ISNUMBER('Reported Financials'!E379:H379),--(E379:H379=""))=0,"OK","source missing"))</f>
        <v>OK</v>
      </c>
    </row>
    <row r="380" spans="1:13" ht="15" customHeight="1" x14ac:dyDescent="0.35">
      <c r="B380" s="77" t="s">
        <v>1395</v>
      </c>
      <c r="C380" s="102" t="s">
        <v>1215</v>
      </c>
      <c r="D380" s="78"/>
      <c r="E380" s="78"/>
      <c r="F380" s="116" t="s">
        <v>1539</v>
      </c>
      <c r="G380" s="116" t="s">
        <v>1539</v>
      </c>
      <c r="H380" s="116" t="s">
        <v>1539</v>
      </c>
      <c r="K380" s="115" t="s">
        <v>1698</v>
      </c>
    </row>
    <row r="382" spans="1:13" ht="15" customHeight="1" x14ac:dyDescent="0.35">
      <c r="A382" s="17" t="s">
        <v>5</v>
      </c>
      <c r="B382" s="18" t="s">
        <v>1396</v>
      </c>
      <c r="C382" s="15"/>
      <c r="D382" s="15"/>
      <c r="E382" s="15"/>
      <c r="F382" s="15"/>
      <c r="G382" s="15"/>
      <c r="H382" s="15"/>
      <c r="I382" s="15"/>
      <c r="J382" s="15"/>
      <c r="K382" s="15"/>
      <c r="L382" s="15"/>
    </row>
    <row r="384" spans="1:13" ht="15" customHeight="1" x14ac:dyDescent="0.35">
      <c r="B384" s="74" t="s">
        <v>1397</v>
      </c>
      <c r="C384" s="98" t="s">
        <v>1348</v>
      </c>
      <c r="F384" s="98" t="s">
        <v>1664</v>
      </c>
      <c r="G384" s="98" t="s">
        <v>1665</v>
      </c>
      <c r="H384" s="98" t="s">
        <v>1665</v>
      </c>
      <c r="J384" s="21" t="s">
        <v>1397</v>
      </c>
      <c r="K384" s="21" t="s">
        <v>1546</v>
      </c>
      <c r="M384" s="112" t="str">
        <f>IF(COUNT('Reported Financials'!E384:H384)=0,"",IF(SUMPRODUCT(--ISNUMBER('Reported Financials'!E384:H384),--(E384:H384=""))=0,"OK","source missing"))</f>
        <v>OK</v>
      </c>
    </row>
    <row r="385" spans="1:13" ht="15" customHeight="1" x14ac:dyDescent="0.35">
      <c r="B385" s="74" t="s">
        <v>1399</v>
      </c>
      <c r="C385" s="98" t="s">
        <v>1348</v>
      </c>
      <c r="F385" s="98" t="s">
        <v>1664</v>
      </c>
      <c r="G385" s="98" t="s">
        <v>1665</v>
      </c>
      <c r="H385" s="98" t="s">
        <v>1665</v>
      </c>
      <c r="J385" s="21" t="s">
        <v>1399</v>
      </c>
      <c r="K385" s="21" t="s">
        <v>1546</v>
      </c>
      <c r="M385" s="112" t="str">
        <f>IF(COUNT('Reported Financials'!E385:H385)=0,"",IF(SUMPRODUCT(--ISNUMBER('Reported Financials'!E385:H385),--(E385:H385=""))=0,"OK","source missing"))</f>
        <v>OK</v>
      </c>
    </row>
    <row r="386" spans="1:13" ht="15" customHeight="1" x14ac:dyDescent="0.35">
      <c r="B386" s="74" t="s">
        <v>1400</v>
      </c>
      <c r="C386" s="98" t="s">
        <v>1348</v>
      </c>
      <c r="F386" s="98" t="s">
        <v>1664</v>
      </c>
      <c r="G386" s="98" t="s">
        <v>1665</v>
      </c>
      <c r="H386" s="98" t="s">
        <v>1665</v>
      </c>
      <c r="J386" s="21" t="s">
        <v>1400</v>
      </c>
      <c r="K386" s="21" t="s">
        <v>1546</v>
      </c>
      <c r="M386" s="112" t="str">
        <f>IF(COUNT('Reported Financials'!E386:H386)=0,"",IF(SUMPRODUCT(--ISNUMBER('Reported Financials'!E386:H386),--(E386:H386=""))=0,"OK","source missing"))</f>
        <v>OK</v>
      </c>
    </row>
    <row r="387" spans="1:13" ht="15" customHeight="1" x14ac:dyDescent="0.35">
      <c r="B387" s="74" t="s">
        <v>1401</v>
      </c>
      <c r="C387" s="98" t="s">
        <v>1348</v>
      </c>
      <c r="F387" s="98" t="s">
        <v>1664</v>
      </c>
      <c r="G387" s="98" t="s">
        <v>1665</v>
      </c>
      <c r="H387" s="98" t="s">
        <v>1665</v>
      </c>
      <c r="J387" s="21" t="s">
        <v>1401</v>
      </c>
      <c r="K387" s="21" t="s">
        <v>1546</v>
      </c>
      <c r="M387" s="112" t="str">
        <f>IF(COUNT('Reported Financials'!E387:H387)=0,"",IF(SUMPRODUCT(--ISNUMBER('Reported Financials'!E387:H387),--(E387:H387=""))=0,"OK","source missing"))</f>
        <v>OK</v>
      </c>
    </row>
    <row r="388" spans="1:13" ht="15" customHeight="1" x14ac:dyDescent="0.35">
      <c r="B388" s="74" t="s">
        <v>1402</v>
      </c>
      <c r="C388" s="98" t="s">
        <v>1348</v>
      </c>
      <c r="F388" s="98" t="s">
        <v>1664</v>
      </c>
      <c r="G388" s="98" t="s">
        <v>1665</v>
      </c>
      <c r="H388" s="98" t="s">
        <v>1665</v>
      </c>
      <c r="J388" s="21" t="s">
        <v>1402</v>
      </c>
      <c r="K388" s="21" t="s">
        <v>1546</v>
      </c>
      <c r="M388" s="112" t="str">
        <f>IF(COUNT('Reported Financials'!E388:H388)=0,"",IF(SUMPRODUCT(--ISNUMBER('Reported Financials'!E388:H388),--(E388:H388=""))=0,"OK","source missing"))</f>
        <v>OK</v>
      </c>
    </row>
    <row r="389" spans="1:13" ht="15" customHeight="1" x14ac:dyDescent="0.35">
      <c r="B389" s="74" t="s">
        <v>1403</v>
      </c>
      <c r="C389" s="98" t="s">
        <v>1348</v>
      </c>
      <c r="F389" s="98" t="s">
        <v>1664</v>
      </c>
      <c r="G389" s="98" t="s">
        <v>1665</v>
      </c>
      <c r="H389" s="98" t="s">
        <v>1665</v>
      </c>
      <c r="J389" s="21" t="s">
        <v>1403</v>
      </c>
      <c r="K389" s="21" t="s">
        <v>1546</v>
      </c>
      <c r="M389" s="112" t="str">
        <f>IF(COUNT('Reported Financials'!E389:H389)=0,"",IF(SUMPRODUCT(--ISNUMBER('Reported Financials'!E389:H389),--(E389:H389=""))=0,"OK","source missing"))</f>
        <v>OK</v>
      </c>
    </row>
    <row r="391" spans="1:13" ht="15" customHeight="1" x14ac:dyDescent="0.35">
      <c r="A391" s="17" t="s">
        <v>5</v>
      </c>
      <c r="B391" s="18" t="s">
        <v>1404</v>
      </c>
      <c r="C391" s="15"/>
      <c r="D391" s="15"/>
      <c r="E391" s="15"/>
      <c r="F391" s="15"/>
      <c r="G391" s="15"/>
      <c r="H391" s="15"/>
      <c r="I391" s="15"/>
      <c r="J391" s="15"/>
      <c r="K391" s="15"/>
      <c r="L391" s="15"/>
    </row>
    <row r="393" spans="1:13" ht="15" customHeight="1" x14ac:dyDescent="0.35">
      <c r="B393" s="74" t="s">
        <v>1405</v>
      </c>
      <c r="C393" s="98" t="s">
        <v>1348</v>
      </c>
      <c r="F393" s="98" t="s">
        <v>1664</v>
      </c>
      <c r="G393" s="98" t="s">
        <v>1665</v>
      </c>
      <c r="H393" s="98" t="s">
        <v>1665</v>
      </c>
      <c r="J393" s="21" t="s">
        <v>1405</v>
      </c>
      <c r="K393" s="21" t="s">
        <v>1546</v>
      </c>
      <c r="M393" s="112" t="str">
        <f>IF(COUNT('Reported Financials'!E393:H393)=0,"",IF(SUMPRODUCT(--ISNUMBER('Reported Financials'!E393:H393),--(E393:H393=""))=0,"OK","source missing"))</f>
        <v>OK</v>
      </c>
    </row>
    <row r="394" spans="1:13" ht="15" customHeight="1" x14ac:dyDescent="0.35">
      <c r="B394" s="74" t="s">
        <v>881</v>
      </c>
      <c r="C394" s="98" t="s">
        <v>1348</v>
      </c>
      <c r="F394" s="98" t="s">
        <v>1647</v>
      </c>
      <c r="G394" s="98" t="s">
        <v>1699</v>
      </c>
      <c r="H394" s="98" t="s">
        <v>1699</v>
      </c>
      <c r="J394" s="21" t="s">
        <v>1700</v>
      </c>
      <c r="K394" s="21" t="s">
        <v>1546</v>
      </c>
      <c r="M394" s="112" t="str">
        <f>IF(COUNT('Reported Financials'!E394:H394)=0,"",IF(SUMPRODUCT(--ISNUMBER('Reported Financials'!E394:H394),--(E394:H394=""))=0,"OK","source missing"))</f>
        <v>OK</v>
      </c>
    </row>
    <row r="395" spans="1:13" ht="15" customHeight="1" x14ac:dyDescent="0.35">
      <c r="B395" s="74" t="s">
        <v>883</v>
      </c>
      <c r="C395" s="98" t="s">
        <v>1348</v>
      </c>
      <c r="F395" s="98" t="s">
        <v>1647</v>
      </c>
      <c r="G395" s="98" t="s">
        <v>1699</v>
      </c>
      <c r="H395" s="98" t="s">
        <v>1699</v>
      </c>
      <c r="J395" s="21" t="s">
        <v>1701</v>
      </c>
      <c r="K395" s="21" t="s">
        <v>1546</v>
      </c>
      <c r="M395" s="112" t="str">
        <f>IF(COUNT('Reported Financials'!E395:H395)=0,"",IF(SUMPRODUCT(--ISNUMBER('Reported Financials'!E395:H395),--(E395:H395=""))=0,"OK","source missing"))</f>
        <v>OK</v>
      </c>
    </row>
    <row r="396" spans="1:13" ht="15" customHeight="1" x14ac:dyDescent="0.35">
      <c r="B396" s="74" t="s">
        <v>1068</v>
      </c>
      <c r="F396" s="114" t="s">
        <v>1539</v>
      </c>
      <c r="G396" s="114" t="s">
        <v>1539</v>
      </c>
      <c r="H396" s="114" t="s">
        <v>1539</v>
      </c>
      <c r="K396" s="115" t="s">
        <v>1698</v>
      </c>
    </row>
    <row r="397" spans="1:13" ht="15" customHeight="1" x14ac:dyDescent="0.35">
      <c r="B397" s="74" t="s">
        <v>1408</v>
      </c>
      <c r="C397" s="98" t="s">
        <v>1348</v>
      </c>
      <c r="F397" s="98" t="s">
        <v>1664</v>
      </c>
      <c r="G397" s="98" t="s">
        <v>1665</v>
      </c>
      <c r="H397" s="98" t="s">
        <v>1665</v>
      </c>
      <c r="J397" s="21" t="s">
        <v>1408</v>
      </c>
      <c r="K397" s="21" t="s">
        <v>1546</v>
      </c>
      <c r="M397" s="112" t="str">
        <f>IF(COUNT('Reported Financials'!E397:H397)=0,"",IF(SUMPRODUCT(--ISNUMBER('Reported Financials'!E397:H397),--(E397:H397=""))=0,"OK","source missing"))</f>
        <v>OK</v>
      </c>
    </row>
    <row r="398" spans="1:13" ht="15" customHeight="1" x14ac:dyDescent="0.35">
      <c r="B398" s="74" t="s">
        <v>1409</v>
      </c>
      <c r="C398" s="98" t="s">
        <v>1348</v>
      </c>
      <c r="F398" s="113"/>
      <c r="G398" s="113"/>
      <c r="H398" s="98" t="s">
        <v>1699</v>
      </c>
      <c r="J398" s="21" t="s">
        <v>1409</v>
      </c>
      <c r="K398" s="21" t="s">
        <v>1546</v>
      </c>
      <c r="M398" s="112" t="str">
        <f>IF(COUNT('Reported Financials'!E398:H398)=0,"",IF(SUMPRODUCT(--ISNUMBER('Reported Financials'!E398:H398),--(E398:H398=""))=0,"OK","source missing"))</f>
        <v>OK</v>
      </c>
    </row>
    <row r="400" spans="1:13" ht="15" customHeight="1" x14ac:dyDescent="0.35">
      <c r="A400" s="17" t="s">
        <v>5</v>
      </c>
      <c r="B400" s="18" t="s">
        <v>1410</v>
      </c>
      <c r="C400" s="15"/>
      <c r="D400" s="15"/>
      <c r="E400" s="15"/>
      <c r="F400" s="15"/>
      <c r="G400" s="15"/>
      <c r="H400" s="15"/>
      <c r="I400" s="15"/>
      <c r="J400" s="15"/>
      <c r="K400" s="15"/>
      <c r="L400" s="15"/>
    </row>
    <row r="402" spans="2:13" ht="15" customHeight="1" x14ac:dyDescent="0.35">
      <c r="B402" s="73" t="s">
        <v>1411</v>
      </c>
    </row>
    <row r="403" spans="2:13" ht="15" customHeight="1" x14ac:dyDescent="0.35">
      <c r="B403" s="74" t="s">
        <v>1412</v>
      </c>
      <c r="C403" s="98" t="s">
        <v>1130</v>
      </c>
      <c r="G403" s="98" t="s">
        <v>1616</v>
      </c>
      <c r="H403" s="98" t="s">
        <v>1616</v>
      </c>
      <c r="J403" s="21" t="s">
        <v>1060</v>
      </c>
      <c r="K403" s="21" t="s">
        <v>1546</v>
      </c>
      <c r="M403" s="112" t="str">
        <f>IF(COUNT('Reported Financials'!E403:H403)=0,"",IF(SUMPRODUCT(--ISNUMBER('Reported Financials'!E403:H403),--(E403:H403=""))=0,"OK","source missing"))</f>
        <v>OK</v>
      </c>
    </row>
    <row r="404" spans="2:13" ht="15" customHeight="1" x14ac:dyDescent="0.35">
      <c r="B404" s="74" t="s">
        <v>1413</v>
      </c>
      <c r="C404" s="98" t="s">
        <v>1130</v>
      </c>
      <c r="G404" s="98" t="s">
        <v>1616</v>
      </c>
      <c r="H404" s="98" t="s">
        <v>1616</v>
      </c>
      <c r="J404" s="21" t="s">
        <v>1702</v>
      </c>
      <c r="K404" s="21" t="s">
        <v>1546</v>
      </c>
      <c r="M404" s="112" t="str">
        <f>IF(COUNT('Reported Financials'!E404:H404)=0,"",IF(SUMPRODUCT(--ISNUMBER('Reported Financials'!E404:H404),--(E404:H404=""))=0,"OK","source missing"))</f>
        <v>OK</v>
      </c>
    </row>
    <row r="405" spans="2:13" ht="15" customHeight="1" x14ac:dyDescent="0.35">
      <c r="B405" s="74" t="s">
        <v>1414</v>
      </c>
      <c r="C405" s="98" t="s">
        <v>1130</v>
      </c>
      <c r="G405" s="98" t="s">
        <v>1616</v>
      </c>
      <c r="H405" s="98" t="s">
        <v>1616</v>
      </c>
      <c r="J405" s="21" t="s">
        <v>1703</v>
      </c>
      <c r="K405" s="21" t="s">
        <v>1546</v>
      </c>
      <c r="M405" s="112" t="str">
        <f>IF(COUNT('Reported Financials'!E405:H405)=0,"",IF(SUMPRODUCT(--ISNUMBER('Reported Financials'!E405:H405),--(E405:H405=""))=0,"OK","source missing"))</f>
        <v>OK</v>
      </c>
    </row>
    <row r="406" spans="2:13" ht="15" customHeight="1" x14ac:dyDescent="0.35">
      <c r="B406" s="74" t="s">
        <v>1415</v>
      </c>
      <c r="C406" s="98" t="s">
        <v>1130</v>
      </c>
      <c r="G406" s="98" t="s">
        <v>1616</v>
      </c>
      <c r="H406" s="98" t="s">
        <v>1616</v>
      </c>
      <c r="J406" s="21" t="s">
        <v>1704</v>
      </c>
      <c r="K406" s="21" t="s">
        <v>1546</v>
      </c>
      <c r="M406" s="112" t="str">
        <f>IF(COUNT('Reported Financials'!E406:H406)=0,"",IF(SUMPRODUCT(--ISNUMBER('Reported Financials'!E406:H406),--(E406:H406=""))=0,"OK","source missing"))</f>
        <v>OK</v>
      </c>
    </row>
    <row r="407" spans="2:13" ht="15" customHeight="1" x14ac:dyDescent="0.35">
      <c r="B407" s="74" t="s">
        <v>1416</v>
      </c>
      <c r="C407" s="98" t="s">
        <v>1130</v>
      </c>
      <c r="G407" s="98" t="s">
        <v>1616</v>
      </c>
      <c r="H407" s="98" t="s">
        <v>1616</v>
      </c>
      <c r="J407" s="21" t="s">
        <v>1705</v>
      </c>
      <c r="K407" s="21" t="s">
        <v>1546</v>
      </c>
      <c r="M407" s="112" t="str">
        <f>IF(COUNT('Reported Financials'!E407:H407)=0,"",IF(SUMPRODUCT(--ISNUMBER('Reported Financials'!E407:H407),--(E407:H407=""))=0,"OK","source missing"))</f>
        <v>OK</v>
      </c>
    </row>
    <row r="408" spans="2:13" ht="15" customHeight="1" x14ac:dyDescent="0.35">
      <c r="B408" s="74" t="s">
        <v>1417</v>
      </c>
      <c r="C408" s="98" t="s">
        <v>1130</v>
      </c>
      <c r="G408" s="98" t="s">
        <v>1616</v>
      </c>
      <c r="H408" s="98" t="s">
        <v>1616</v>
      </c>
      <c r="J408" s="21" t="s">
        <v>1706</v>
      </c>
      <c r="K408" s="21" t="s">
        <v>1546</v>
      </c>
      <c r="M408" s="112" t="str">
        <f>IF(COUNT('Reported Financials'!E408:H408)=0,"",IF(SUMPRODUCT(--ISNUMBER('Reported Financials'!E408:H408),--(E408:H408=""))=0,"OK","source missing"))</f>
        <v>OK</v>
      </c>
    </row>
    <row r="409" spans="2:13" ht="15" customHeight="1" x14ac:dyDescent="0.35">
      <c r="B409" s="74" t="s">
        <v>1068</v>
      </c>
      <c r="G409" s="114" t="s">
        <v>1539</v>
      </c>
      <c r="H409" s="114" t="s">
        <v>1539</v>
      </c>
      <c r="K409" s="115" t="s">
        <v>1548</v>
      </c>
    </row>
    <row r="410" spans="2:13" ht="15" customHeight="1" x14ac:dyDescent="0.35">
      <c r="B410" s="77" t="s">
        <v>1418</v>
      </c>
      <c r="C410" s="102" t="s">
        <v>1130</v>
      </c>
      <c r="D410" s="78"/>
      <c r="E410" s="78"/>
      <c r="F410" s="78"/>
      <c r="G410" s="116" t="s">
        <v>1539</v>
      </c>
      <c r="H410" s="116" t="s">
        <v>1539</v>
      </c>
      <c r="K410" s="115" t="s">
        <v>1683</v>
      </c>
    </row>
    <row r="411" spans="2:13" ht="15" customHeight="1" x14ac:dyDescent="0.35">
      <c r="B411" s="73" t="s">
        <v>1419</v>
      </c>
    </row>
    <row r="412" spans="2:13" ht="15" customHeight="1" x14ac:dyDescent="0.35">
      <c r="B412" s="74" t="s">
        <v>1420</v>
      </c>
      <c r="C412" s="98" t="s">
        <v>1130</v>
      </c>
      <c r="F412" s="98" t="s">
        <v>1615</v>
      </c>
      <c r="G412" s="98" t="s">
        <v>1707</v>
      </c>
      <c r="H412" s="98" t="s">
        <v>1707</v>
      </c>
      <c r="J412" s="21" t="s">
        <v>1708</v>
      </c>
      <c r="K412" s="21" t="s">
        <v>1546</v>
      </c>
      <c r="M412" s="112" t="str">
        <f>IF(COUNT('Reported Financials'!E412:H412)=0,"",IF(SUMPRODUCT(--ISNUMBER('Reported Financials'!E412:H412),--(E412:H412=""))=0,"OK","source missing"))</f>
        <v>OK</v>
      </c>
    </row>
    <row r="413" spans="2:13" ht="15" customHeight="1" x14ac:dyDescent="0.35">
      <c r="B413" s="74" t="s">
        <v>1414</v>
      </c>
      <c r="C413" s="98" t="s">
        <v>1130</v>
      </c>
      <c r="F413" s="98" t="s">
        <v>1615</v>
      </c>
      <c r="G413" s="98" t="s">
        <v>1707</v>
      </c>
      <c r="H413" s="98" t="s">
        <v>1707</v>
      </c>
      <c r="J413" s="21" t="s">
        <v>1703</v>
      </c>
      <c r="K413" s="21" t="s">
        <v>1546</v>
      </c>
      <c r="M413" s="112" t="str">
        <f>IF(COUNT('Reported Financials'!E413:H413)=0,"",IF(SUMPRODUCT(--ISNUMBER('Reported Financials'!E413:H413),--(E413:H413=""))=0,"OK","source missing"))</f>
        <v>OK</v>
      </c>
    </row>
    <row r="414" spans="2:13" ht="15" customHeight="1" x14ac:dyDescent="0.35">
      <c r="B414" s="74" t="s">
        <v>1068</v>
      </c>
      <c r="F414" s="114" t="s">
        <v>1539</v>
      </c>
      <c r="G414" s="114" t="s">
        <v>1539</v>
      </c>
      <c r="H414" s="114" t="s">
        <v>1539</v>
      </c>
      <c r="K414" s="115" t="s">
        <v>1548</v>
      </c>
    </row>
    <row r="415" spans="2:13" ht="15" customHeight="1" x14ac:dyDescent="0.35">
      <c r="B415" s="77" t="s">
        <v>1422</v>
      </c>
      <c r="C415" s="102" t="s">
        <v>1130</v>
      </c>
      <c r="D415" s="78"/>
      <c r="E415" s="78"/>
      <c r="F415" s="116" t="s">
        <v>1539</v>
      </c>
      <c r="G415" s="116" t="s">
        <v>1539</v>
      </c>
      <c r="H415" s="116" t="s">
        <v>1539</v>
      </c>
      <c r="K415" s="115" t="s">
        <v>1683</v>
      </c>
    </row>
    <row r="416" spans="2:13" ht="15" customHeight="1" x14ac:dyDescent="0.35">
      <c r="B416" s="74" t="s">
        <v>1423</v>
      </c>
      <c r="C416" s="98" t="s">
        <v>1130</v>
      </c>
      <c r="F416" s="98" t="s">
        <v>1615</v>
      </c>
      <c r="G416" s="113"/>
      <c r="H416" s="113"/>
      <c r="J416" s="21" t="s">
        <v>1423</v>
      </c>
      <c r="K416" s="21" t="s">
        <v>1546</v>
      </c>
      <c r="M416" s="112" t="str">
        <f>IF(COUNT('Reported Financials'!E416:H416)=0,"",IF(SUMPRODUCT(--ISNUMBER('Reported Financials'!E416:H416),--(E416:H416=""))=0,"OK","source missing"))</f>
        <v>OK</v>
      </c>
    </row>
    <row r="417" spans="1:13" ht="15" customHeight="1" x14ac:dyDescent="0.35">
      <c r="B417" s="74" t="s">
        <v>1425</v>
      </c>
      <c r="C417" s="98" t="s">
        <v>1130</v>
      </c>
      <c r="F417" s="98" t="s">
        <v>1709</v>
      </c>
      <c r="G417" s="98" t="s">
        <v>1709</v>
      </c>
      <c r="H417" s="98" t="s">
        <v>1707</v>
      </c>
      <c r="J417" s="21" t="s">
        <v>1425</v>
      </c>
      <c r="K417" s="21" t="s">
        <v>1546</v>
      </c>
      <c r="M417" s="112" t="str">
        <f>IF(COUNT('Reported Financials'!E417:H417)=0,"",IF(SUMPRODUCT(--ISNUMBER('Reported Financials'!E417:H417),--(E417:H417=""))=0,"OK","source missing"))</f>
        <v>OK</v>
      </c>
    </row>
    <row r="419" spans="1:13" ht="15" customHeight="1" x14ac:dyDescent="0.35">
      <c r="A419" s="17" t="s">
        <v>5</v>
      </c>
      <c r="B419" s="18" t="s">
        <v>1427</v>
      </c>
      <c r="C419" s="15"/>
      <c r="D419" s="15"/>
      <c r="E419" s="15"/>
      <c r="F419" s="15"/>
      <c r="G419" s="15"/>
      <c r="H419" s="15"/>
      <c r="I419" s="15"/>
      <c r="J419" s="15"/>
      <c r="K419" s="15"/>
      <c r="L419" s="15"/>
    </row>
    <row r="421" spans="1:13" x14ac:dyDescent="0.35">
      <c r="B421" s="20" t="s">
        <v>1428</v>
      </c>
    </row>
    <row r="422" spans="1:13" ht="15" customHeight="1" x14ac:dyDescent="0.35">
      <c r="B422" s="74" t="s">
        <v>1429</v>
      </c>
      <c r="C422" s="98" t="s">
        <v>1430</v>
      </c>
      <c r="F422" s="98" t="s">
        <v>1710</v>
      </c>
      <c r="G422" s="98" t="s">
        <v>1709</v>
      </c>
      <c r="H422" s="98" t="s">
        <v>1711</v>
      </c>
      <c r="J422" s="21" t="s">
        <v>1429</v>
      </c>
      <c r="K422" s="21" t="s">
        <v>1546</v>
      </c>
      <c r="M422" s="112" t="str">
        <f>IF(COUNT('Reported Financials'!E422:H422)=0,"",IF(SUMPRODUCT(--ISNUMBER('Reported Financials'!E422:H422),--(E422:H422=""))=0,"OK","source missing"))</f>
        <v>OK</v>
      </c>
    </row>
    <row r="423" spans="1:13" ht="15" customHeight="1" x14ac:dyDescent="0.35">
      <c r="B423" s="74" t="s">
        <v>1432</v>
      </c>
      <c r="C423" s="98" t="s">
        <v>1430</v>
      </c>
      <c r="F423" s="98" t="s">
        <v>1710</v>
      </c>
      <c r="G423" s="98" t="s">
        <v>1709</v>
      </c>
      <c r="H423" s="113"/>
      <c r="J423" s="21" t="s">
        <v>1432</v>
      </c>
      <c r="K423" s="21" t="s">
        <v>1546</v>
      </c>
      <c r="M423" s="112" t="str">
        <f>IF(COUNT('Reported Financials'!E423:H423)=0,"",IF(SUMPRODUCT(--ISNUMBER('Reported Financials'!E423:H423),--(E423:H423=""))=0,"OK","source missing"))</f>
        <v>OK</v>
      </c>
    </row>
    <row r="424" spans="1:13" ht="15" customHeight="1" x14ac:dyDescent="0.35">
      <c r="B424" s="74" t="s">
        <v>1434</v>
      </c>
      <c r="C424" s="98" t="s">
        <v>1430</v>
      </c>
      <c r="F424" s="98" t="s">
        <v>1710</v>
      </c>
      <c r="G424" s="113"/>
      <c r="H424" s="113"/>
      <c r="J424" s="21" t="s">
        <v>1434</v>
      </c>
      <c r="K424" s="21" t="s">
        <v>1546</v>
      </c>
      <c r="M424" s="112" t="str">
        <f>IF(COUNT('Reported Financials'!E424:H424)=0,"",IF(SUMPRODUCT(--ISNUMBER('Reported Financials'!E424:H424),--(E424:H424=""))=0,"OK","source missing"))</f>
        <v>OK</v>
      </c>
    </row>
    <row r="425" spans="1:13" ht="15" customHeight="1" x14ac:dyDescent="0.35">
      <c r="B425" s="74" t="s">
        <v>1435</v>
      </c>
      <c r="C425" s="98" t="s">
        <v>1430</v>
      </c>
      <c r="F425" s="113"/>
      <c r="G425" s="98" t="s">
        <v>1709</v>
      </c>
      <c r="H425" s="113"/>
      <c r="J425" s="21" t="s">
        <v>1435</v>
      </c>
      <c r="K425" s="21" t="s">
        <v>1546</v>
      </c>
      <c r="M425" s="112" t="str">
        <f>IF(COUNT('Reported Financials'!E425:H425)=0,"",IF(SUMPRODUCT(--ISNUMBER('Reported Financials'!E425:H425),--(E425:H425=""))=0,"OK","source missing"))</f>
        <v>OK</v>
      </c>
    </row>
    <row r="426" spans="1:13" ht="15" customHeight="1" x14ac:dyDescent="0.35">
      <c r="B426" s="73" t="s">
        <v>1436</v>
      </c>
    </row>
    <row r="427" spans="1:13" ht="15" customHeight="1" x14ac:dyDescent="0.35">
      <c r="B427" s="74" t="s">
        <v>1437</v>
      </c>
      <c r="C427" s="98" t="s">
        <v>1430</v>
      </c>
      <c r="F427" s="98" t="s">
        <v>1710</v>
      </c>
      <c r="G427" s="98" t="s">
        <v>1709</v>
      </c>
      <c r="J427" s="21" t="s">
        <v>1712</v>
      </c>
      <c r="K427" s="21" t="s">
        <v>1546</v>
      </c>
      <c r="M427" s="112" t="str">
        <f>IF(COUNT('Reported Financials'!E427:H427)=0,"",IF(SUMPRODUCT(--ISNUMBER('Reported Financials'!E427:H427),--(E427:H427=""))=0,"OK","source missing"))</f>
        <v>OK</v>
      </c>
    </row>
    <row r="428" spans="1:13" ht="15" customHeight="1" x14ac:dyDescent="0.35">
      <c r="B428" s="74" t="s">
        <v>423</v>
      </c>
      <c r="C428" s="98" t="s">
        <v>1430</v>
      </c>
      <c r="F428" s="98" t="s">
        <v>1710</v>
      </c>
      <c r="G428" s="98" t="s">
        <v>1709</v>
      </c>
      <c r="J428" s="21" t="s">
        <v>1198</v>
      </c>
      <c r="K428" s="21" t="s">
        <v>1546</v>
      </c>
      <c r="M428" s="112" t="str">
        <f>IF(COUNT('Reported Financials'!E428:H428)=0,"",IF(SUMPRODUCT(--ISNUMBER('Reported Financials'!E428:H428),--(E428:H428=""))=0,"OK","source missing"))</f>
        <v>OK</v>
      </c>
    </row>
    <row r="429" spans="1:13" ht="15" customHeight="1" x14ac:dyDescent="0.35">
      <c r="B429" s="74" t="s">
        <v>421</v>
      </c>
      <c r="C429" s="98" t="s">
        <v>1430</v>
      </c>
      <c r="F429" s="113"/>
      <c r="G429" s="98" t="s">
        <v>1709</v>
      </c>
      <c r="J429" s="21" t="s">
        <v>1197</v>
      </c>
      <c r="K429" s="21" t="s">
        <v>1546</v>
      </c>
      <c r="M429" s="112" t="str">
        <f>IF(COUNT('Reported Financials'!E429:H429)=0,"",IF(SUMPRODUCT(--ISNUMBER('Reported Financials'!E429:H429),--(E429:H429=""))=0,"OK","source missing"))</f>
        <v>OK</v>
      </c>
    </row>
    <row r="430" spans="1:13" ht="15" customHeight="1" x14ac:dyDescent="0.35">
      <c r="B430" s="74" t="s">
        <v>1440</v>
      </c>
      <c r="C430" s="98" t="s">
        <v>1430</v>
      </c>
      <c r="F430" s="98" t="s">
        <v>1710</v>
      </c>
      <c r="G430" s="98" t="s">
        <v>1709</v>
      </c>
      <c r="J430" s="21" t="s">
        <v>1203</v>
      </c>
      <c r="K430" s="21" t="s">
        <v>1546</v>
      </c>
      <c r="M430" s="112" t="str">
        <f>IF(COUNT('Reported Financials'!E430:H430)=0,"",IF(SUMPRODUCT(--ISNUMBER('Reported Financials'!E430:H430),--(E430:H430=""))=0,"OK","source missing"))</f>
        <v>OK</v>
      </c>
    </row>
    <row r="431" spans="1:13" ht="15" customHeight="1" x14ac:dyDescent="0.35">
      <c r="B431" s="74" t="s">
        <v>386</v>
      </c>
      <c r="C431" s="98" t="s">
        <v>1430</v>
      </c>
      <c r="F431" s="98" t="s">
        <v>1710</v>
      </c>
      <c r="G431" s="98" t="s">
        <v>1709</v>
      </c>
      <c r="J431" s="21" t="s">
        <v>1208</v>
      </c>
      <c r="K431" s="21" t="s">
        <v>1546</v>
      </c>
      <c r="M431" s="112" t="str">
        <f>IF(COUNT('Reported Financials'!E431:H431)=0,"",IF(SUMPRODUCT(--ISNUMBER('Reported Financials'!E431:H431),--(E431:H431=""))=0,"OK","source missing"))</f>
        <v>OK</v>
      </c>
    </row>
    <row r="432" spans="1:13" ht="15" customHeight="1" x14ac:dyDescent="0.35">
      <c r="B432" s="74" t="s">
        <v>1441</v>
      </c>
      <c r="C432" s="98" t="s">
        <v>1430</v>
      </c>
      <c r="F432" s="98" t="s">
        <v>1710</v>
      </c>
      <c r="G432" s="98" t="s">
        <v>1709</v>
      </c>
      <c r="J432" s="21" t="s">
        <v>1713</v>
      </c>
      <c r="K432" s="21" t="s">
        <v>1546</v>
      </c>
      <c r="M432" s="112" t="str">
        <f>IF(COUNT('Reported Financials'!E432:H432)=0,"",IF(SUMPRODUCT(--ISNUMBER('Reported Financials'!E432:H432),--(E432:H432=""))=0,"OK","source missing"))</f>
        <v>OK</v>
      </c>
    </row>
    <row r="433" spans="1:13" ht="15" customHeight="1" x14ac:dyDescent="0.35">
      <c r="B433" s="74" t="s">
        <v>1442</v>
      </c>
      <c r="C433" s="98" t="s">
        <v>1430</v>
      </c>
      <c r="F433" s="98" t="s">
        <v>1710</v>
      </c>
      <c r="G433" s="113"/>
      <c r="J433" s="21" t="s">
        <v>1212</v>
      </c>
      <c r="K433" s="21" t="s">
        <v>1546</v>
      </c>
      <c r="M433" s="112" t="str">
        <f>IF(COUNT('Reported Financials'!E433:H433)=0,"",IF(SUMPRODUCT(--ISNUMBER('Reported Financials'!E433:H433),--(E433:H433=""))=0,"OK","source missing"))</f>
        <v>OK</v>
      </c>
    </row>
    <row r="434" spans="1:13" ht="15" customHeight="1" x14ac:dyDescent="0.35">
      <c r="B434" s="74" t="s">
        <v>1443</v>
      </c>
      <c r="C434" s="98" t="s">
        <v>1430</v>
      </c>
      <c r="F434" s="98" t="s">
        <v>1710</v>
      </c>
      <c r="G434" s="98" t="s">
        <v>1709</v>
      </c>
      <c r="J434" s="21" t="s">
        <v>1217</v>
      </c>
      <c r="K434" s="21" t="s">
        <v>1546</v>
      </c>
      <c r="M434" s="112" t="str">
        <f>IF(COUNT('Reported Financials'!E434:H434)=0,"",IF(SUMPRODUCT(--ISNUMBER('Reported Financials'!E434:H434),--(E434:H434=""))=0,"OK","source missing"))</f>
        <v>OK</v>
      </c>
    </row>
    <row r="435" spans="1:13" ht="15" customHeight="1" x14ac:dyDescent="0.35">
      <c r="B435" s="74" t="s">
        <v>1444</v>
      </c>
      <c r="C435" s="98" t="s">
        <v>1430</v>
      </c>
      <c r="F435" s="98" t="s">
        <v>1710</v>
      </c>
      <c r="G435" s="98" t="s">
        <v>1709</v>
      </c>
      <c r="J435" s="21" t="s">
        <v>1714</v>
      </c>
      <c r="K435" s="21" t="s">
        <v>1546</v>
      </c>
      <c r="M435" s="112" t="str">
        <f>IF(COUNT('Reported Financials'!E435:H435)=0,"",IF(SUMPRODUCT(--ISNUMBER('Reported Financials'!E435:H435),--(E435:H435=""))=0,"OK","source missing"))</f>
        <v>OK</v>
      </c>
    </row>
    <row r="436" spans="1:13" ht="15" customHeight="1" x14ac:dyDescent="0.35">
      <c r="B436" s="74" t="s">
        <v>1446</v>
      </c>
      <c r="C436" s="98" t="s">
        <v>1430</v>
      </c>
      <c r="F436" s="98" t="s">
        <v>1710</v>
      </c>
      <c r="G436" s="98" t="s">
        <v>1709</v>
      </c>
      <c r="J436" s="21" t="s">
        <v>1715</v>
      </c>
      <c r="K436" s="21" t="s">
        <v>1546</v>
      </c>
      <c r="M436" s="112" t="str">
        <f>IF(COUNT('Reported Financials'!E436:H436)=0,"",IF(SUMPRODUCT(--ISNUMBER('Reported Financials'!E436:H436),--(E436:H436=""))=0,"OK","source missing"))</f>
        <v>OK</v>
      </c>
    </row>
    <row r="437" spans="1:13" ht="15" customHeight="1" x14ac:dyDescent="0.35">
      <c r="B437" s="74" t="s">
        <v>1068</v>
      </c>
      <c r="F437" s="114" t="s">
        <v>1539</v>
      </c>
      <c r="G437" s="114" t="s">
        <v>1539</v>
      </c>
      <c r="K437" s="115" t="s">
        <v>1548</v>
      </c>
    </row>
    <row r="438" spans="1:13" ht="15" customHeight="1" x14ac:dyDescent="0.35">
      <c r="B438" s="77" t="s">
        <v>1447</v>
      </c>
      <c r="C438" s="102" t="s">
        <v>1430</v>
      </c>
      <c r="D438" s="78"/>
      <c r="E438" s="78"/>
      <c r="F438" s="116" t="s">
        <v>1539</v>
      </c>
      <c r="G438" s="116" t="s">
        <v>1539</v>
      </c>
      <c r="H438" s="78"/>
      <c r="K438" s="115" t="s">
        <v>1683</v>
      </c>
    </row>
    <row r="439" spans="1:13" ht="15" customHeight="1" x14ac:dyDescent="0.35">
      <c r="B439" s="74" t="s">
        <v>1448</v>
      </c>
      <c r="C439" s="98" t="s">
        <v>1430</v>
      </c>
      <c r="F439" s="113"/>
      <c r="G439" s="113"/>
      <c r="H439" s="98" t="s">
        <v>1711</v>
      </c>
      <c r="J439" s="21" t="s">
        <v>1448</v>
      </c>
      <c r="K439" s="21" t="s">
        <v>1716</v>
      </c>
      <c r="M439" s="112" t="str">
        <f>IF(COUNT('Reported Financials'!E439:H439)=0,"",IF(SUMPRODUCT(--ISNUMBER('Reported Financials'!E439:H439),--(E439:H439=""))=0,"OK","source missing"))</f>
        <v>OK</v>
      </c>
    </row>
    <row r="440" spans="1:13" ht="15" customHeight="1" x14ac:dyDescent="0.35">
      <c r="B440" s="74" t="s">
        <v>1195</v>
      </c>
      <c r="C440" s="98" t="s">
        <v>1430</v>
      </c>
      <c r="F440" s="98" t="s">
        <v>1710</v>
      </c>
      <c r="G440" s="98" t="s">
        <v>1709</v>
      </c>
      <c r="H440" s="98" t="s">
        <v>1711</v>
      </c>
      <c r="J440" s="21" t="s">
        <v>1195</v>
      </c>
      <c r="K440" s="21" t="s">
        <v>1546</v>
      </c>
      <c r="M440" s="112" t="str">
        <f>IF(COUNT('Reported Financials'!E440:H440)=0,"",IF(SUMPRODUCT(--ISNUMBER('Reported Financials'!E440:H440),--(E440:H440=""))=0,"OK","source missing"))</f>
        <v>OK</v>
      </c>
    </row>
    <row r="441" spans="1:13" ht="15" customHeight="1" x14ac:dyDescent="0.35">
      <c r="B441" s="74" t="s">
        <v>1451</v>
      </c>
      <c r="C441" s="98" t="s">
        <v>1430</v>
      </c>
      <c r="F441" s="113"/>
      <c r="G441" s="98" t="s">
        <v>1717</v>
      </c>
      <c r="H441" s="113"/>
      <c r="J441" s="21" t="s">
        <v>1451</v>
      </c>
      <c r="K441" s="21" t="s">
        <v>1546</v>
      </c>
      <c r="M441" s="112" t="str">
        <f>IF(COUNT('Reported Financials'!E441:H441)=0,"",IF(SUMPRODUCT(--ISNUMBER('Reported Financials'!E441:H441),--(E441:H441=""))=0,"OK","source missing"))</f>
        <v>OK</v>
      </c>
    </row>
    <row r="443" spans="1:13" ht="15" customHeight="1" x14ac:dyDescent="0.35">
      <c r="A443" s="17" t="s">
        <v>5</v>
      </c>
      <c r="B443" s="18" t="s">
        <v>1453</v>
      </c>
      <c r="C443" s="15"/>
      <c r="D443" s="15"/>
      <c r="E443" s="15"/>
      <c r="F443" s="15"/>
      <c r="G443" s="15"/>
      <c r="H443" s="15"/>
      <c r="I443" s="15"/>
      <c r="J443" s="15"/>
      <c r="K443" s="15"/>
      <c r="L443" s="15"/>
    </row>
    <row r="445" spans="1:13" ht="15" customHeight="1" x14ac:dyDescent="0.35">
      <c r="B445" s="74" t="s">
        <v>1454</v>
      </c>
      <c r="C445" s="98" t="s">
        <v>1233</v>
      </c>
      <c r="F445" s="98" t="s">
        <v>1718</v>
      </c>
      <c r="G445" s="98" t="s">
        <v>1670</v>
      </c>
      <c r="H445" s="98" t="s">
        <v>1670</v>
      </c>
      <c r="J445" s="21" t="s">
        <v>1454</v>
      </c>
      <c r="K445" s="21" t="s">
        <v>1546</v>
      </c>
      <c r="M445" s="112" t="str">
        <f>IF(COUNT('Reported Financials'!E445:H445)=0,"",IF(SUMPRODUCT(--ISNUMBER('Reported Financials'!E445:H445),--(E445:H445=""))=0,"OK","source missing"))</f>
        <v>OK</v>
      </c>
    </row>
    <row r="446" spans="1:13" ht="15" customHeight="1" x14ac:dyDescent="0.35">
      <c r="B446" s="74" t="s">
        <v>1455</v>
      </c>
      <c r="C446" s="98" t="s">
        <v>1233</v>
      </c>
      <c r="F446" s="98" t="s">
        <v>1718</v>
      </c>
      <c r="G446" s="98" t="s">
        <v>1670</v>
      </c>
      <c r="H446" s="98" t="s">
        <v>1670</v>
      </c>
      <c r="J446" s="21" t="s">
        <v>1719</v>
      </c>
      <c r="K446" s="21" t="s">
        <v>1546</v>
      </c>
      <c r="M446" s="112" t="str">
        <f>IF(COUNT('Reported Financials'!E446:H446)=0,"",IF(SUMPRODUCT(--ISNUMBER('Reported Financials'!E446:H446),--(E446:H446=""))=0,"OK","source missing"))</f>
        <v>OK</v>
      </c>
    </row>
    <row r="447" spans="1:13" ht="15" customHeight="1" x14ac:dyDescent="0.35">
      <c r="B447" s="74" t="s">
        <v>1457</v>
      </c>
      <c r="C447" s="98" t="s">
        <v>1233</v>
      </c>
      <c r="F447" s="98" t="s">
        <v>1718</v>
      </c>
      <c r="G447" s="98" t="s">
        <v>1670</v>
      </c>
      <c r="H447" s="98" t="s">
        <v>1670</v>
      </c>
      <c r="J447" s="21" t="s">
        <v>1720</v>
      </c>
      <c r="K447" s="21" t="s">
        <v>1546</v>
      </c>
      <c r="M447" s="112" t="str">
        <f>IF(COUNT('Reported Financials'!E447:H447)=0,"",IF(SUMPRODUCT(--ISNUMBER('Reported Financials'!E447:H447),--(E447:H447=""))=0,"OK","source missing"))</f>
        <v>OK</v>
      </c>
    </row>
    <row r="448" spans="1:13" ht="15" customHeight="1" x14ac:dyDescent="0.35">
      <c r="B448" s="74" t="s">
        <v>1458</v>
      </c>
      <c r="C448" s="98" t="s">
        <v>1233</v>
      </c>
      <c r="F448" s="98" t="s">
        <v>1718</v>
      </c>
      <c r="G448" s="98" t="s">
        <v>1670</v>
      </c>
      <c r="H448" s="98" t="s">
        <v>1670</v>
      </c>
      <c r="J448" s="21" t="s">
        <v>1721</v>
      </c>
      <c r="K448" s="21" t="s">
        <v>1546</v>
      </c>
      <c r="M448" s="112" t="str">
        <f>IF(COUNT('Reported Financials'!E448:H448)=0,"",IF(SUMPRODUCT(--ISNUMBER('Reported Financials'!E448:H448),--(E448:H448=""))=0,"OK","source missing"))</f>
        <v>OK</v>
      </c>
    </row>
    <row r="449" spans="1:13" ht="15" customHeight="1" x14ac:dyDescent="0.35">
      <c r="B449" s="74" t="s">
        <v>1460</v>
      </c>
      <c r="C449" s="98" t="s">
        <v>1233</v>
      </c>
      <c r="F449" s="98" t="s">
        <v>1718</v>
      </c>
      <c r="G449" s="98" t="s">
        <v>1670</v>
      </c>
      <c r="H449" s="98" t="s">
        <v>1670</v>
      </c>
      <c r="J449" s="21" t="s">
        <v>1722</v>
      </c>
      <c r="K449" s="21" t="s">
        <v>1546</v>
      </c>
      <c r="M449" s="112" t="str">
        <f>IF(COUNT('Reported Financials'!E449:H449)=0,"",IF(SUMPRODUCT(--ISNUMBER('Reported Financials'!E449:H449),--(E449:H449=""))=0,"OK","source missing"))</f>
        <v>OK</v>
      </c>
    </row>
    <row r="450" spans="1:13" ht="15" customHeight="1" x14ac:dyDescent="0.35">
      <c r="B450" s="74" t="s">
        <v>1461</v>
      </c>
      <c r="C450" s="98" t="s">
        <v>1233</v>
      </c>
      <c r="F450" s="98" t="s">
        <v>1718</v>
      </c>
      <c r="G450" s="98" t="s">
        <v>1670</v>
      </c>
      <c r="H450" s="98" t="s">
        <v>1670</v>
      </c>
      <c r="J450" s="21" t="s">
        <v>1723</v>
      </c>
      <c r="K450" s="21" t="s">
        <v>1546</v>
      </c>
      <c r="M450" s="112" t="str">
        <f>IF(COUNT('Reported Financials'!E450:H450)=0,"",IF(SUMPRODUCT(--ISNUMBER('Reported Financials'!E450:H450),--(E450:H450=""))=0,"OK","source missing"))</f>
        <v>OK</v>
      </c>
    </row>
    <row r="451" spans="1:13" ht="15" customHeight="1" x14ac:dyDescent="0.35">
      <c r="B451" s="74" t="s">
        <v>1463</v>
      </c>
      <c r="C451" s="98" t="s">
        <v>1233</v>
      </c>
      <c r="F451" s="98" t="s">
        <v>1718</v>
      </c>
      <c r="G451" s="98" t="s">
        <v>1670</v>
      </c>
      <c r="H451" s="98" t="s">
        <v>1670</v>
      </c>
      <c r="J451" s="21" t="s">
        <v>1724</v>
      </c>
      <c r="K451" s="21" t="s">
        <v>1546</v>
      </c>
      <c r="M451" s="112" t="str">
        <f>IF(COUNT('Reported Financials'!E451:H451)=0,"",IF(SUMPRODUCT(--ISNUMBER('Reported Financials'!E451:H451),--(E451:H451=""))=0,"OK","source missing"))</f>
        <v>OK</v>
      </c>
    </row>
    <row r="452" spans="1:13" ht="15" customHeight="1" x14ac:dyDescent="0.35">
      <c r="B452" s="74" t="s">
        <v>1465</v>
      </c>
      <c r="C452" s="98" t="s">
        <v>1233</v>
      </c>
      <c r="F452" s="113"/>
      <c r="G452" s="113"/>
      <c r="H452" s="98" t="s">
        <v>1670</v>
      </c>
      <c r="J452" s="21" t="s">
        <v>1725</v>
      </c>
      <c r="K452" s="21" t="s">
        <v>1546</v>
      </c>
      <c r="M452" s="112" t="str">
        <f>IF(COUNT('Reported Financials'!E452:H452)=0,"",IF(SUMPRODUCT(--ISNUMBER('Reported Financials'!E452:H452),--(E452:H452=""))=0,"OK","source missing"))</f>
        <v>OK</v>
      </c>
    </row>
    <row r="453" spans="1:13" ht="15" customHeight="1" x14ac:dyDescent="0.35">
      <c r="B453" s="74" t="s">
        <v>1467</v>
      </c>
      <c r="C453" s="98" t="s">
        <v>1233</v>
      </c>
      <c r="F453" s="113"/>
      <c r="G453" s="113"/>
      <c r="H453" s="98" t="s">
        <v>1670</v>
      </c>
      <c r="J453" s="21" t="s">
        <v>1726</v>
      </c>
      <c r="K453" s="21" t="s">
        <v>1546</v>
      </c>
      <c r="M453" s="112" t="str">
        <f>IF(COUNT('Reported Financials'!E453:H453)=0,"",IF(SUMPRODUCT(--ISNUMBER('Reported Financials'!E453:H453),--(E453:H453=""))=0,"OK","source missing"))</f>
        <v>OK</v>
      </c>
    </row>
    <row r="454" spans="1:13" ht="15" customHeight="1" x14ac:dyDescent="0.35">
      <c r="B454" s="74" t="s">
        <v>1068</v>
      </c>
      <c r="F454" s="114" t="s">
        <v>1539</v>
      </c>
      <c r="G454" s="114" t="s">
        <v>1539</v>
      </c>
      <c r="H454" s="114" t="s">
        <v>1539</v>
      </c>
      <c r="K454" s="115" t="s">
        <v>1548</v>
      </c>
    </row>
    <row r="455" spans="1:13" ht="15" customHeight="1" x14ac:dyDescent="0.35">
      <c r="B455" s="77" t="s">
        <v>1469</v>
      </c>
      <c r="C455" s="102" t="s">
        <v>1233</v>
      </c>
      <c r="D455" s="78"/>
      <c r="E455" s="78"/>
      <c r="F455" s="116" t="s">
        <v>1539</v>
      </c>
      <c r="G455" s="116" t="s">
        <v>1539</v>
      </c>
      <c r="H455" s="116" t="s">
        <v>1539</v>
      </c>
      <c r="K455" s="115" t="s">
        <v>1683</v>
      </c>
    </row>
    <row r="457" spans="1:13" ht="15" customHeight="1" x14ac:dyDescent="0.35">
      <c r="A457" s="17" t="s">
        <v>5</v>
      </c>
      <c r="B457" s="18" t="s">
        <v>1470</v>
      </c>
      <c r="C457" s="15"/>
      <c r="D457" s="15"/>
      <c r="E457" s="15"/>
      <c r="F457" s="15"/>
      <c r="G457" s="15"/>
      <c r="H457" s="15"/>
      <c r="I457" s="15"/>
      <c r="J457" s="15"/>
      <c r="K457" s="15"/>
      <c r="L457" s="15"/>
    </row>
    <row r="459" spans="1:13" ht="15" customHeight="1" x14ac:dyDescent="0.35">
      <c r="B459" s="74" t="s">
        <v>1471</v>
      </c>
      <c r="C459" s="98" t="s">
        <v>1233</v>
      </c>
      <c r="F459" s="114" t="s">
        <v>1539</v>
      </c>
      <c r="G459" s="114" t="s">
        <v>1539</v>
      </c>
      <c r="H459" s="114" t="s">
        <v>1539</v>
      </c>
      <c r="K459" s="115" t="s">
        <v>1698</v>
      </c>
    </row>
    <row r="460" spans="1:13" ht="15" customHeight="1" x14ac:dyDescent="0.35">
      <c r="B460" s="74" t="s">
        <v>1473</v>
      </c>
      <c r="C460" s="98" t="s">
        <v>1173</v>
      </c>
      <c r="F460" s="113"/>
      <c r="G460" s="113"/>
      <c r="H460" s="98" t="s">
        <v>1727</v>
      </c>
      <c r="J460" s="21" t="s">
        <v>1473</v>
      </c>
      <c r="K460" s="21" t="s">
        <v>1546</v>
      </c>
      <c r="M460" s="112" t="str">
        <f>IF(COUNT('Reported Financials'!E460:H460)=0,"",IF(SUMPRODUCT(--ISNUMBER('Reported Financials'!E460:H460),--(E460:H460=""))=0,"OK","source missing"))</f>
        <v>OK</v>
      </c>
    </row>
    <row r="461" spans="1:13" ht="15" customHeight="1" x14ac:dyDescent="0.35">
      <c r="B461" s="74" t="s">
        <v>1474</v>
      </c>
      <c r="C461" s="98" t="s">
        <v>1173</v>
      </c>
      <c r="F461" s="113"/>
      <c r="G461" s="113"/>
      <c r="H461" s="98" t="s">
        <v>1727</v>
      </c>
      <c r="J461" s="21" t="s">
        <v>1474</v>
      </c>
      <c r="K461" s="21" t="s">
        <v>1546</v>
      </c>
      <c r="M461" s="112" t="str">
        <f>IF(COUNT('Reported Financials'!E461:H461)=0,"",IF(SUMPRODUCT(--ISNUMBER('Reported Financials'!E461:H461),--(E461:H461=""))=0,"OK","source missing"))</f>
        <v>OK</v>
      </c>
    </row>
    <row r="462" spans="1:13" ht="15" customHeight="1" x14ac:dyDescent="0.35">
      <c r="B462" s="74" t="s">
        <v>1476</v>
      </c>
      <c r="C462" s="98" t="s">
        <v>1233</v>
      </c>
      <c r="F462" s="114" t="s">
        <v>1539</v>
      </c>
      <c r="G462" s="114" t="s">
        <v>1539</v>
      </c>
      <c r="H462" s="114" t="s">
        <v>1539</v>
      </c>
      <c r="K462" s="115" t="s">
        <v>1698</v>
      </c>
    </row>
    <row r="463" spans="1:13" x14ac:dyDescent="0.35">
      <c r="B463" s="20" t="s">
        <v>1477</v>
      </c>
      <c r="J463" s="21" t="s">
        <v>1728</v>
      </c>
      <c r="K463" s="21" t="s">
        <v>1729</v>
      </c>
    </row>
    <row r="465" spans="1:13" ht="15" customHeight="1" x14ac:dyDescent="0.35">
      <c r="A465" s="17" t="s">
        <v>5</v>
      </c>
      <c r="B465" s="18" t="s">
        <v>1478</v>
      </c>
      <c r="C465" s="15"/>
      <c r="D465" s="15"/>
      <c r="E465" s="15"/>
      <c r="F465" s="15"/>
      <c r="G465" s="15"/>
      <c r="H465" s="15"/>
      <c r="I465" s="15"/>
      <c r="J465" s="15"/>
      <c r="K465" s="15"/>
      <c r="L465" s="15"/>
    </row>
    <row r="467" spans="1:13" ht="15" customHeight="1" x14ac:dyDescent="0.35">
      <c r="B467" s="74" t="s">
        <v>1479</v>
      </c>
      <c r="C467" s="98" t="s">
        <v>1166</v>
      </c>
      <c r="F467" s="98" t="s">
        <v>1612</v>
      </c>
      <c r="G467" s="98" t="s">
        <v>1613</v>
      </c>
      <c r="H467" s="98" t="s">
        <v>1613</v>
      </c>
      <c r="J467" s="21" t="s">
        <v>1479</v>
      </c>
      <c r="K467" s="21" t="s">
        <v>1546</v>
      </c>
      <c r="M467" s="112" t="str">
        <f>IF(COUNT('Reported Financials'!E467:H467)=0,"",IF(SUMPRODUCT(--ISNUMBER('Reported Financials'!E467:H467),--(E467:H467=""))=0,"OK","source missing"))</f>
        <v>OK</v>
      </c>
    </row>
    <row r="468" spans="1:13" ht="15" customHeight="1" x14ac:dyDescent="0.35">
      <c r="B468" s="74" t="s">
        <v>1481</v>
      </c>
      <c r="C468" s="98" t="s">
        <v>1166</v>
      </c>
      <c r="F468" s="98" t="s">
        <v>1612</v>
      </c>
      <c r="G468" s="98" t="s">
        <v>1613</v>
      </c>
      <c r="H468" s="98" t="s">
        <v>1613</v>
      </c>
      <c r="J468" s="21" t="s">
        <v>1730</v>
      </c>
      <c r="K468" s="21" t="s">
        <v>1546</v>
      </c>
      <c r="M468" s="112" t="str">
        <f>IF(COUNT('Reported Financials'!E468:H468)=0,"",IF(SUMPRODUCT(--ISNUMBER('Reported Financials'!E468:H468),--(E468:H468=""))=0,"OK","source missing"))</f>
        <v>OK</v>
      </c>
    </row>
    <row r="469" spans="1:13" ht="15" customHeight="1" x14ac:dyDescent="0.35">
      <c r="B469" s="74" t="s">
        <v>1482</v>
      </c>
      <c r="C469" s="98" t="s">
        <v>1166</v>
      </c>
      <c r="F469" s="98" t="s">
        <v>1612</v>
      </c>
      <c r="G469" s="98" t="s">
        <v>1613</v>
      </c>
      <c r="H469" s="98" t="s">
        <v>1613</v>
      </c>
      <c r="J469" s="21" t="s">
        <v>1731</v>
      </c>
      <c r="K469" s="21" t="s">
        <v>1546</v>
      </c>
      <c r="M469" s="112" t="str">
        <f>IF(COUNT('Reported Financials'!E469:H469)=0,"",IF(SUMPRODUCT(--ISNUMBER('Reported Financials'!E469:H469),--(E469:H469=""))=0,"OK","source missing"))</f>
        <v>OK</v>
      </c>
    </row>
    <row r="470" spans="1:13" ht="15" customHeight="1" x14ac:dyDescent="0.35">
      <c r="B470" s="74" t="s">
        <v>1483</v>
      </c>
      <c r="C470" s="98" t="s">
        <v>1166</v>
      </c>
      <c r="F470" s="98" t="s">
        <v>1612</v>
      </c>
      <c r="G470" s="98" t="s">
        <v>1613</v>
      </c>
      <c r="H470" s="98" t="s">
        <v>1613</v>
      </c>
      <c r="J470" s="21" t="s">
        <v>1732</v>
      </c>
      <c r="K470" s="21" t="s">
        <v>1546</v>
      </c>
      <c r="M470" s="112" t="str">
        <f>IF(COUNT('Reported Financials'!E470:H470)=0,"",IF(SUMPRODUCT(--ISNUMBER('Reported Financials'!E470:H470),--(E470:H470=""))=0,"OK","source missing"))</f>
        <v>OK</v>
      </c>
    </row>
    <row r="471" spans="1:13" ht="15" customHeight="1" x14ac:dyDescent="0.35">
      <c r="B471" s="74" t="s">
        <v>1484</v>
      </c>
      <c r="C471" s="98" t="s">
        <v>1166</v>
      </c>
      <c r="F471" s="98" t="s">
        <v>1612</v>
      </c>
      <c r="G471" s="98" t="s">
        <v>1613</v>
      </c>
      <c r="H471" s="98" t="s">
        <v>1613</v>
      </c>
      <c r="J471" s="21" t="s">
        <v>1733</v>
      </c>
      <c r="K471" s="21" t="s">
        <v>1546</v>
      </c>
      <c r="M471" s="112" t="str">
        <f>IF(COUNT('Reported Financials'!E471:H471)=0,"",IF(SUMPRODUCT(--ISNUMBER('Reported Financials'!E471:H471),--(E471:H471=""))=0,"OK","source missing"))</f>
        <v>OK</v>
      </c>
    </row>
    <row r="472" spans="1:13" ht="15" customHeight="1" x14ac:dyDescent="0.35">
      <c r="B472" s="74" t="s">
        <v>1485</v>
      </c>
      <c r="C472" s="98" t="s">
        <v>1166</v>
      </c>
      <c r="F472" s="98" t="s">
        <v>1612</v>
      </c>
      <c r="G472" s="98" t="s">
        <v>1613</v>
      </c>
      <c r="H472" s="98" t="s">
        <v>1613</v>
      </c>
      <c r="J472" s="21" t="s">
        <v>1734</v>
      </c>
      <c r="K472" s="21" t="s">
        <v>1546</v>
      </c>
      <c r="M472" s="112" t="str">
        <f>IF(COUNT('Reported Financials'!E472:H472)=0,"",IF(SUMPRODUCT(--ISNUMBER('Reported Financials'!E472:H472),--(E472:H472=""))=0,"OK","source missing"))</f>
        <v>OK</v>
      </c>
    </row>
    <row r="473" spans="1:13" ht="15" customHeight="1" x14ac:dyDescent="0.35">
      <c r="B473" s="74" t="s">
        <v>1467</v>
      </c>
      <c r="C473" s="98" t="s">
        <v>1166</v>
      </c>
      <c r="F473" s="113"/>
      <c r="G473" s="113"/>
      <c r="H473" s="98" t="s">
        <v>1613</v>
      </c>
      <c r="J473" s="21" t="s">
        <v>1726</v>
      </c>
      <c r="K473" s="21" t="s">
        <v>1546</v>
      </c>
      <c r="M473" s="112" t="str">
        <f>IF(COUNT('Reported Financials'!E473:H473)=0,"",IF(SUMPRODUCT(--ISNUMBER('Reported Financials'!E473:H473),--(E473:H473=""))=0,"OK","source missing"))</f>
        <v>OK</v>
      </c>
    </row>
    <row r="474" spans="1:13" ht="15" customHeight="1" x14ac:dyDescent="0.35">
      <c r="B474" s="74" t="s">
        <v>1068</v>
      </c>
      <c r="F474" s="114" t="s">
        <v>1539</v>
      </c>
      <c r="G474" s="114" t="s">
        <v>1539</v>
      </c>
      <c r="H474" s="114" t="s">
        <v>1539</v>
      </c>
      <c r="K474" s="115" t="s">
        <v>1548</v>
      </c>
    </row>
    <row r="475" spans="1:13" ht="15" customHeight="1" x14ac:dyDescent="0.35">
      <c r="B475" s="77" t="s">
        <v>1486</v>
      </c>
      <c r="C475" s="102" t="s">
        <v>1166</v>
      </c>
      <c r="D475" s="78"/>
      <c r="E475" s="78"/>
      <c r="F475" s="116" t="s">
        <v>1539</v>
      </c>
      <c r="G475" s="116" t="s">
        <v>1539</v>
      </c>
      <c r="H475" s="116" t="s">
        <v>1539</v>
      </c>
      <c r="K475" s="115" t="s">
        <v>1683</v>
      </c>
    </row>
    <row r="477" spans="1:13" ht="15" customHeight="1" x14ac:dyDescent="0.35">
      <c r="A477" s="17" t="s">
        <v>5</v>
      </c>
      <c r="B477" s="18" t="s">
        <v>1487</v>
      </c>
      <c r="C477" s="15"/>
      <c r="D477" s="15"/>
      <c r="E477" s="15"/>
      <c r="F477" s="15"/>
      <c r="G477" s="15"/>
      <c r="H477" s="15"/>
      <c r="I477" s="15"/>
      <c r="J477" s="15"/>
      <c r="K477" s="15"/>
      <c r="L477" s="15"/>
    </row>
    <row r="479" spans="1:13" ht="15" customHeight="1" x14ac:dyDescent="0.35">
      <c r="B479" s="74" t="s">
        <v>1488</v>
      </c>
      <c r="C479" s="98" t="s">
        <v>1173</v>
      </c>
      <c r="F479" s="98" t="s">
        <v>1735</v>
      </c>
      <c r="G479" s="98" t="s">
        <v>1727</v>
      </c>
      <c r="H479" s="98" t="s">
        <v>1727</v>
      </c>
      <c r="J479" s="21" t="s">
        <v>1488</v>
      </c>
      <c r="K479" s="21" t="s">
        <v>1546</v>
      </c>
      <c r="M479" s="112" t="str">
        <f>IF(COUNT('Reported Financials'!E479:H479)=0,"",IF(SUMPRODUCT(--ISNUMBER('Reported Financials'!E479:H479),--(E479:H479=""))=0,"OK","source missing"))</f>
        <v>OK</v>
      </c>
    </row>
    <row r="480" spans="1:13" ht="15" customHeight="1" x14ac:dyDescent="0.35">
      <c r="B480" s="74" t="s">
        <v>1489</v>
      </c>
      <c r="C480" s="98" t="s">
        <v>1173</v>
      </c>
      <c r="F480" s="98" t="s">
        <v>1735</v>
      </c>
      <c r="G480" s="98" t="s">
        <v>1727</v>
      </c>
      <c r="H480" s="98" t="s">
        <v>1727</v>
      </c>
      <c r="J480" s="21" t="s">
        <v>1489</v>
      </c>
      <c r="K480" s="21" t="s">
        <v>1546</v>
      </c>
      <c r="M480" s="112" t="str">
        <f>IF(COUNT('Reported Financials'!E480:H480)=0,"",IF(SUMPRODUCT(--ISNUMBER('Reported Financials'!E480:H480),--(E480:H480=""))=0,"OK","source missing"))</f>
        <v>OK</v>
      </c>
    </row>
    <row r="481" spans="1:13" ht="15" customHeight="1" x14ac:dyDescent="0.35">
      <c r="B481" s="74" t="s">
        <v>1490</v>
      </c>
      <c r="C481" s="98" t="s">
        <v>1173</v>
      </c>
      <c r="F481" s="98" t="s">
        <v>1735</v>
      </c>
      <c r="G481" s="98" t="s">
        <v>1727</v>
      </c>
      <c r="H481" s="98" t="s">
        <v>1727</v>
      </c>
      <c r="J481" s="21" t="s">
        <v>1490</v>
      </c>
      <c r="K481" s="21" t="s">
        <v>1546</v>
      </c>
      <c r="M481" s="112" t="str">
        <f>IF(COUNT('Reported Financials'!E481:H481)=0,"",IF(SUMPRODUCT(--ISNUMBER('Reported Financials'!E481:H481),--(E481:H481=""))=0,"OK","source missing"))</f>
        <v>OK</v>
      </c>
    </row>
    <row r="482" spans="1:13" ht="15" customHeight="1" x14ac:dyDescent="0.35">
      <c r="B482" s="74" t="s">
        <v>1492</v>
      </c>
      <c r="C482" s="98" t="s">
        <v>1173</v>
      </c>
      <c r="F482" s="98" t="s">
        <v>1735</v>
      </c>
      <c r="G482" s="98" t="s">
        <v>1727</v>
      </c>
      <c r="H482" s="98" t="s">
        <v>1727</v>
      </c>
      <c r="J482" s="21" t="s">
        <v>1492</v>
      </c>
      <c r="K482" s="21" t="s">
        <v>1546</v>
      </c>
      <c r="M482" s="112" t="str">
        <f>IF(COUNT('Reported Financials'!E482:H482)=0,"",IF(SUMPRODUCT(--ISNUMBER('Reported Financials'!E482:H482),--(E482:H482=""))=0,"OK","source missing"))</f>
        <v>OK</v>
      </c>
    </row>
    <row r="483" spans="1:13" ht="15" customHeight="1" x14ac:dyDescent="0.35">
      <c r="B483" s="74" t="s">
        <v>1493</v>
      </c>
      <c r="C483" s="98" t="s">
        <v>1173</v>
      </c>
      <c r="F483" s="98" t="s">
        <v>1735</v>
      </c>
      <c r="G483" s="98" t="s">
        <v>1727</v>
      </c>
      <c r="H483" s="98" t="s">
        <v>1727</v>
      </c>
      <c r="J483" s="21" t="s">
        <v>1493</v>
      </c>
      <c r="K483" s="21" t="s">
        <v>1546</v>
      </c>
      <c r="M483" s="112" t="str">
        <f>IF(COUNT('Reported Financials'!E483:H483)=0,"",IF(SUMPRODUCT(--ISNUMBER('Reported Financials'!E483:H483),--(E483:H483=""))=0,"OK","source missing"))</f>
        <v>OK</v>
      </c>
    </row>
    <row r="485" spans="1:13" ht="15" customHeight="1" x14ac:dyDescent="0.35">
      <c r="A485" s="17" t="s">
        <v>5</v>
      </c>
      <c r="B485" s="18" t="s">
        <v>1495</v>
      </c>
      <c r="C485" s="15"/>
      <c r="D485" s="15"/>
      <c r="E485" s="15"/>
      <c r="F485" s="15"/>
      <c r="G485" s="15"/>
      <c r="H485" s="15"/>
      <c r="I485" s="15"/>
      <c r="J485" s="15"/>
      <c r="K485" s="15"/>
      <c r="L485" s="15"/>
    </row>
    <row r="487" spans="1:13" ht="15" customHeight="1" x14ac:dyDescent="0.35">
      <c r="B487" s="74" t="s">
        <v>1496</v>
      </c>
      <c r="F487" s="98" t="s">
        <v>1736</v>
      </c>
      <c r="G487" s="98" t="s">
        <v>1737</v>
      </c>
      <c r="H487" s="98" t="s">
        <v>1738</v>
      </c>
      <c r="J487" s="21" t="s">
        <v>1496</v>
      </c>
      <c r="K487" s="21" t="s">
        <v>1546</v>
      </c>
      <c r="M487" s="112" t="str">
        <f>IF(COUNT('Reported Financials'!E487:H487)=0,"",IF(SUMPRODUCT(--ISNUMBER('Reported Financials'!E487:H487),--(E487:H487=""))=0,"OK","source missing"))</f>
        <v>OK</v>
      </c>
    </row>
    <row r="488" spans="1:13" ht="15" customHeight="1" x14ac:dyDescent="0.35">
      <c r="B488" s="74" t="s">
        <v>1498</v>
      </c>
      <c r="F488" s="113"/>
      <c r="G488" s="113"/>
      <c r="H488" s="98" t="s">
        <v>1738</v>
      </c>
      <c r="J488" s="21" t="s">
        <v>1498</v>
      </c>
      <c r="K488" s="21" t="s">
        <v>1546</v>
      </c>
      <c r="M488" s="112" t="str">
        <f>IF(COUNT('Reported Financials'!E488:H488)=0,"",IF(SUMPRODUCT(--ISNUMBER('Reported Financials'!E488:H488),--(E488:H488=""))=0,"OK","source missing"))</f>
        <v>OK</v>
      </c>
    </row>
    <row r="489" spans="1:13" x14ac:dyDescent="0.35">
      <c r="B489" s="20" t="s">
        <v>1500</v>
      </c>
      <c r="J489" s="21" t="s">
        <v>1739</v>
      </c>
      <c r="K489" s="21" t="s">
        <v>1729</v>
      </c>
    </row>
    <row r="491" spans="1:13" ht="15" customHeight="1" x14ac:dyDescent="0.35">
      <c r="A491" s="17" t="s">
        <v>5</v>
      </c>
      <c r="B491" s="18" t="s">
        <v>1501</v>
      </c>
      <c r="C491" s="15"/>
      <c r="D491" s="15"/>
      <c r="E491" s="15"/>
      <c r="F491" s="15"/>
      <c r="G491" s="15"/>
      <c r="H491" s="15"/>
      <c r="I491" s="15"/>
      <c r="J491" s="15"/>
      <c r="K491" s="15"/>
      <c r="L491" s="15"/>
    </row>
    <row r="495" spans="1:13" ht="15" customHeight="1" x14ac:dyDescent="0.35">
      <c r="B495" s="73" t="s">
        <v>1292</v>
      </c>
    </row>
    <row r="496" spans="1:13" ht="15" customHeight="1" x14ac:dyDescent="0.35">
      <c r="B496" s="74" t="s">
        <v>1279</v>
      </c>
      <c r="F496" s="98" t="s">
        <v>1664</v>
      </c>
      <c r="G496" s="98" t="s">
        <v>1665</v>
      </c>
      <c r="H496" s="98" t="s">
        <v>1665</v>
      </c>
      <c r="J496" s="21" t="s">
        <v>1279</v>
      </c>
      <c r="K496" s="21" t="s">
        <v>1546</v>
      </c>
      <c r="M496" s="112" t="str">
        <f>IF(COUNT('Reported Financials'!E496:H496)=0,"",IF(SUMPRODUCT(--ISNUMBER('Reported Financials'!E496:H496),--(E496:H496=""))=0,"OK","source missing"))</f>
        <v>OK</v>
      </c>
    </row>
    <row r="497" spans="2:13" ht="15" customHeight="1" x14ac:dyDescent="0.35">
      <c r="B497" s="74" t="s">
        <v>1376</v>
      </c>
      <c r="F497" s="98" t="s">
        <v>1664</v>
      </c>
      <c r="G497" s="98" t="s">
        <v>1665</v>
      </c>
      <c r="H497" s="98" t="s">
        <v>1665</v>
      </c>
      <c r="J497" s="21" t="s">
        <v>1376</v>
      </c>
      <c r="K497" s="21" t="s">
        <v>1546</v>
      </c>
      <c r="M497" s="112" t="str">
        <f>IF(COUNT('Reported Financials'!E497:H497)=0,"",IF(SUMPRODUCT(--ISNUMBER('Reported Financials'!E497:H497),--(E497:H497=""))=0,"OK","source missing"))</f>
        <v>OK</v>
      </c>
    </row>
    <row r="498" spans="2:13" ht="15" customHeight="1" x14ac:dyDescent="0.35">
      <c r="B498" s="74" t="s">
        <v>1386</v>
      </c>
      <c r="F498" s="98" t="s">
        <v>1664</v>
      </c>
      <c r="G498" s="98" t="s">
        <v>1665</v>
      </c>
      <c r="H498" s="98" t="s">
        <v>1665</v>
      </c>
      <c r="J498" s="21" t="s">
        <v>1386</v>
      </c>
      <c r="K498" s="21" t="s">
        <v>1546</v>
      </c>
      <c r="M498" s="112" t="str">
        <f>IF(COUNT('Reported Financials'!E498:H498)=0,"",IF(SUMPRODUCT(--ISNUMBER('Reported Financials'!E498:H498),--(E498:H498=""))=0,"OK","source missing"))</f>
        <v>OK</v>
      </c>
    </row>
    <row r="499" spans="2:13" ht="15" customHeight="1" x14ac:dyDescent="0.35">
      <c r="B499" s="74" t="s">
        <v>1387</v>
      </c>
      <c r="F499" s="98" t="s">
        <v>1664</v>
      </c>
      <c r="G499" s="98" t="s">
        <v>1665</v>
      </c>
      <c r="H499" s="98" t="s">
        <v>1665</v>
      </c>
      <c r="J499" s="21" t="s">
        <v>1387</v>
      </c>
      <c r="K499" s="21" t="s">
        <v>1546</v>
      </c>
      <c r="M499" s="112" t="str">
        <f>IF(COUNT('Reported Financials'!E499:H499)=0,"",IF(SUMPRODUCT(--ISNUMBER('Reported Financials'!E499:H499),--(E499:H499=""))=0,"OK","source missing"))</f>
        <v>OK</v>
      </c>
    </row>
    <row r="500" spans="2:13" ht="15" customHeight="1" x14ac:dyDescent="0.35">
      <c r="B500" s="74" t="s">
        <v>1389</v>
      </c>
      <c r="F500" s="98" t="s">
        <v>1664</v>
      </c>
      <c r="G500" s="98" t="s">
        <v>1665</v>
      </c>
      <c r="H500" s="98" t="s">
        <v>1665</v>
      </c>
      <c r="J500" s="21" t="s">
        <v>1389</v>
      </c>
      <c r="K500" s="21" t="s">
        <v>1546</v>
      </c>
      <c r="M500" s="112" t="str">
        <f>IF(COUNT('Reported Financials'!E500:H500)=0,"",IF(SUMPRODUCT(--ISNUMBER('Reported Financials'!E500:H500),--(E500:H500=""))=0,"OK","source missing"))</f>
        <v>OK</v>
      </c>
    </row>
    <row r="501" spans="2:13" ht="15" customHeight="1" x14ac:dyDescent="0.35">
      <c r="B501" s="74" t="s">
        <v>1392</v>
      </c>
      <c r="F501" s="98" t="s">
        <v>1664</v>
      </c>
      <c r="G501" s="98" t="s">
        <v>1665</v>
      </c>
      <c r="H501" s="98" t="s">
        <v>1665</v>
      </c>
      <c r="J501" s="21" t="s">
        <v>1392</v>
      </c>
      <c r="K501" s="21" t="s">
        <v>1546</v>
      </c>
      <c r="M501" s="112" t="str">
        <f>IF(COUNT('Reported Financials'!E501:H501)=0,"",IF(SUMPRODUCT(--ISNUMBER('Reported Financials'!E501:H501),--(E501:H501=""))=0,"OK","source missing"))</f>
        <v>OK</v>
      </c>
    </row>
    <row r="502" spans="2:13" ht="15" customHeight="1" x14ac:dyDescent="0.35">
      <c r="B502" s="74" t="s">
        <v>1395</v>
      </c>
      <c r="F502" s="98" t="s">
        <v>1664</v>
      </c>
      <c r="G502" s="98" t="s">
        <v>1665</v>
      </c>
      <c r="H502" s="98" t="s">
        <v>1665</v>
      </c>
      <c r="J502" s="21" t="s">
        <v>1395</v>
      </c>
      <c r="K502" s="21" t="s">
        <v>1546</v>
      </c>
      <c r="M502" s="112" t="str">
        <f>IF(COUNT('Reported Financials'!E502:H502)=0,"",IF(SUMPRODUCT(--ISNUMBER('Reported Financials'!E502:H502),--(E502:H502=""))=0,"OK","source missing"))</f>
        <v>OK</v>
      </c>
    </row>
    <row r="503" spans="2:13" ht="15" customHeight="1" x14ac:dyDescent="0.35">
      <c r="B503" s="74" t="s">
        <v>1418</v>
      </c>
      <c r="G503" s="98" t="s">
        <v>1616</v>
      </c>
      <c r="H503" s="98" t="s">
        <v>1616</v>
      </c>
      <c r="J503" s="21" t="s">
        <v>1418</v>
      </c>
      <c r="K503" s="21" t="s">
        <v>1546</v>
      </c>
      <c r="M503" s="112" t="str">
        <f>IF(COUNT('Reported Financials'!E503:H503)=0,"",IF(SUMPRODUCT(--ISNUMBER('Reported Financials'!E503:H503),--(E503:H503=""))=0,"OK","source missing"))</f>
        <v>OK</v>
      </c>
    </row>
    <row r="504" spans="2:13" ht="15" customHeight="1" x14ac:dyDescent="0.35">
      <c r="B504" s="74" t="s">
        <v>1422</v>
      </c>
      <c r="F504" s="98" t="s">
        <v>1615</v>
      </c>
      <c r="G504" s="98" t="s">
        <v>1707</v>
      </c>
      <c r="H504" s="98" t="s">
        <v>1707</v>
      </c>
      <c r="J504" s="21" t="s">
        <v>1422</v>
      </c>
      <c r="K504" s="21" t="s">
        <v>1546</v>
      </c>
      <c r="M504" s="112" t="str">
        <f>IF(COUNT('Reported Financials'!E504:H504)=0,"",IF(SUMPRODUCT(--ISNUMBER('Reported Financials'!E504:H504),--(E504:H504=""))=0,"OK","source missing"))</f>
        <v>OK</v>
      </c>
    </row>
    <row r="505" spans="2:13" ht="15" customHeight="1" x14ac:dyDescent="0.35">
      <c r="B505" s="74" t="s">
        <v>1447</v>
      </c>
      <c r="F505" s="98" t="s">
        <v>1710</v>
      </c>
      <c r="G505" s="98" t="s">
        <v>1709</v>
      </c>
      <c r="J505" s="21" t="s">
        <v>1447</v>
      </c>
      <c r="K505" s="21" t="s">
        <v>1546</v>
      </c>
      <c r="M505" s="112" t="str">
        <f>IF(COUNT('Reported Financials'!E505:H505)=0,"",IF(SUMPRODUCT(--ISNUMBER('Reported Financials'!E505:H505),--(E505:H505=""))=0,"OK","source missing"))</f>
        <v>OK</v>
      </c>
    </row>
    <row r="506" spans="2:13" ht="15" customHeight="1" x14ac:dyDescent="0.35">
      <c r="B506" s="74" t="s">
        <v>1503</v>
      </c>
      <c r="F506" s="98" t="s">
        <v>1718</v>
      </c>
      <c r="G506" s="98" t="s">
        <v>1670</v>
      </c>
      <c r="H506" s="98" t="s">
        <v>1670</v>
      </c>
      <c r="J506" s="21" t="s">
        <v>1503</v>
      </c>
      <c r="K506" s="21" t="s">
        <v>1546</v>
      </c>
      <c r="M506" s="112" t="str">
        <f>IF(COUNT('Reported Financials'!E506:H506)=0,"",IF(SUMPRODUCT(--ISNUMBER('Reported Financials'!E506:H506),--(E506:H506=""))=0,"OK","source missing"))</f>
        <v>OK</v>
      </c>
    </row>
    <row r="507" spans="2:13" ht="15" customHeight="1" x14ac:dyDescent="0.35">
      <c r="B507" s="74" t="s">
        <v>1504</v>
      </c>
      <c r="F507" s="98" t="s">
        <v>1718</v>
      </c>
      <c r="G507" s="98" t="s">
        <v>1670</v>
      </c>
      <c r="H507" s="98" t="s">
        <v>1670</v>
      </c>
      <c r="J507" s="21" t="s">
        <v>1504</v>
      </c>
      <c r="K507" s="21" t="s">
        <v>1546</v>
      </c>
      <c r="M507" s="112" t="str">
        <f>IF(COUNT('Reported Financials'!E507:H507)=0,"",IF(SUMPRODUCT(--ISNUMBER('Reported Financials'!E507:H507),--(E507:H507=""))=0,"OK","source missing"))</f>
        <v>OK</v>
      </c>
    </row>
    <row r="508" spans="2:13" ht="15" customHeight="1" x14ac:dyDescent="0.35">
      <c r="B508" s="74" t="s">
        <v>1505</v>
      </c>
      <c r="F508" s="98" t="s">
        <v>1718</v>
      </c>
      <c r="G508" s="98" t="s">
        <v>1670</v>
      </c>
      <c r="H508" s="98" t="s">
        <v>1670</v>
      </c>
      <c r="J508" s="21" t="s">
        <v>1505</v>
      </c>
      <c r="K508" s="21" t="s">
        <v>1546</v>
      </c>
      <c r="M508" s="112" t="str">
        <f>IF(COUNT('Reported Financials'!E508:H508)=0,"",IF(SUMPRODUCT(--ISNUMBER('Reported Financials'!E508:H508),--(E508:H508=""))=0,"OK","source missing"))</f>
        <v>OK</v>
      </c>
    </row>
    <row r="509" spans="2:13" ht="15" customHeight="1" x14ac:dyDescent="0.35">
      <c r="B509" s="74" t="s">
        <v>1506</v>
      </c>
      <c r="F509" s="98" t="s">
        <v>1612</v>
      </c>
      <c r="G509" s="98" t="s">
        <v>1613</v>
      </c>
      <c r="H509" s="98" t="s">
        <v>1613</v>
      </c>
      <c r="J509" s="21" t="s">
        <v>1506</v>
      </c>
      <c r="K509" s="21" t="s">
        <v>1546</v>
      </c>
      <c r="M509" s="112" t="str">
        <f>IF(COUNT('Reported Financials'!E509:H509)=0,"",IF(SUMPRODUCT(--ISNUMBER('Reported Financials'!E509:H509),--(E509:H509=""))=0,"OK","source missing"))</f>
        <v>OK</v>
      </c>
    </row>
    <row r="511" spans="2:13" ht="15" customHeight="1" x14ac:dyDescent="0.35">
      <c r="B511" s="73" t="s">
        <v>1298</v>
      </c>
    </row>
    <row r="512" spans="2:13" ht="15" customHeight="1" x14ac:dyDescent="0.35">
      <c r="B512" s="74" t="s">
        <v>1507</v>
      </c>
      <c r="F512" s="114" t="s">
        <v>1539</v>
      </c>
      <c r="G512" s="114" t="s">
        <v>1539</v>
      </c>
      <c r="H512" s="114" t="s">
        <v>1539</v>
      </c>
      <c r="K512" s="115" t="s">
        <v>1698</v>
      </c>
    </row>
    <row r="513" spans="2:11" ht="15" customHeight="1" x14ac:dyDescent="0.35">
      <c r="B513" s="74" t="s">
        <v>1508</v>
      </c>
      <c r="F513" s="114" t="s">
        <v>1539</v>
      </c>
      <c r="G513" s="114" t="s">
        <v>1539</v>
      </c>
      <c r="H513" s="114" t="s">
        <v>1539</v>
      </c>
      <c r="K513" s="115" t="s">
        <v>1698</v>
      </c>
    </row>
    <row r="514" spans="2:11" ht="15" customHeight="1" x14ac:dyDescent="0.35">
      <c r="B514" s="74" t="s">
        <v>1509</v>
      </c>
      <c r="F514" s="114" t="s">
        <v>1539</v>
      </c>
      <c r="G514" s="114" t="s">
        <v>1539</v>
      </c>
      <c r="H514" s="114" t="s">
        <v>1539</v>
      </c>
      <c r="K514" s="115" t="s">
        <v>1698</v>
      </c>
    </row>
    <row r="515" spans="2:11" ht="15" customHeight="1" x14ac:dyDescent="0.35">
      <c r="B515" s="74" t="s">
        <v>1510</v>
      </c>
      <c r="F515" s="114" t="s">
        <v>1539</v>
      </c>
      <c r="G515" s="114" t="s">
        <v>1539</v>
      </c>
      <c r="H515" s="114" t="s">
        <v>1539</v>
      </c>
      <c r="K515" s="115" t="s">
        <v>1698</v>
      </c>
    </row>
    <row r="516" spans="2:11" ht="15" customHeight="1" x14ac:dyDescent="0.35">
      <c r="B516" s="74" t="s">
        <v>1511</v>
      </c>
      <c r="F516" s="114" t="s">
        <v>1539</v>
      </c>
      <c r="G516" s="114" t="s">
        <v>1539</v>
      </c>
      <c r="H516" s="114" t="s">
        <v>1539</v>
      </c>
      <c r="K516" s="115" t="s">
        <v>1698</v>
      </c>
    </row>
    <row r="517" spans="2:11" ht="15" customHeight="1" x14ac:dyDescent="0.35">
      <c r="B517" s="74" t="s">
        <v>1512</v>
      </c>
      <c r="F517" s="114" t="s">
        <v>1539</v>
      </c>
      <c r="G517" s="114" t="s">
        <v>1539</v>
      </c>
      <c r="H517" s="114" t="s">
        <v>1539</v>
      </c>
      <c r="K517" s="115" t="s">
        <v>1698</v>
      </c>
    </row>
    <row r="518" spans="2:11" ht="15" customHeight="1" x14ac:dyDescent="0.35">
      <c r="B518" s="74" t="s">
        <v>1513</v>
      </c>
      <c r="G518" s="114" t="s">
        <v>1539</v>
      </c>
      <c r="H518" s="114" t="s">
        <v>1539</v>
      </c>
      <c r="K518" s="115" t="s">
        <v>1698</v>
      </c>
    </row>
    <row r="519" spans="2:11" ht="15" customHeight="1" x14ac:dyDescent="0.35">
      <c r="B519" s="74" t="s">
        <v>1514</v>
      </c>
      <c r="F519" s="114" t="s">
        <v>1539</v>
      </c>
      <c r="G519" s="114" t="s">
        <v>1539</v>
      </c>
      <c r="H519" s="114" t="s">
        <v>1539</v>
      </c>
      <c r="K519" s="115" t="s">
        <v>1698</v>
      </c>
    </row>
    <row r="520" spans="2:11" ht="15" customHeight="1" x14ac:dyDescent="0.35">
      <c r="B520" s="74" t="s">
        <v>1515</v>
      </c>
      <c r="F520" s="114" t="s">
        <v>1539</v>
      </c>
      <c r="G520" s="114" t="s">
        <v>1539</v>
      </c>
      <c r="K520" s="115" t="s">
        <v>1698</v>
      </c>
    </row>
    <row r="521" spans="2:11" ht="15" customHeight="1" x14ac:dyDescent="0.35">
      <c r="B521" s="74" t="s">
        <v>1516</v>
      </c>
      <c r="F521" s="114" t="s">
        <v>1539</v>
      </c>
      <c r="G521" s="114" t="s">
        <v>1539</v>
      </c>
      <c r="H521" s="114" t="s">
        <v>1539</v>
      </c>
      <c r="K521" s="115" t="s">
        <v>1698</v>
      </c>
    </row>
    <row r="522" spans="2:11" ht="15" customHeight="1" x14ac:dyDescent="0.35">
      <c r="B522" s="74" t="s">
        <v>1517</v>
      </c>
      <c r="F522" s="114" t="s">
        <v>1539</v>
      </c>
      <c r="G522" s="114" t="s">
        <v>1539</v>
      </c>
      <c r="H522" s="114" t="s">
        <v>1539</v>
      </c>
      <c r="K522" s="115" t="s">
        <v>1698</v>
      </c>
    </row>
    <row r="523" spans="2:11" ht="15" customHeight="1" x14ac:dyDescent="0.35">
      <c r="B523" s="74" t="s">
        <v>1518</v>
      </c>
      <c r="F523" s="114" t="s">
        <v>1539</v>
      </c>
      <c r="G523" s="114" t="s">
        <v>1539</v>
      </c>
      <c r="H523" s="114" t="s">
        <v>1539</v>
      </c>
      <c r="K523" s="115" t="s">
        <v>1698</v>
      </c>
    </row>
    <row r="524" spans="2:11" ht="15" customHeight="1" x14ac:dyDescent="0.35">
      <c r="B524" s="74" t="s">
        <v>1279</v>
      </c>
      <c r="F524" s="114" t="s">
        <v>1539</v>
      </c>
      <c r="G524" s="114" t="s">
        <v>1539</v>
      </c>
      <c r="H524" s="114" t="s">
        <v>1539</v>
      </c>
      <c r="K524" s="115" t="s">
        <v>1698</v>
      </c>
    </row>
    <row r="525" spans="2:11" ht="15" customHeight="1" x14ac:dyDescent="0.35">
      <c r="B525" s="74" t="s">
        <v>1376</v>
      </c>
      <c r="F525" s="114" t="s">
        <v>1539</v>
      </c>
      <c r="G525" s="114" t="s">
        <v>1539</v>
      </c>
      <c r="H525" s="114" t="s">
        <v>1539</v>
      </c>
      <c r="K525" s="115" t="s">
        <v>1698</v>
      </c>
    </row>
    <row r="526" spans="2:11" ht="15" customHeight="1" x14ac:dyDescent="0.35">
      <c r="B526" s="74" t="s">
        <v>1386</v>
      </c>
      <c r="F526" s="114" t="s">
        <v>1539</v>
      </c>
      <c r="G526" s="114" t="s">
        <v>1539</v>
      </c>
      <c r="H526" s="114" t="s">
        <v>1539</v>
      </c>
      <c r="K526" s="115" t="s">
        <v>1698</v>
      </c>
    </row>
    <row r="527" spans="2:11" ht="15" customHeight="1" x14ac:dyDescent="0.35">
      <c r="B527" s="74" t="s">
        <v>1387</v>
      </c>
      <c r="F527" s="114" t="s">
        <v>1539</v>
      </c>
      <c r="G527" s="114" t="s">
        <v>1539</v>
      </c>
      <c r="H527" s="114" t="s">
        <v>1539</v>
      </c>
      <c r="K527" s="115" t="s">
        <v>1698</v>
      </c>
    </row>
    <row r="528" spans="2:11" ht="15" customHeight="1" x14ac:dyDescent="0.35">
      <c r="B528" s="74" t="s">
        <v>1389</v>
      </c>
      <c r="F528" s="114" t="s">
        <v>1539</v>
      </c>
      <c r="G528" s="114" t="s">
        <v>1539</v>
      </c>
      <c r="H528" s="114" t="s">
        <v>1539</v>
      </c>
      <c r="K528" s="115" t="s">
        <v>1698</v>
      </c>
    </row>
    <row r="529" spans="2:11" ht="15" customHeight="1" x14ac:dyDescent="0.35">
      <c r="B529" s="74" t="s">
        <v>1392</v>
      </c>
      <c r="F529" s="114" t="s">
        <v>1539</v>
      </c>
      <c r="G529" s="114" t="s">
        <v>1539</v>
      </c>
      <c r="H529" s="114" t="s">
        <v>1539</v>
      </c>
      <c r="K529" s="115" t="s">
        <v>1698</v>
      </c>
    </row>
    <row r="530" spans="2:11" ht="15" customHeight="1" x14ac:dyDescent="0.35">
      <c r="B530" s="74" t="s">
        <v>1395</v>
      </c>
      <c r="F530" s="114" t="s">
        <v>1539</v>
      </c>
      <c r="G530" s="114" t="s">
        <v>1539</v>
      </c>
      <c r="H530" s="114" t="s">
        <v>1539</v>
      </c>
      <c r="K530" s="115" t="s">
        <v>1698</v>
      </c>
    </row>
    <row r="531" spans="2:11" ht="15" customHeight="1" x14ac:dyDescent="0.35">
      <c r="B531" s="74" t="s">
        <v>1418</v>
      </c>
      <c r="G531" s="114" t="s">
        <v>1539</v>
      </c>
      <c r="H531" s="114" t="s">
        <v>1539</v>
      </c>
      <c r="K531" s="115" t="s">
        <v>1698</v>
      </c>
    </row>
    <row r="532" spans="2:11" ht="15" customHeight="1" x14ac:dyDescent="0.35">
      <c r="B532" s="74" t="s">
        <v>1422</v>
      </c>
      <c r="F532" s="114" t="s">
        <v>1539</v>
      </c>
      <c r="G532" s="114" t="s">
        <v>1539</v>
      </c>
      <c r="H532" s="114" t="s">
        <v>1539</v>
      </c>
      <c r="K532" s="115" t="s">
        <v>1698</v>
      </c>
    </row>
    <row r="533" spans="2:11" ht="15" customHeight="1" x14ac:dyDescent="0.35">
      <c r="B533" s="74" t="s">
        <v>1447</v>
      </c>
      <c r="F533" s="114" t="s">
        <v>1539</v>
      </c>
      <c r="G533" s="114" t="s">
        <v>1539</v>
      </c>
      <c r="K533" s="115" t="s">
        <v>1698</v>
      </c>
    </row>
    <row r="534" spans="2:11" ht="15" customHeight="1" x14ac:dyDescent="0.35">
      <c r="B534" s="74" t="s">
        <v>1503</v>
      </c>
      <c r="F534" s="114" t="s">
        <v>1539</v>
      </c>
      <c r="G534" s="114" t="s">
        <v>1539</v>
      </c>
      <c r="H534" s="114" t="s">
        <v>1539</v>
      </c>
      <c r="K534" s="115" t="s">
        <v>1698</v>
      </c>
    </row>
    <row r="535" spans="2:11" ht="15" customHeight="1" x14ac:dyDescent="0.35">
      <c r="B535" s="74" t="s">
        <v>1506</v>
      </c>
      <c r="F535" s="114" t="s">
        <v>1539</v>
      </c>
      <c r="G535" s="114" t="s">
        <v>1539</v>
      </c>
      <c r="H535" s="114" t="s">
        <v>1539</v>
      </c>
      <c r="K535" s="115" t="s">
        <v>1698</v>
      </c>
    </row>
    <row r="536" spans="2:11" ht="15" customHeight="1" x14ac:dyDescent="0.35">
      <c r="B536" s="74" t="s">
        <v>1519</v>
      </c>
      <c r="F536" s="114" t="s">
        <v>1539</v>
      </c>
      <c r="G536" s="114" t="s">
        <v>1539</v>
      </c>
      <c r="H536" s="114" t="s">
        <v>1539</v>
      </c>
      <c r="K536" s="115" t="s">
        <v>1698</v>
      </c>
    </row>
    <row r="537" spans="2:11" ht="15" customHeight="1" x14ac:dyDescent="0.35">
      <c r="B537" s="74" t="s">
        <v>1520</v>
      </c>
      <c r="F537" s="114" t="s">
        <v>1539</v>
      </c>
      <c r="G537" s="114" t="s">
        <v>1539</v>
      </c>
      <c r="H537" s="114" t="s">
        <v>1539</v>
      </c>
      <c r="K537" s="115" t="s">
        <v>1698</v>
      </c>
    </row>
    <row r="538" spans="2:11" ht="15" customHeight="1" x14ac:dyDescent="0.35">
      <c r="B538" s="74" t="s">
        <v>1521</v>
      </c>
      <c r="G538" s="114" t="s">
        <v>1539</v>
      </c>
      <c r="H538" s="114" t="s">
        <v>1539</v>
      </c>
      <c r="K538" s="115" t="s">
        <v>1698</v>
      </c>
    </row>
    <row r="539" spans="2:11" ht="15" customHeight="1" x14ac:dyDescent="0.35">
      <c r="B539" s="74" t="s">
        <v>1522</v>
      </c>
      <c r="F539" s="114" t="s">
        <v>1539</v>
      </c>
      <c r="G539" s="114" t="s">
        <v>1539</v>
      </c>
      <c r="H539" s="114" t="s">
        <v>1539</v>
      </c>
      <c r="K539" s="115" t="s">
        <v>1698</v>
      </c>
    </row>
    <row r="540" spans="2:11" ht="15" customHeight="1" x14ac:dyDescent="0.35">
      <c r="B540" s="74" t="s">
        <v>1523</v>
      </c>
      <c r="F540" s="114" t="s">
        <v>1539</v>
      </c>
      <c r="G540" s="114" t="s">
        <v>1539</v>
      </c>
      <c r="H540" s="114" t="s">
        <v>1539</v>
      </c>
      <c r="K540" s="115" t="s">
        <v>1698</v>
      </c>
    </row>
    <row r="541" spans="2:11" ht="15" customHeight="1" x14ac:dyDescent="0.35">
      <c r="B541" s="74" t="s">
        <v>1524</v>
      </c>
      <c r="F541" s="114" t="s">
        <v>1539</v>
      </c>
      <c r="G541" s="114" t="s">
        <v>1539</v>
      </c>
      <c r="H541" s="114" t="s">
        <v>1539</v>
      </c>
      <c r="K541" s="115" t="s">
        <v>1698</v>
      </c>
    </row>
    <row r="542" spans="2:11" ht="15" customHeight="1" x14ac:dyDescent="0.35">
      <c r="B542" s="74" t="s">
        <v>1525</v>
      </c>
      <c r="F542" s="114" t="s">
        <v>1539</v>
      </c>
      <c r="G542" s="114" t="s">
        <v>1539</v>
      </c>
      <c r="H542" s="114" t="s">
        <v>1539</v>
      </c>
      <c r="K542" s="115" t="s">
        <v>1698</v>
      </c>
    </row>
    <row r="543" spans="2:11" ht="15" customHeight="1" x14ac:dyDescent="0.35">
      <c r="B543" s="74" t="s">
        <v>1526</v>
      </c>
      <c r="F543" s="114" t="s">
        <v>1539</v>
      </c>
      <c r="G543" s="114" t="s">
        <v>1539</v>
      </c>
      <c r="H543" s="114" t="s">
        <v>1539</v>
      </c>
      <c r="K543" s="115" t="s">
        <v>1698</v>
      </c>
    </row>
    <row r="544" spans="2:11" ht="15" customHeight="1" x14ac:dyDescent="0.35">
      <c r="B544" s="74" t="s">
        <v>1527</v>
      </c>
      <c r="F544" s="114" t="s">
        <v>1539</v>
      </c>
      <c r="G544" s="114" t="s">
        <v>1539</v>
      </c>
      <c r="K544" s="115" t="s">
        <v>1698</v>
      </c>
    </row>
    <row r="545" spans="1:13" ht="15" customHeight="1" x14ac:dyDescent="0.35">
      <c r="B545" s="74" t="s">
        <v>1528</v>
      </c>
      <c r="F545" s="114" t="s">
        <v>1539</v>
      </c>
      <c r="G545" s="114" t="s">
        <v>1539</v>
      </c>
      <c r="H545" s="114" t="s">
        <v>1539</v>
      </c>
      <c r="K545" s="115" t="s">
        <v>1698</v>
      </c>
    </row>
    <row r="547" spans="1:13" ht="15" customHeight="1" x14ac:dyDescent="0.35">
      <c r="B547" s="73" t="s">
        <v>1529</v>
      </c>
    </row>
    <row r="548" spans="1:13" ht="15" customHeight="1" x14ac:dyDescent="0.35">
      <c r="B548" s="74" t="s">
        <v>1530</v>
      </c>
      <c r="F548" s="114" t="s">
        <v>1539</v>
      </c>
      <c r="G548" s="114" t="s">
        <v>1539</v>
      </c>
      <c r="H548" s="114" t="s">
        <v>1539</v>
      </c>
      <c r="K548" s="115" t="s">
        <v>1698</v>
      </c>
    </row>
    <row r="550" spans="1:13" x14ac:dyDescent="0.35">
      <c r="B550" s="23" t="s">
        <v>1740</v>
      </c>
      <c r="C550" s="15"/>
      <c r="D550" s="15"/>
      <c r="E550" s="15"/>
      <c r="F550" s="15"/>
      <c r="G550" s="15"/>
      <c r="H550" s="15"/>
      <c r="I550" s="15"/>
      <c r="J550" s="15"/>
      <c r="K550" s="15"/>
      <c r="L550" s="15"/>
      <c r="M550" s="117" t="str">
        <f>IF(COUNTIF(M317:M549,"source missing")=0,"ALL OK",COUNTIF(M317:M549,"source missing")&amp;" missing")</f>
        <v>ALL OK</v>
      </c>
    </row>
    <row r="551" spans="1:13" x14ac:dyDescent="0.35">
      <c r="B551" s="23" t="s">
        <v>1741</v>
      </c>
      <c r="C551" s="15"/>
      <c r="D551" s="15"/>
      <c r="E551" s="15"/>
      <c r="F551" s="15"/>
      <c r="G551" s="15"/>
      <c r="H551" s="15"/>
      <c r="I551" s="15"/>
      <c r="J551" s="15"/>
      <c r="K551" s="15"/>
      <c r="L551" s="15"/>
      <c r="M551" s="117" t="str">
        <f>IF(AND(M313="ALL OK",M550="ALL OK"),"ALL OK","source missing")</f>
        <v>ALL OK</v>
      </c>
    </row>
    <row r="553" spans="1:13" ht="15.5" x14ac:dyDescent="0.35">
      <c r="A553" s="17" t="s">
        <v>5</v>
      </c>
      <c r="B553" s="25" t="s">
        <v>93</v>
      </c>
    </row>
  </sheetData>
  <conditionalFormatting sqref="M10:M313">
    <cfRule type="cellIs" dxfId="13" priority="2" operator="equal">
      <formula>"OK"</formula>
    </cfRule>
    <cfRule type="cellIs" dxfId="12" priority="3" operator="equal">
      <formula>"ALL OK"</formula>
    </cfRule>
    <cfRule type="cellIs" dxfId="11" priority="4" operator="equal">
      <formula>"source missing"</formula>
    </cfRule>
  </conditionalFormatting>
  <conditionalFormatting sqref="M317:M551">
    <cfRule type="cellIs" dxfId="10" priority="5" operator="equal">
      <formula>"OK"</formula>
    </cfRule>
    <cfRule type="cellIs" dxfId="9" priority="5" operator="equal">
      <formula>"ALL OK"</formula>
    </cfRule>
    <cfRule type="cellIs" dxfId="8" priority="6" operator="equal">
      <formula>"CHECK"</formula>
    </cfRule>
    <cfRule type="cellIs" dxfId="7" priority="7" operator="equal">
      <formula>"source missing"</formula>
    </cfRule>
  </conditionalFormatting>
  <pageMargins left="0.4" right="0.4" top="0.4" bottom="0.4" header="0.511811023622047" footer="0.511811023622047"/>
  <pageSetup paperSize="8" scale="13"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pageSetUpPr fitToPage="1"/>
  </sheetPr>
  <dimension ref="A1:N85"/>
  <sheetViews>
    <sheetView showGridLines="0" view="pageBreakPreview" zoomScale="85" zoomScaleNormal="100" zoomScalePageLayoutView="85" workbookViewId="0">
      <pane ySplit="9" topLeftCell="A10" activePane="bottomLeft" state="frozen"/>
      <selection pane="bottomLeft" activeCell="A10" sqref="A10"/>
    </sheetView>
  </sheetViews>
  <sheetFormatPr defaultColWidth="8.6328125" defaultRowHeight="14.5" x14ac:dyDescent="0.35"/>
  <cols>
    <col min="1" max="1" width="4.81640625" style="26" customWidth="1"/>
    <col min="2" max="2" width="9" style="26" customWidth="1"/>
    <col min="3" max="3" width="11" style="26" customWidth="1"/>
    <col min="4" max="4" width="12" style="26" customWidth="1"/>
    <col min="5" max="5" width="10" style="26" customWidth="1"/>
    <col min="6" max="6" width="22" style="26" customWidth="1"/>
    <col min="7" max="7" width="42" style="26" customWidth="1"/>
    <col min="8" max="8" width="36" style="26" customWidth="1"/>
    <col min="9" max="10" width="34" style="26" customWidth="1"/>
    <col min="11" max="11" width="36" style="26" customWidth="1"/>
    <col min="12" max="13" width="26" style="26" customWidth="1"/>
    <col min="14" max="14" width="3" style="26" customWidth="1"/>
  </cols>
  <sheetData>
    <row r="1" spans="1:14" ht="12" customHeight="1" x14ac:dyDescent="0.35">
      <c r="A1" s="27"/>
      <c r="B1" s="27"/>
      <c r="C1" s="27"/>
      <c r="D1" s="27"/>
      <c r="E1" s="27"/>
      <c r="F1" s="27"/>
      <c r="G1" s="27"/>
      <c r="H1" s="27"/>
      <c r="I1" s="27"/>
      <c r="J1" s="27"/>
      <c r="K1" s="27"/>
      <c r="L1" s="27"/>
      <c r="M1" s="27"/>
      <c r="N1" s="27"/>
    </row>
    <row r="2" spans="1:14" ht="12" customHeight="1" x14ac:dyDescent="0.35">
      <c r="A2" s="27"/>
      <c r="B2" s="27"/>
      <c r="C2" s="27"/>
      <c r="D2" s="27"/>
      <c r="E2" s="27"/>
      <c r="F2" s="27"/>
      <c r="G2" s="27"/>
      <c r="H2" s="27"/>
      <c r="I2" s="27"/>
      <c r="J2" s="27"/>
      <c r="K2" s="27"/>
      <c r="L2" s="27"/>
      <c r="M2" s="27"/>
      <c r="N2" s="27"/>
    </row>
    <row r="3" spans="1:14" ht="23.25" customHeight="1" x14ac:dyDescent="0.4">
      <c r="A3" s="27"/>
      <c r="B3" s="28" t="str">
        <f ca="1">MID(CELL("filename",B3),FIND("]",CELL("filename",B3))+1,256)</f>
        <v>Log</v>
      </c>
      <c r="C3" s="27"/>
      <c r="D3" s="27"/>
      <c r="E3" s="27"/>
      <c r="F3" s="27"/>
      <c r="G3" s="27"/>
      <c r="H3" s="27"/>
      <c r="I3" s="27"/>
      <c r="J3" s="27"/>
      <c r="K3" s="27"/>
      <c r="L3" s="27"/>
      <c r="M3" s="27"/>
      <c r="N3" s="27"/>
    </row>
    <row r="4" spans="1:14" ht="12" customHeight="1" x14ac:dyDescent="0.35">
      <c r="A4" s="15"/>
      <c r="B4" s="15"/>
      <c r="C4" s="15"/>
      <c r="D4" s="15"/>
      <c r="E4" s="15"/>
      <c r="F4" s="15"/>
      <c r="G4" s="15"/>
      <c r="H4" s="15"/>
      <c r="I4" s="15"/>
      <c r="J4" s="15"/>
      <c r="K4" s="15"/>
      <c r="L4" s="15"/>
      <c r="M4" s="15"/>
      <c r="N4" s="15"/>
    </row>
    <row r="5" spans="1:14" ht="12" customHeight="1" x14ac:dyDescent="0.35"/>
    <row r="7" spans="1:14" ht="15" customHeight="1" x14ac:dyDescent="0.35">
      <c r="A7" s="38" t="s">
        <v>5</v>
      </c>
      <c r="B7" s="39" t="s">
        <v>1742</v>
      </c>
      <c r="C7" s="27"/>
      <c r="D7" s="27"/>
      <c r="E7" s="27"/>
      <c r="F7" s="27"/>
      <c r="G7" s="27"/>
      <c r="H7" s="27"/>
      <c r="I7" s="27"/>
      <c r="J7" s="27"/>
      <c r="K7" s="27"/>
      <c r="L7" s="27"/>
      <c r="M7" s="27"/>
    </row>
    <row r="9" spans="1:14" ht="42" customHeight="1" x14ac:dyDescent="0.35">
      <c r="B9" s="118" t="s">
        <v>1743</v>
      </c>
      <c r="C9" s="118" t="s">
        <v>1744</v>
      </c>
      <c r="D9" s="118" t="s">
        <v>1745</v>
      </c>
      <c r="E9" s="118" t="s">
        <v>1746</v>
      </c>
      <c r="F9" s="118" t="s">
        <v>1747</v>
      </c>
      <c r="G9" s="118" t="s">
        <v>1748</v>
      </c>
      <c r="H9" s="118" t="s">
        <v>1749</v>
      </c>
      <c r="I9" s="118" t="s">
        <v>1750</v>
      </c>
      <c r="J9" s="118" t="s">
        <v>1751</v>
      </c>
      <c r="K9" s="118" t="s">
        <v>1752</v>
      </c>
      <c r="L9" s="118" t="s">
        <v>1753</v>
      </c>
      <c r="M9" s="118" t="s">
        <v>1754</v>
      </c>
    </row>
    <row r="10" spans="1:14" ht="32.75" customHeight="1" x14ac:dyDescent="0.35">
      <c r="B10" s="119" t="s">
        <v>1755</v>
      </c>
      <c r="C10" s="120">
        <v>46292</v>
      </c>
      <c r="D10" s="121" t="s">
        <v>1756</v>
      </c>
      <c r="E10" s="121" t="s">
        <v>1757</v>
      </c>
      <c r="F10" s="121" t="s">
        <v>1758</v>
      </c>
      <c r="G10" s="121" t="s">
        <v>1759</v>
      </c>
      <c r="H10" s="121" t="s">
        <v>1760</v>
      </c>
      <c r="I10" s="121" t="s">
        <v>1761</v>
      </c>
      <c r="J10" s="121" t="s">
        <v>1762</v>
      </c>
      <c r="K10" s="121" t="s">
        <v>1763</v>
      </c>
      <c r="L10" s="121" t="s">
        <v>1764</v>
      </c>
      <c r="M10" s="121" t="s">
        <v>1765</v>
      </c>
    </row>
    <row r="11" spans="1:14" ht="43.25" customHeight="1" x14ac:dyDescent="0.35">
      <c r="B11" s="119" t="s">
        <v>1766</v>
      </c>
      <c r="C11" s="120">
        <v>46292</v>
      </c>
      <c r="D11" s="121" t="s">
        <v>1756</v>
      </c>
      <c r="E11" s="121" t="s">
        <v>1757</v>
      </c>
      <c r="F11" s="121" t="s">
        <v>1758</v>
      </c>
      <c r="G11" s="121" t="s">
        <v>1767</v>
      </c>
      <c r="H11" s="121" t="s">
        <v>1768</v>
      </c>
      <c r="I11" s="121" t="s">
        <v>1769</v>
      </c>
      <c r="J11" s="121" t="s">
        <v>1770</v>
      </c>
      <c r="K11" s="121" t="s">
        <v>1771</v>
      </c>
      <c r="L11" s="121" t="s">
        <v>1772</v>
      </c>
      <c r="M11" s="121" t="s">
        <v>1773</v>
      </c>
    </row>
    <row r="12" spans="1:14" ht="64.150000000000006" customHeight="1" x14ac:dyDescent="0.35">
      <c r="B12" s="119" t="s">
        <v>1774</v>
      </c>
      <c r="C12" s="120">
        <v>46292</v>
      </c>
      <c r="D12" s="121" t="s">
        <v>1756</v>
      </c>
      <c r="E12" s="121" t="s">
        <v>1757</v>
      </c>
      <c r="F12" s="121" t="s">
        <v>1758</v>
      </c>
      <c r="G12" s="121" t="s">
        <v>1775</v>
      </c>
      <c r="H12" s="121" t="s">
        <v>1776</v>
      </c>
      <c r="I12" s="121" t="s">
        <v>1777</v>
      </c>
      <c r="J12" s="121" t="s">
        <v>1778</v>
      </c>
      <c r="K12" s="121" t="s">
        <v>1779</v>
      </c>
      <c r="L12" s="121" t="s">
        <v>1780</v>
      </c>
      <c r="M12" s="121" t="s">
        <v>1781</v>
      </c>
    </row>
    <row r="13" spans="1:14" ht="74.650000000000006" customHeight="1" x14ac:dyDescent="0.35">
      <c r="B13" s="119" t="s">
        <v>1782</v>
      </c>
      <c r="C13" s="120">
        <v>46292</v>
      </c>
      <c r="D13" s="121" t="s">
        <v>1756</v>
      </c>
      <c r="E13" s="121" t="s">
        <v>1757</v>
      </c>
      <c r="F13" s="121" t="s">
        <v>1783</v>
      </c>
      <c r="G13" s="121" t="s">
        <v>1784</v>
      </c>
      <c r="H13" s="121" t="s">
        <v>1594</v>
      </c>
      <c r="I13" s="121" t="s">
        <v>1785</v>
      </c>
      <c r="J13" s="121" t="s">
        <v>1786</v>
      </c>
      <c r="K13" s="121" t="s">
        <v>1787</v>
      </c>
      <c r="L13" s="121" t="s">
        <v>1788</v>
      </c>
      <c r="M13" s="121" t="s">
        <v>1789</v>
      </c>
    </row>
    <row r="14" spans="1:14" ht="32.75" customHeight="1" x14ac:dyDescent="0.35">
      <c r="B14" s="119" t="s">
        <v>1790</v>
      </c>
      <c r="C14" s="120">
        <v>46292</v>
      </c>
      <c r="D14" s="121" t="s">
        <v>1756</v>
      </c>
      <c r="E14" s="121" t="s">
        <v>1757</v>
      </c>
      <c r="F14" s="121" t="s">
        <v>1791</v>
      </c>
      <c r="G14" s="121" t="s">
        <v>1792</v>
      </c>
      <c r="H14" s="121" t="s">
        <v>1793</v>
      </c>
      <c r="I14" s="121" t="s">
        <v>1769</v>
      </c>
      <c r="J14" s="121" t="s">
        <v>1794</v>
      </c>
      <c r="K14" s="121" t="s">
        <v>1795</v>
      </c>
      <c r="L14" s="121" t="s">
        <v>1796</v>
      </c>
      <c r="M14" s="121" t="s">
        <v>1773</v>
      </c>
    </row>
    <row r="15" spans="1:14" ht="64.150000000000006" customHeight="1" x14ac:dyDescent="0.35">
      <c r="B15" s="119" t="s">
        <v>1797</v>
      </c>
      <c r="C15" s="120">
        <v>46292</v>
      </c>
      <c r="D15" s="121" t="s">
        <v>1756</v>
      </c>
      <c r="E15" s="121" t="s">
        <v>1757</v>
      </c>
      <c r="F15" s="121" t="s">
        <v>1798</v>
      </c>
      <c r="G15" s="121" t="s">
        <v>1799</v>
      </c>
      <c r="H15" s="121" t="s">
        <v>1800</v>
      </c>
      <c r="I15" s="121" t="s">
        <v>1801</v>
      </c>
      <c r="J15" s="121" t="s">
        <v>1802</v>
      </c>
      <c r="K15" s="121" t="s">
        <v>1803</v>
      </c>
      <c r="L15" s="121" t="s">
        <v>1804</v>
      </c>
      <c r="M15" s="121" t="s">
        <v>1805</v>
      </c>
    </row>
    <row r="16" spans="1:14" ht="32.75" customHeight="1" x14ac:dyDescent="0.35">
      <c r="B16" s="119" t="s">
        <v>1806</v>
      </c>
      <c r="C16" s="120">
        <v>46292</v>
      </c>
      <c r="D16" s="121" t="s">
        <v>1756</v>
      </c>
      <c r="E16" s="121" t="s">
        <v>1757</v>
      </c>
      <c r="F16" s="121" t="s">
        <v>1807</v>
      </c>
      <c r="G16" s="121" t="s">
        <v>1808</v>
      </c>
      <c r="H16" s="121" t="s">
        <v>1809</v>
      </c>
      <c r="I16" s="121" t="s">
        <v>1769</v>
      </c>
      <c r="J16" s="121" t="s">
        <v>1810</v>
      </c>
      <c r="K16" s="121" t="s">
        <v>1811</v>
      </c>
      <c r="L16" s="121" t="s">
        <v>1812</v>
      </c>
      <c r="M16" s="121" t="s">
        <v>1773</v>
      </c>
    </row>
    <row r="17" spans="2:13" ht="32.75" customHeight="1" x14ac:dyDescent="0.35">
      <c r="B17" s="119" t="s">
        <v>1813</v>
      </c>
      <c r="C17" s="120">
        <v>46292</v>
      </c>
      <c r="D17" s="121" t="s">
        <v>1756</v>
      </c>
      <c r="E17" s="121" t="s">
        <v>1757</v>
      </c>
      <c r="F17" s="121" t="s">
        <v>1814</v>
      </c>
      <c r="G17" s="121" t="s">
        <v>1815</v>
      </c>
      <c r="H17" s="121" t="s">
        <v>1816</v>
      </c>
      <c r="I17" s="121" t="s">
        <v>1769</v>
      </c>
      <c r="J17" s="121" t="s">
        <v>1817</v>
      </c>
      <c r="K17" s="121" t="s">
        <v>1818</v>
      </c>
      <c r="L17" s="121" t="s">
        <v>1819</v>
      </c>
      <c r="M17" s="121" t="s">
        <v>1773</v>
      </c>
    </row>
    <row r="18" spans="2:13" ht="22.4" customHeight="1" x14ac:dyDescent="0.35">
      <c r="B18" s="119" t="s">
        <v>1820</v>
      </c>
      <c r="C18" s="120">
        <v>46292</v>
      </c>
      <c r="D18" s="121" t="s">
        <v>1756</v>
      </c>
      <c r="E18" s="121" t="s">
        <v>1757</v>
      </c>
      <c r="F18" s="121" t="s">
        <v>1821</v>
      </c>
      <c r="G18" s="121" t="s">
        <v>1822</v>
      </c>
      <c r="H18" s="121" t="s">
        <v>1823</v>
      </c>
      <c r="I18" s="121" t="s">
        <v>1769</v>
      </c>
      <c r="J18" s="121" t="s">
        <v>1824</v>
      </c>
      <c r="K18" s="121" t="s">
        <v>1825</v>
      </c>
      <c r="L18" s="121" t="s">
        <v>1826</v>
      </c>
      <c r="M18" s="121" t="s">
        <v>1765</v>
      </c>
    </row>
    <row r="19" spans="2:13" ht="53.75" customHeight="1" x14ac:dyDescent="0.35">
      <c r="B19" s="119" t="s">
        <v>1827</v>
      </c>
      <c r="C19" s="120">
        <v>46292</v>
      </c>
      <c r="D19" s="121" t="s">
        <v>1756</v>
      </c>
      <c r="E19" s="121" t="s">
        <v>1757</v>
      </c>
      <c r="F19" s="121" t="s">
        <v>1828</v>
      </c>
      <c r="G19" s="121" t="s">
        <v>1829</v>
      </c>
      <c r="H19" s="121" t="s">
        <v>1830</v>
      </c>
      <c r="I19" s="121" t="s">
        <v>1831</v>
      </c>
      <c r="J19" s="121" t="s">
        <v>1832</v>
      </c>
      <c r="K19" s="121" t="s">
        <v>1833</v>
      </c>
      <c r="L19" s="121" t="s">
        <v>1834</v>
      </c>
      <c r="M19" s="121" t="s">
        <v>1835</v>
      </c>
    </row>
    <row r="20" spans="2:13" ht="43.25" customHeight="1" x14ac:dyDescent="0.35">
      <c r="B20" s="119" t="s">
        <v>1836</v>
      </c>
      <c r="C20" s="120">
        <v>46292</v>
      </c>
      <c r="D20" s="121" t="s">
        <v>1756</v>
      </c>
      <c r="E20" s="121" t="s">
        <v>1757</v>
      </c>
      <c r="F20" s="121" t="s">
        <v>1837</v>
      </c>
      <c r="G20" s="121" t="s">
        <v>1838</v>
      </c>
      <c r="H20" s="121" t="s">
        <v>1839</v>
      </c>
      <c r="I20" s="121" t="s">
        <v>1769</v>
      </c>
      <c r="J20" s="121" t="s">
        <v>1840</v>
      </c>
      <c r="K20" s="121" t="s">
        <v>1841</v>
      </c>
      <c r="L20" s="121" t="s">
        <v>1842</v>
      </c>
      <c r="M20" s="121" t="s">
        <v>1773</v>
      </c>
    </row>
    <row r="21" spans="2:13" ht="53.75" customHeight="1" x14ac:dyDescent="0.35">
      <c r="B21" s="119" t="s">
        <v>1843</v>
      </c>
      <c r="C21" s="120">
        <v>46292</v>
      </c>
      <c r="D21" s="121" t="s">
        <v>1756</v>
      </c>
      <c r="E21" s="121" t="s">
        <v>1757</v>
      </c>
      <c r="F21" s="121" t="s">
        <v>1844</v>
      </c>
      <c r="G21" s="121" t="s">
        <v>1845</v>
      </c>
      <c r="H21" s="121" t="s">
        <v>1846</v>
      </c>
      <c r="I21" s="121" t="s">
        <v>1847</v>
      </c>
      <c r="J21" s="121" t="s">
        <v>1848</v>
      </c>
      <c r="K21" s="121" t="s">
        <v>1849</v>
      </c>
      <c r="L21" s="121" t="s">
        <v>1850</v>
      </c>
      <c r="M21" s="121" t="s">
        <v>1851</v>
      </c>
    </row>
    <row r="22" spans="2:13" ht="126.9" customHeight="1" x14ac:dyDescent="0.35">
      <c r="B22" s="119" t="s">
        <v>1852</v>
      </c>
      <c r="C22" s="120">
        <v>46292</v>
      </c>
      <c r="D22" s="121" t="s">
        <v>1756</v>
      </c>
      <c r="E22" s="121" t="s">
        <v>1757</v>
      </c>
      <c r="F22" s="121" t="s">
        <v>1758</v>
      </c>
      <c r="G22" s="121" t="s">
        <v>1853</v>
      </c>
      <c r="H22" s="121" t="s">
        <v>1854</v>
      </c>
      <c r="I22" s="121" t="s">
        <v>1855</v>
      </c>
      <c r="J22" s="121" t="s">
        <v>1856</v>
      </c>
      <c r="K22" s="121" t="s">
        <v>1857</v>
      </c>
      <c r="L22" s="121" t="s">
        <v>1858</v>
      </c>
      <c r="M22" s="121" t="s">
        <v>1773</v>
      </c>
    </row>
    <row r="23" spans="2:13" ht="74.650000000000006" customHeight="1" x14ac:dyDescent="0.35">
      <c r="B23" s="119" t="s">
        <v>1859</v>
      </c>
      <c r="C23" s="120">
        <v>46292</v>
      </c>
      <c r="D23" s="121" t="s">
        <v>1756</v>
      </c>
      <c r="E23" s="121" t="s">
        <v>1757</v>
      </c>
      <c r="F23" s="121" t="s">
        <v>1860</v>
      </c>
      <c r="G23" s="121" t="s">
        <v>1861</v>
      </c>
      <c r="H23" s="121" t="s">
        <v>1862</v>
      </c>
      <c r="I23" s="121" t="s">
        <v>1769</v>
      </c>
      <c r="J23" s="121" t="s">
        <v>1863</v>
      </c>
      <c r="K23" s="121" t="s">
        <v>1864</v>
      </c>
      <c r="L23" s="121" t="s">
        <v>1865</v>
      </c>
      <c r="M23" s="121" t="s">
        <v>1773</v>
      </c>
    </row>
    <row r="24" spans="2:13" ht="64.150000000000006" customHeight="1" x14ac:dyDescent="0.35">
      <c r="B24" s="119" t="s">
        <v>1866</v>
      </c>
      <c r="C24" s="120">
        <v>46292</v>
      </c>
      <c r="D24" s="121" t="s">
        <v>1756</v>
      </c>
      <c r="E24" s="121" t="s">
        <v>1757</v>
      </c>
      <c r="F24" s="121" t="s">
        <v>1867</v>
      </c>
      <c r="G24" s="121" t="s">
        <v>1868</v>
      </c>
      <c r="H24" s="121" t="s">
        <v>1869</v>
      </c>
      <c r="I24" s="121" t="s">
        <v>1769</v>
      </c>
      <c r="J24" s="121" t="s">
        <v>1870</v>
      </c>
      <c r="K24" s="121" t="s">
        <v>1871</v>
      </c>
      <c r="L24" s="121" t="s">
        <v>1872</v>
      </c>
      <c r="M24" s="121" t="s">
        <v>1773</v>
      </c>
    </row>
    <row r="25" spans="2:13" ht="53.75" customHeight="1" x14ac:dyDescent="0.35">
      <c r="B25" s="119" t="s">
        <v>1873</v>
      </c>
      <c r="C25" s="120">
        <v>46292</v>
      </c>
      <c r="D25" s="121" t="s">
        <v>1756</v>
      </c>
      <c r="E25" s="121" t="s">
        <v>1757</v>
      </c>
      <c r="F25" s="121" t="s">
        <v>1874</v>
      </c>
      <c r="G25" s="121" t="s">
        <v>1875</v>
      </c>
      <c r="H25" s="121" t="s">
        <v>1876</v>
      </c>
      <c r="I25" s="121" t="s">
        <v>1769</v>
      </c>
      <c r="J25" s="121" t="s">
        <v>1877</v>
      </c>
      <c r="K25" s="121" t="s">
        <v>1878</v>
      </c>
      <c r="L25" s="121" t="s">
        <v>1879</v>
      </c>
      <c r="M25" s="121" t="s">
        <v>1773</v>
      </c>
    </row>
    <row r="26" spans="2:13" ht="43.25" customHeight="1" x14ac:dyDescent="0.35">
      <c r="B26" s="119" t="s">
        <v>1880</v>
      </c>
      <c r="C26" s="120">
        <v>46292</v>
      </c>
      <c r="D26" s="121" t="s">
        <v>1756</v>
      </c>
      <c r="E26" s="121" t="s">
        <v>1757</v>
      </c>
      <c r="F26" s="121" t="s">
        <v>1881</v>
      </c>
      <c r="G26" s="121" t="s">
        <v>1882</v>
      </c>
      <c r="H26" s="121" t="s">
        <v>1883</v>
      </c>
      <c r="I26" s="121" t="s">
        <v>1769</v>
      </c>
      <c r="J26" s="121" t="s">
        <v>1884</v>
      </c>
      <c r="K26" s="121" t="s">
        <v>1885</v>
      </c>
      <c r="L26" s="121" t="s">
        <v>1886</v>
      </c>
      <c r="M26" s="121" t="s">
        <v>1773</v>
      </c>
    </row>
    <row r="27" spans="2:13" ht="64.150000000000006" customHeight="1" x14ac:dyDescent="0.35">
      <c r="B27" s="119" t="s">
        <v>1887</v>
      </c>
      <c r="C27" s="120">
        <v>46292</v>
      </c>
      <c r="D27" s="121" t="s">
        <v>1756</v>
      </c>
      <c r="E27" s="121" t="s">
        <v>1757</v>
      </c>
      <c r="F27" s="121" t="s">
        <v>1888</v>
      </c>
      <c r="G27" s="121" t="s">
        <v>1889</v>
      </c>
      <c r="H27" s="121" t="s">
        <v>1890</v>
      </c>
      <c r="I27" s="121" t="s">
        <v>1891</v>
      </c>
      <c r="J27" s="121" t="s">
        <v>1892</v>
      </c>
      <c r="K27" s="121" t="s">
        <v>1893</v>
      </c>
      <c r="L27" s="121" t="s">
        <v>1894</v>
      </c>
      <c r="M27" s="121" t="s">
        <v>1895</v>
      </c>
    </row>
    <row r="28" spans="2:13" ht="53.75" customHeight="1" x14ac:dyDescent="0.35">
      <c r="B28" s="119" t="s">
        <v>1896</v>
      </c>
      <c r="C28" s="120">
        <v>46292</v>
      </c>
      <c r="D28" s="121" t="s">
        <v>1756</v>
      </c>
      <c r="E28" s="121" t="s">
        <v>1757</v>
      </c>
      <c r="F28" s="121" t="s">
        <v>1897</v>
      </c>
      <c r="G28" s="121" t="s">
        <v>1898</v>
      </c>
      <c r="H28" s="121" t="s">
        <v>1899</v>
      </c>
      <c r="I28" s="121" t="s">
        <v>1900</v>
      </c>
      <c r="J28" s="121" t="s">
        <v>1901</v>
      </c>
      <c r="K28" s="121" t="s">
        <v>1902</v>
      </c>
      <c r="L28" s="121" t="s">
        <v>1903</v>
      </c>
      <c r="M28" s="121" t="s">
        <v>1765</v>
      </c>
    </row>
    <row r="29" spans="2:13" ht="74.650000000000006" customHeight="1" x14ac:dyDescent="0.35">
      <c r="B29" s="119" t="s">
        <v>1904</v>
      </c>
      <c r="C29" s="120">
        <v>46292</v>
      </c>
      <c r="D29" s="121" t="s">
        <v>1756</v>
      </c>
      <c r="E29" s="121" t="s">
        <v>1757</v>
      </c>
      <c r="F29" s="121" t="s">
        <v>1897</v>
      </c>
      <c r="G29" s="121" t="s">
        <v>1905</v>
      </c>
      <c r="H29" s="121" t="s">
        <v>1906</v>
      </c>
      <c r="I29" s="121" t="s">
        <v>1907</v>
      </c>
      <c r="J29" s="121" t="s">
        <v>1908</v>
      </c>
      <c r="K29" s="121" t="s">
        <v>1909</v>
      </c>
      <c r="L29" s="121" t="s">
        <v>1910</v>
      </c>
      <c r="M29" s="121" t="s">
        <v>1911</v>
      </c>
    </row>
    <row r="30" spans="2:13" ht="74.650000000000006" customHeight="1" x14ac:dyDescent="0.35">
      <c r="B30" s="119" t="s">
        <v>1912</v>
      </c>
      <c r="C30" s="120">
        <v>46292</v>
      </c>
      <c r="D30" s="121" t="s">
        <v>1756</v>
      </c>
      <c r="E30" s="121" t="s">
        <v>1757</v>
      </c>
      <c r="F30" s="121" t="s">
        <v>1913</v>
      </c>
      <c r="G30" s="121" t="s">
        <v>1914</v>
      </c>
      <c r="H30" s="121" t="s">
        <v>1915</v>
      </c>
      <c r="I30" s="121" t="s">
        <v>1769</v>
      </c>
      <c r="J30" s="121" t="s">
        <v>1916</v>
      </c>
      <c r="K30" s="121" t="s">
        <v>1917</v>
      </c>
      <c r="L30" s="121" t="s">
        <v>1918</v>
      </c>
      <c r="M30" s="121" t="s">
        <v>1765</v>
      </c>
    </row>
    <row r="31" spans="2:13" ht="64.150000000000006" customHeight="1" x14ac:dyDescent="0.35">
      <c r="B31" s="119" t="s">
        <v>1919</v>
      </c>
      <c r="C31" s="120">
        <v>46292</v>
      </c>
      <c r="D31" s="121" t="s">
        <v>1756</v>
      </c>
      <c r="E31" s="121" t="s">
        <v>1757</v>
      </c>
      <c r="F31" s="121" t="s">
        <v>1920</v>
      </c>
      <c r="G31" s="121" t="s">
        <v>1921</v>
      </c>
      <c r="H31" s="121" t="s">
        <v>1922</v>
      </c>
      <c r="I31" s="121" t="s">
        <v>1923</v>
      </c>
      <c r="J31" s="121" t="s">
        <v>1924</v>
      </c>
      <c r="K31" s="121" t="s">
        <v>1925</v>
      </c>
      <c r="L31" s="121" t="s">
        <v>1926</v>
      </c>
      <c r="M31" s="121" t="s">
        <v>1927</v>
      </c>
    </row>
    <row r="32" spans="2:13" ht="74.650000000000006" customHeight="1" x14ac:dyDescent="0.35">
      <c r="B32" s="119" t="s">
        <v>1928</v>
      </c>
      <c r="C32" s="120">
        <v>46292</v>
      </c>
      <c r="D32" s="121" t="s">
        <v>1756</v>
      </c>
      <c r="E32" s="121" t="s">
        <v>1757</v>
      </c>
      <c r="F32" s="121" t="s">
        <v>1929</v>
      </c>
      <c r="G32" s="121" t="s">
        <v>1930</v>
      </c>
      <c r="H32" s="121" t="s">
        <v>1931</v>
      </c>
      <c r="I32" s="121" t="s">
        <v>1769</v>
      </c>
      <c r="J32" s="121" t="s">
        <v>1932</v>
      </c>
      <c r="K32" s="121" t="s">
        <v>1933</v>
      </c>
      <c r="L32" s="121" t="s">
        <v>1934</v>
      </c>
      <c r="M32" s="121" t="s">
        <v>1773</v>
      </c>
    </row>
    <row r="33" spans="2:13" ht="43.25" customHeight="1" x14ac:dyDescent="0.35">
      <c r="B33" s="119" t="s">
        <v>1935</v>
      </c>
      <c r="C33" s="120">
        <v>46292</v>
      </c>
      <c r="D33" s="121" t="s">
        <v>1756</v>
      </c>
      <c r="E33" s="121" t="s">
        <v>1757</v>
      </c>
      <c r="F33" s="121" t="s">
        <v>1936</v>
      </c>
      <c r="G33" s="121" t="s">
        <v>1937</v>
      </c>
      <c r="H33" s="121" t="s">
        <v>1938</v>
      </c>
      <c r="I33" s="121" t="s">
        <v>1769</v>
      </c>
      <c r="J33" s="121" t="s">
        <v>1939</v>
      </c>
      <c r="K33" s="121" t="s">
        <v>1940</v>
      </c>
      <c r="L33" s="121" t="s">
        <v>1941</v>
      </c>
      <c r="M33" s="121" t="s">
        <v>1773</v>
      </c>
    </row>
    <row r="34" spans="2:13" ht="53.75" customHeight="1" x14ac:dyDescent="0.35">
      <c r="B34" s="119" t="s">
        <v>1942</v>
      </c>
      <c r="C34" s="120">
        <v>46292</v>
      </c>
      <c r="D34" s="121" t="s">
        <v>1756</v>
      </c>
      <c r="E34" s="121" t="s">
        <v>1757</v>
      </c>
      <c r="F34" s="121" t="s">
        <v>1943</v>
      </c>
      <c r="G34" s="121" t="s">
        <v>1944</v>
      </c>
      <c r="H34" s="121" t="s">
        <v>1945</v>
      </c>
      <c r="I34" s="121" t="s">
        <v>1769</v>
      </c>
      <c r="J34" s="121" t="s">
        <v>1946</v>
      </c>
      <c r="K34" s="121" t="s">
        <v>1947</v>
      </c>
      <c r="L34" s="121" t="s">
        <v>1948</v>
      </c>
      <c r="M34" s="121" t="s">
        <v>1765</v>
      </c>
    </row>
    <row r="35" spans="2:13" ht="53.75" customHeight="1" x14ac:dyDescent="0.35">
      <c r="B35" s="119" t="s">
        <v>1949</v>
      </c>
      <c r="C35" s="120">
        <v>46292</v>
      </c>
      <c r="D35" s="121" t="s">
        <v>1756</v>
      </c>
      <c r="E35" s="121" t="s">
        <v>1757</v>
      </c>
      <c r="F35" s="121" t="s">
        <v>1929</v>
      </c>
      <c r="G35" s="121" t="s">
        <v>1950</v>
      </c>
      <c r="H35" s="121" t="s">
        <v>1951</v>
      </c>
      <c r="I35" s="121" t="s">
        <v>1952</v>
      </c>
      <c r="J35" s="121" t="s">
        <v>1953</v>
      </c>
      <c r="K35" s="121" t="s">
        <v>1954</v>
      </c>
      <c r="L35" s="121" t="s">
        <v>1955</v>
      </c>
      <c r="M35" s="121" t="s">
        <v>1956</v>
      </c>
    </row>
    <row r="36" spans="2:13" ht="64.150000000000006" customHeight="1" x14ac:dyDescent="0.35">
      <c r="B36" s="119" t="s">
        <v>1957</v>
      </c>
      <c r="C36" s="120">
        <v>46292</v>
      </c>
      <c r="D36" s="121" t="s">
        <v>1756</v>
      </c>
      <c r="E36" s="121" t="s">
        <v>1757</v>
      </c>
      <c r="F36" s="121" t="s">
        <v>1929</v>
      </c>
      <c r="G36" s="121" t="s">
        <v>1958</v>
      </c>
      <c r="H36" s="121" t="s">
        <v>1959</v>
      </c>
      <c r="I36" s="121" t="s">
        <v>1769</v>
      </c>
      <c r="J36" s="121" t="s">
        <v>1960</v>
      </c>
      <c r="K36" s="121" t="s">
        <v>1961</v>
      </c>
      <c r="L36" s="121" t="s">
        <v>1962</v>
      </c>
      <c r="M36" s="121" t="s">
        <v>1773</v>
      </c>
    </row>
    <row r="37" spans="2:13" ht="32.75" customHeight="1" x14ac:dyDescent="0.35">
      <c r="B37" s="119" t="s">
        <v>1963</v>
      </c>
      <c r="C37" s="120">
        <v>46292</v>
      </c>
      <c r="D37" s="121" t="s">
        <v>1756</v>
      </c>
      <c r="E37" s="121" t="s">
        <v>1757</v>
      </c>
      <c r="F37" s="121" t="s">
        <v>1964</v>
      </c>
      <c r="G37" s="121" t="s">
        <v>1965</v>
      </c>
      <c r="H37" s="121" t="s">
        <v>1793</v>
      </c>
      <c r="I37" s="121" t="s">
        <v>1769</v>
      </c>
      <c r="J37" s="121" t="s">
        <v>1966</v>
      </c>
      <c r="K37" s="121" t="s">
        <v>1967</v>
      </c>
      <c r="L37" s="121" t="s">
        <v>1796</v>
      </c>
      <c r="M37" s="121" t="s">
        <v>1765</v>
      </c>
    </row>
    <row r="38" spans="2:13" ht="43.25" customHeight="1" x14ac:dyDescent="0.35">
      <c r="B38" s="119" t="s">
        <v>1968</v>
      </c>
      <c r="C38" s="120">
        <v>46292</v>
      </c>
      <c r="D38" s="121" t="s">
        <v>1756</v>
      </c>
      <c r="E38" s="121" t="s">
        <v>1757</v>
      </c>
      <c r="F38" s="121" t="s">
        <v>1969</v>
      </c>
      <c r="G38" s="121" t="s">
        <v>1970</v>
      </c>
      <c r="H38" s="121" t="s">
        <v>1971</v>
      </c>
      <c r="I38" s="121" t="s">
        <v>1769</v>
      </c>
      <c r="J38" s="121" t="s">
        <v>1972</v>
      </c>
      <c r="K38" s="121" t="s">
        <v>1973</v>
      </c>
      <c r="L38" s="121" t="s">
        <v>1974</v>
      </c>
      <c r="M38" s="121" t="s">
        <v>1773</v>
      </c>
    </row>
    <row r="39" spans="2:13" ht="106" customHeight="1" x14ac:dyDescent="0.35">
      <c r="B39" s="119" t="s">
        <v>1975</v>
      </c>
      <c r="C39" s="120">
        <v>46292</v>
      </c>
      <c r="D39" s="121" t="s">
        <v>1756</v>
      </c>
      <c r="E39" s="121" t="s">
        <v>1757</v>
      </c>
      <c r="F39" s="121" t="s">
        <v>1976</v>
      </c>
      <c r="G39" s="121" t="s">
        <v>1977</v>
      </c>
      <c r="H39" s="121" t="s">
        <v>1978</v>
      </c>
      <c r="I39" s="121" t="s">
        <v>1769</v>
      </c>
      <c r="J39" s="121" t="s">
        <v>1979</v>
      </c>
      <c r="K39" s="121" t="s">
        <v>1980</v>
      </c>
      <c r="L39" s="121" t="s">
        <v>1981</v>
      </c>
      <c r="M39" s="121" t="s">
        <v>1773</v>
      </c>
    </row>
    <row r="40" spans="2:13" ht="64.150000000000006" customHeight="1" x14ac:dyDescent="0.35">
      <c r="B40" s="119" t="s">
        <v>1982</v>
      </c>
      <c r="C40" s="120">
        <v>46292</v>
      </c>
      <c r="D40" s="121" t="s">
        <v>1756</v>
      </c>
      <c r="E40" s="121" t="s">
        <v>1757</v>
      </c>
      <c r="F40" s="121" t="s">
        <v>1983</v>
      </c>
      <c r="G40" s="121" t="s">
        <v>1984</v>
      </c>
      <c r="H40" s="121" t="s">
        <v>1985</v>
      </c>
      <c r="I40" s="121" t="s">
        <v>1769</v>
      </c>
      <c r="J40" s="121" t="s">
        <v>1986</v>
      </c>
      <c r="K40" s="121" t="s">
        <v>1987</v>
      </c>
      <c r="L40" s="121" t="s">
        <v>1988</v>
      </c>
      <c r="M40" s="121" t="s">
        <v>1773</v>
      </c>
    </row>
    <row r="41" spans="2:13" ht="43.25" customHeight="1" x14ac:dyDescent="0.35">
      <c r="B41" s="119" t="s">
        <v>1989</v>
      </c>
      <c r="C41" s="120">
        <v>46292</v>
      </c>
      <c r="D41" s="121" t="s">
        <v>1756</v>
      </c>
      <c r="E41" s="121" t="s">
        <v>1757</v>
      </c>
      <c r="F41" s="121" t="s">
        <v>1983</v>
      </c>
      <c r="G41" s="121" t="s">
        <v>1990</v>
      </c>
      <c r="H41" s="121" t="s">
        <v>1991</v>
      </c>
      <c r="I41" s="121" t="s">
        <v>1769</v>
      </c>
      <c r="J41" s="121" t="s">
        <v>1992</v>
      </c>
      <c r="K41" s="121" t="s">
        <v>1993</v>
      </c>
      <c r="L41" s="121" t="s">
        <v>121</v>
      </c>
      <c r="M41" s="121" t="s">
        <v>1773</v>
      </c>
    </row>
    <row r="42" spans="2:13" ht="32.75" customHeight="1" x14ac:dyDescent="0.35">
      <c r="B42" s="119" t="s">
        <v>1994</v>
      </c>
      <c r="C42" s="120">
        <v>46292</v>
      </c>
      <c r="D42" s="121" t="s">
        <v>1756</v>
      </c>
      <c r="E42" s="121" t="s">
        <v>1757</v>
      </c>
      <c r="F42" s="121" t="s">
        <v>1995</v>
      </c>
      <c r="G42" s="121" t="s">
        <v>1996</v>
      </c>
      <c r="H42" s="121" t="s">
        <v>1997</v>
      </c>
      <c r="I42" s="121" t="s">
        <v>1998</v>
      </c>
      <c r="J42" s="121" t="s">
        <v>1999</v>
      </c>
      <c r="K42" s="121" t="s">
        <v>2000</v>
      </c>
      <c r="L42" s="121" t="s">
        <v>2001</v>
      </c>
      <c r="M42" s="121" t="s">
        <v>1773</v>
      </c>
    </row>
    <row r="43" spans="2:13" ht="74.650000000000006" customHeight="1" x14ac:dyDescent="0.35">
      <c r="B43" s="119" t="s">
        <v>2002</v>
      </c>
      <c r="C43" s="120">
        <v>46292</v>
      </c>
      <c r="D43" s="121" t="s">
        <v>1756</v>
      </c>
      <c r="E43" s="121" t="s">
        <v>1757</v>
      </c>
      <c r="F43" s="121" t="s">
        <v>2003</v>
      </c>
      <c r="G43" s="121" t="s">
        <v>2004</v>
      </c>
      <c r="H43" s="121" t="s">
        <v>2005</v>
      </c>
      <c r="I43" s="121" t="s">
        <v>2006</v>
      </c>
      <c r="J43" s="121" t="s">
        <v>2007</v>
      </c>
      <c r="K43" s="121" t="s">
        <v>2008</v>
      </c>
      <c r="L43" s="121" t="s">
        <v>2009</v>
      </c>
      <c r="M43" s="121" t="s">
        <v>2010</v>
      </c>
    </row>
    <row r="44" spans="2:13" ht="32.75" customHeight="1" x14ac:dyDescent="0.35">
      <c r="B44" s="119" t="s">
        <v>2011</v>
      </c>
      <c r="C44" s="120">
        <v>46292</v>
      </c>
      <c r="D44" s="121" t="s">
        <v>1756</v>
      </c>
      <c r="E44" s="121" t="s">
        <v>1757</v>
      </c>
      <c r="F44" s="121" t="s">
        <v>2012</v>
      </c>
      <c r="G44" s="121" t="s">
        <v>2013</v>
      </c>
      <c r="H44" s="121" t="s">
        <v>2014</v>
      </c>
      <c r="I44" s="121" t="s">
        <v>1769</v>
      </c>
      <c r="J44" s="121" t="s">
        <v>2015</v>
      </c>
      <c r="K44" s="121" t="s">
        <v>2016</v>
      </c>
      <c r="L44" s="121" t="s">
        <v>2017</v>
      </c>
      <c r="M44" s="121" t="s">
        <v>1773</v>
      </c>
    </row>
    <row r="45" spans="2:13" ht="53.75" customHeight="1" x14ac:dyDescent="0.35">
      <c r="B45" s="119" t="s">
        <v>2018</v>
      </c>
      <c r="C45" s="120">
        <v>46292</v>
      </c>
      <c r="D45" s="121" t="s">
        <v>1756</v>
      </c>
      <c r="E45" s="121" t="s">
        <v>1757</v>
      </c>
      <c r="F45" s="121" t="s">
        <v>2019</v>
      </c>
      <c r="G45" s="121" t="s">
        <v>2020</v>
      </c>
      <c r="H45" s="121" t="s">
        <v>2021</v>
      </c>
      <c r="I45" s="121" t="s">
        <v>1769</v>
      </c>
      <c r="J45" s="121" t="s">
        <v>2022</v>
      </c>
      <c r="K45" s="121" t="s">
        <v>2023</v>
      </c>
      <c r="L45" s="121" t="s">
        <v>2024</v>
      </c>
      <c r="M45" s="121" t="s">
        <v>1773</v>
      </c>
    </row>
    <row r="46" spans="2:13" ht="85" customHeight="1" x14ac:dyDescent="0.35">
      <c r="B46" s="119" t="s">
        <v>2025</v>
      </c>
      <c r="C46" s="120">
        <v>46292</v>
      </c>
      <c r="D46" s="121" t="s">
        <v>1756</v>
      </c>
      <c r="E46" s="121" t="s">
        <v>1757</v>
      </c>
      <c r="F46" s="121" t="s">
        <v>2026</v>
      </c>
      <c r="G46" s="121" t="s">
        <v>2027</v>
      </c>
      <c r="H46" s="121" t="s">
        <v>2028</v>
      </c>
      <c r="I46" s="121" t="s">
        <v>1769</v>
      </c>
      <c r="J46" s="121" t="s">
        <v>2029</v>
      </c>
      <c r="K46" s="121" t="s">
        <v>2030</v>
      </c>
      <c r="L46" s="121" t="s">
        <v>2031</v>
      </c>
      <c r="M46" s="121" t="s">
        <v>1773</v>
      </c>
    </row>
    <row r="47" spans="2:13" ht="64.150000000000006" customHeight="1" x14ac:dyDescent="0.35">
      <c r="B47" s="119" t="s">
        <v>2032</v>
      </c>
      <c r="C47" s="120">
        <v>46292</v>
      </c>
      <c r="D47" s="121" t="s">
        <v>1756</v>
      </c>
      <c r="E47" s="121" t="s">
        <v>1757</v>
      </c>
      <c r="F47" s="121" t="s">
        <v>2033</v>
      </c>
      <c r="G47" s="121" t="s">
        <v>2034</v>
      </c>
      <c r="H47" s="121" t="s">
        <v>2035</v>
      </c>
      <c r="I47" s="121" t="s">
        <v>1769</v>
      </c>
      <c r="J47" s="121" t="s">
        <v>2036</v>
      </c>
      <c r="K47" s="121" t="s">
        <v>2037</v>
      </c>
      <c r="L47" s="121" t="s">
        <v>2038</v>
      </c>
      <c r="M47" s="121" t="s">
        <v>2039</v>
      </c>
    </row>
    <row r="48" spans="2:13" ht="64.150000000000006" customHeight="1" x14ac:dyDescent="0.35">
      <c r="B48" s="119" t="s">
        <v>2040</v>
      </c>
      <c r="C48" s="120">
        <v>46292</v>
      </c>
      <c r="D48" s="121" t="s">
        <v>1756</v>
      </c>
      <c r="E48" s="121" t="s">
        <v>1757</v>
      </c>
      <c r="F48" s="121" t="s">
        <v>2041</v>
      </c>
      <c r="G48" s="121" t="s">
        <v>2042</v>
      </c>
      <c r="H48" s="121" t="s">
        <v>2043</v>
      </c>
      <c r="I48" s="121" t="s">
        <v>1769</v>
      </c>
      <c r="J48" s="121" t="s">
        <v>2044</v>
      </c>
      <c r="K48" s="121" t="s">
        <v>2045</v>
      </c>
      <c r="L48" s="121" t="s">
        <v>2046</v>
      </c>
      <c r="M48" s="121" t="s">
        <v>2039</v>
      </c>
    </row>
    <row r="49" spans="2:13" ht="74.650000000000006" customHeight="1" x14ac:dyDescent="0.35">
      <c r="B49" s="119" t="s">
        <v>2047</v>
      </c>
      <c r="C49" s="120">
        <v>46292</v>
      </c>
      <c r="D49" s="121" t="s">
        <v>1756</v>
      </c>
      <c r="E49" s="121" t="s">
        <v>1757</v>
      </c>
      <c r="F49" s="121" t="s">
        <v>2033</v>
      </c>
      <c r="G49" s="121" t="s">
        <v>2048</v>
      </c>
      <c r="H49" s="121" t="s">
        <v>2049</v>
      </c>
      <c r="I49" s="121" t="s">
        <v>2050</v>
      </c>
      <c r="J49" s="121" t="s">
        <v>2051</v>
      </c>
      <c r="K49" s="121" t="s">
        <v>2052</v>
      </c>
      <c r="L49" s="121" t="s">
        <v>2053</v>
      </c>
      <c r="M49" s="121" t="s">
        <v>1773</v>
      </c>
    </row>
    <row r="50" spans="2:13" ht="53.75" customHeight="1" x14ac:dyDescent="0.35">
      <c r="B50" s="119" t="s">
        <v>2054</v>
      </c>
      <c r="C50" s="120">
        <v>46292</v>
      </c>
      <c r="D50" s="121" t="s">
        <v>1756</v>
      </c>
      <c r="E50" s="121" t="s">
        <v>1757</v>
      </c>
      <c r="F50" s="121" t="s">
        <v>2055</v>
      </c>
      <c r="G50" s="121" t="s">
        <v>2056</v>
      </c>
      <c r="H50" s="121" t="s">
        <v>2057</v>
      </c>
      <c r="I50" s="121" t="s">
        <v>1769</v>
      </c>
      <c r="J50" s="121" t="s">
        <v>2058</v>
      </c>
      <c r="K50" s="121" t="s">
        <v>2059</v>
      </c>
      <c r="L50" s="121" t="s">
        <v>2060</v>
      </c>
      <c r="M50" s="121" t="s">
        <v>1773</v>
      </c>
    </row>
    <row r="51" spans="2:13" ht="53.75" customHeight="1" x14ac:dyDescent="0.35">
      <c r="B51" s="119" t="s">
        <v>2061</v>
      </c>
      <c r="C51" s="120">
        <v>46292</v>
      </c>
      <c r="D51" s="121" t="s">
        <v>1756</v>
      </c>
      <c r="E51" s="121" t="s">
        <v>1757</v>
      </c>
      <c r="F51" s="121" t="s">
        <v>2062</v>
      </c>
      <c r="G51" s="121" t="s">
        <v>2063</v>
      </c>
      <c r="H51" s="121" t="s">
        <v>2064</v>
      </c>
      <c r="I51" s="121" t="s">
        <v>1769</v>
      </c>
      <c r="J51" s="121" t="s">
        <v>2065</v>
      </c>
      <c r="K51" s="121" t="s">
        <v>2066</v>
      </c>
      <c r="L51" s="121" t="s">
        <v>2067</v>
      </c>
      <c r="M51" s="121" t="s">
        <v>1765</v>
      </c>
    </row>
    <row r="52" spans="2:13" ht="43.25" customHeight="1" x14ac:dyDescent="0.35">
      <c r="B52" s="119" t="s">
        <v>2068</v>
      </c>
      <c r="C52" s="120">
        <v>46292</v>
      </c>
      <c r="D52" s="121" t="s">
        <v>1756</v>
      </c>
      <c r="E52" s="121" t="s">
        <v>1757</v>
      </c>
      <c r="F52" s="121" t="s">
        <v>2069</v>
      </c>
      <c r="G52" s="121" t="s">
        <v>2070</v>
      </c>
      <c r="H52" s="121" t="s">
        <v>2071</v>
      </c>
      <c r="I52" s="121" t="s">
        <v>1769</v>
      </c>
      <c r="J52" s="121" t="s">
        <v>2072</v>
      </c>
      <c r="K52" s="121" t="s">
        <v>2073</v>
      </c>
      <c r="L52" s="121" t="s">
        <v>2074</v>
      </c>
      <c r="M52" s="121" t="s">
        <v>1773</v>
      </c>
    </row>
    <row r="53" spans="2:13" ht="32.75" customHeight="1" x14ac:dyDescent="0.35">
      <c r="B53" s="119" t="s">
        <v>2075</v>
      </c>
      <c r="C53" s="120">
        <v>46292</v>
      </c>
      <c r="D53" s="121" t="s">
        <v>1756</v>
      </c>
      <c r="E53" s="121" t="s">
        <v>1757</v>
      </c>
      <c r="F53" s="121" t="s">
        <v>2076</v>
      </c>
      <c r="G53" s="121" t="s">
        <v>2077</v>
      </c>
      <c r="H53" s="121" t="s">
        <v>2078</v>
      </c>
      <c r="I53" s="121" t="s">
        <v>1769</v>
      </c>
      <c r="J53" s="121" t="s">
        <v>2079</v>
      </c>
      <c r="K53" s="121" t="s">
        <v>2080</v>
      </c>
      <c r="L53" s="121" t="s">
        <v>2081</v>
      </c>
      <c r="M53" s="121" t="s">
        <v>1773</v>
      </c>
    </row>
    <row r="54" spans="2:13" ht="64.150000000000006" customHeight="1" x14ac:dyDescent="0.35">
      <c r="B54" s="119" t="s">
        <v>2082</v>
      </c>
      <c r="C54" s="120">
        <v>46292</v>
      </c>
      <c r="D54" s="121" t="s">
        <v>1756</v>
      </c>
      <c r="E54" s="121" t="s">
        <v>1757</v>
      </c>
      <c r="F54" s="121" t="s">
        <v>2083</v>
      </c>
      <c r="G54" s="121" t="s">
        <v>2084</v>
      </c>
      <c r="H54" s="121" t="s">
        <v>2085</v>
      </c>
      <c r="I54" s="121" t="s">
        <v>1769</v>
      </c>
      <c r="J54" s="121" t="s">
        <v>2086</v>
      </c>
      <c r="K54" s="121" t="s">
        <v>2087</v>
      </c>
      <c r="L54" s="121" t="s">
        <v>2088</v>
      </c>
      <c r="M54" s="121" t="s">
        <v>1773</v>
      </c>
    </row>
    <row r="55" spans="2:13" ht="53.75" customHeight="1" x14ac:dyDescent="0.35">
      <c r="B55" s="119" t="s">
        <v>2089</v>
      </c>
      <c r="C55" s="120">
        <v>46292</v>
      </c>
      <c r="D55" s="121" t="s">
        <v>1756</v>
      </c>
      <c r="E55" s="121" t="s">
        <v>1757</v>
      </c>
      <c r="F55" s="121" t="s">
        <v>2090</v>
      </c>
      <c r="G55" s="121" t="s">
        <v>2091</v>
      </c>
      <c r="H55" s="121" t="s">
        <v>2092</v>
      </c>
      <c r="I55" s="121" t="s">
        <v>1769</v>
      </c>
      <c r="J55" s="121" t="s">
        <v>2093</v>
      </c>
      <c r="K55" s="121" t="s">
        <v>2094</v>
      </c>
      <c r="L55" s="121" t="s">
        <v>2095</v>
      </c>
      <c r="M55" s="121" t="s">
        <v>1773</v>
      </c>
    </row>
    <row r="56" spans="2:13" ht="64.150000000000006" customHeight="1" x14ac:dyDescent="0.35">
      <c r="B56" s="119" t="s">
        <v>2096</v>
      </c>
      <c r="C56" s="120">
        <v>46292</v>
      </c>
      <c r="D56" s="121" t="s">
        <v>1756</v>
      </c>
      <c r="E56" s="121" t="s">
        <v>1757</v>
      </c>
      <c r="F56" s="121" t="s">
        <v>2097</v>
      </c>
      <c r="G56" s="121" t="s">
        <v>2098</v>
      </c>
      <c r="H56" s="121" t="s">
        <v>2099</v>
      </c>
      <c r="I56" s="121" t="s">
        <v>1769</v>
      </c>
      <c r="J56" s="121" t="s">
        <v>2100</v>
      </c>
      <c r="K56" s="121" t="s">
        <v>2101</v>
      </c>
      <c r="L56" s="121" t="s">
        <v>2102</v>
      </c>
      <c r="M56" s="121" t="s">
        <v>1773</v>
      </c>
    </row>
    <row r="57" spans="2:13" ht="32.75" customHeight="1" x14ac:dyDescent="0.35">
      <c r="B57" s="119" t="s">
        <v>2103</v>
      </c>
      <c r="C57" s="120">
        <v>46292</v>
      </c>
      <c r="D57" s="121" t="s">
        <v>1756</v>
      </c>
      <c r="E57" s="121" t="s">
        <v>1757</v>
      </c>
      <c r="F57" s="121" t="s">
        <v>2104</v>
      </c>
      <c r="G57" s="121" t="s">
        <v>2105</v>
      </c>
      <c r="H57" s="121" t="s">
        <v>2106</v>
      </c>
      <c r="I57" s="121" t="s">
        <v>1769</v>
      </c>
      <c r="J57" s="121" t="s">
        <v>2107</v>
      </c>
      <c r="K57" s="121" t="s">
        <v>2108</v>
      </c>
      <c r="L57" s="121" t="s">
        <v>2109</v>
      </c>
      <c r="M57" s="121" t="s">
        <v>1765</v>
      </c>
    </row>
    <row r="58" spans="2:13" ht="32.75" customHeight="1" x14ac:dyDescent="0.35">
      <c r="B58" s="119" t="s">
        <v>2110</v>
      </c>
      <c r="C58" s="120">
        <v>46292</v>
      </c>
      <c r="D58" s="121" t="s">
        <v>1756</v>
      </c>
      <c r="E58" s="121" t="s">
        <v>1757</v>
      </c>
      <c r="F58" s="121" t="s">
        <v>2111</v>
      </c>
      <c r="G58" s="121" t="s">
        <v>2112</v>
      </c>
      <c r="H58" s="121" t="s">
        <v>2113</v>
      </c>
      <c r="I58" s="121" t="s">
        <v>1769</v>
      </c>
      <c r="J58" s="121" t="s">
        <v>2114</v>
      </c>
      <c r="K58" s="121" t="s">
        <v>2115</v>
      </c>
      <c r="L58" s="121" t="s">
        <v>2116</v>
      </c>
      <c r="M58" s="121" t="s">
        <v>1773</v>
      </c>
    </row>
    <row r="59" spans="2:13" ht="53.75" customHeight="1" x14ac:dyDescent="0.35">
      <c r="B59" s="119" t="s">
        <v>2117</v>
      </c>
      <c r="C59" s="120">
        <v>46292</v>
      </c>
      <c r="D59" s="121" t="s">
        <v>1756</v>
      </c>
      <c r="E59" s="121" t="s">
        <v>1757</v>
      </c>
      <c r="F59" s="121" t="s">
        <v>2111</v>
      </c>
      <c r="G59" s="121" t="s">
        <v>2118</v>
      </c>
      <c r="H59" s="121" t="s">
        <v>2119</v>
      </c>
      <c r="I59" s="121" t="s">
        <v>1769</v>
      </c>
      <c r="J59" s="121" t="s">
        <v>2120</v>
      </c>
      <c r="K59" s="121" t="s">
        <v>2121</v>
      </c>
      <c r="L59" s="121" t="s">
        <v>2122</v>
      </c>
      <c r="M59" s="121" t="s">
        <v>1765</v>
      </c>
    </row>
    <row r="60" spans="2:13" ht="32.75" customHeight="1" x14ac:dyDescent="0.35">
      <c r="B60" s="119" t="s">
        <v>2123</v>
      </c>
      <c r="C60" s="120">
        <v>46292</v>
      </c>
      <c r="D60" s="121" t="s">
        <v>1756</v>
      </c>
      <c r="E60" s="121" t="s">
        <v>1757</v>
      </c>
      <c r="F60" s="121" t="s">
        <v>2124</v>
      </c>
      <c r="G60" s="121" t="s">
        <v>2125</v>
      </c>
      <c r="H60" s="121" t="s">
        <v>2126</v>
      </c>
      <c r="I60" s="121" t="s">
        <v>1769</v>
      </c>
      <c r="J60" s="121" t="s">
        <v>2127</v>
      </c>
      <c r="K60" s="121" t="s">
        <v>2128</v>
      </c>
      <c r="L60" s="121" t="s">
        <v>2129</v>
      </c>
      <c r="M60" s="121" t="s">
        <v>1773</v>
      </c>
    </row>
    <row r="61" spans="2:13" ht="43.25" customHeight="1" x14ac:dyDescent="0.35">
      <c r="B61" s="119" t="s">
        <v>2130</v>
      </c>
      <c r="C61" s="120">
        <v>46292</v>
      </c>
      <c r="D61" s="121" t="s">
        <v>1756</v>
      </c>
      <c r="E61" s="121" t="s">
        <v>1757</v>
      </c>
      <c r="F61" s="121" t="s">
        <v>2131</v>
      </c>
      <c r="G61" s="121" t="s">
        <v>2132</v>
      </c>
      <c r="H61" s="121" t="s">
        <v>2133</v>
      </c>
      <c r="I61" s="121" t="s">
        <v>2134</v>
      </c>
      <c r="J61" s="121" t="s">
        <v>2135</v>
      </c>
      <c r="K61" s="121" t="s">
        <v>2136</v>
      </c>
      <c r="L61" s="121" t="s">
        <v>2137</v>
      </c>
      <c r="M61" s="121" t="s">
        <v>2138</v>
      </c>
    </row>
    <row r="62" spans="2:13" ht="57.5" customHeight="1" x14ac:dyDescent="0.35">
      <c r="B62" s="119" t="s">
        <v>2139</v>
      </c>
      <c r="C62" s="120">
        <v>46296</v>
      </c>
      <c r="D62" s="121" t="s">
        <v>2140</v>
      </c>
      <c r="E62" s="121" t="s">
        <v>1757</v>
      </c>
      <c r="F62" s="121" t="s">
        <v>2141</v>
      </c>
      <c r="G62" s="121" t="s">
        <v>2142</v>
      </c>
      <c r="H62" s="121" t="s">
        <v>2143</v>
      </c>
      <c r="I62" s="121" t="s">
        <v>2144</v>
      </c>
      <c r="J62" s="121" t="s">
        <v>2145</v>
      </c>
      <c r="K62" s="121" t="s">
        <v>2146</v>
      </c>
      <c r="L62" s="121" t="s">
        <v>2147</v>
      </c>
      <c r="M62" s="121" t="s">
        <v>2148</v>
      </c>
    </row>
    <row r="63" spans="2:13" ht="46" customHeight="1" x14ac:dyDescent="0.35">
      <c r="B63" s="119" t="s">
        <v>2149</v>
      </c>
      <c r="C63" s="120">
        <v>46296</v>
      </c>
      <c r="D63" s="121" t="s">
        <v>2140</v>
      </c>
      <c r="E63" s="121" t="s">
        <v>1757</v>
      </c>
      <c r="F63" s="121" t="s">
        <v>2150</v>
      </c>
      <c r="G63" s="121" t="s">
        <v>2151</v>
      </c>
      <c r="H63" s="121" t="s">
        <v>2152</v>
      </c>
      <c r="I63" s="121" t="s">
        <v>2153</v>
      </c>
      <c r="J63" s="121" t="s">
        <v>2154</v>
      </c>
      <c r="K63" s="121" t="s">
        <v>2155</v>
      </c>
      <c r="L63" s="121" t="s">
        <v>2156</v>
      </c>
      <c r="M63" s="121" t="s">
        <v>2157</v>
      </c>
    </row>
    <row r="64" spans="2:13" ht="57.5" customHeight="1" x14ac:dyDescent="0.35">
      <c r="B64" s="119" t="s">
        <v>2158</v>
      </c>
      <c r="C64" s="120">
        <v>46296</v>
      </c>
      <c r="D64" s="121" t="s">
        <v>2140</v>
      </c>
      <c r="E64" s="121" t="s">
        <v>1757</v>
      </c>
      <c r="F64" s="121" t="s">
        <v>2159</v>
      </c>
      <c r="G64" s="121" t="s">
        <v>2160</v>
      </c>
      <c r="H64" s="121" t="s">
        <v>2161</v>
      </c>
      <c r="I64" s="121" t="s">
        <v>1769</v>
      </c>
      <c r="J64" s="121" t="s">
        <v>2162</v>
      </c>
      <c r="K64" s="121" t="s">
        <v>2163</v>
      </c>
      <c r="L64" s="121" t="s">
        <v>2164</v>
      </c>
      <c r="M64" s="121" t="s">
        <v>2165</v>
      </c>
    </row>
    <row r="65" spans="1:13" ht="46" customHeight="1" x14ac:dyDescent="0.35">
      <c r="B65" s="119" t="s">
        <v>2166</v>
      </c>
      <c r="C65" s="120">
        <v>46296</v>
      </c>
      <c r="D65" s="121" t="s">
        <v>2140</v>
      </c>
      <c r="E65" s="121" t="s">
        <v>1757</v>
      </c>
      <c r="F65" s="121" t="s">
        <v>2167</v>
      </c>
      <c r="G65" s="121" t="s">
        <v>2168</v>
      </c>
      <c r="H65" s="121" t="s">
        <v>2169</v>
      </c>
      <c r="I65" s="121" t="s">
        <v>2170</v>
      </c>
      <c r="J65" s="121" t="s">
        <v>2171</v>
      </c>
      <c r="K65" s="121" t="s">
        <v>2172</v>
      </c>
      <c r="L65" s="121" t="s">
        <v>2173</v>
      </c>
      <c r="M65" s="121" t="s">
        <v>2174</v>
      </c>
    </row>
    <row r="66" spans="1:13" ht="57.5" customHeight="1" x14ac:dyDescent="0.35">
      <c r="B66" s="119" t="s">
        <v>2175</v>
      </c>
      <c r="C66" s="120">
        <v>46296</v>
      </c>
      <c r="D66" s="121" t="s">
        <v>2140</v>
      </c>
      <c r="E66" s="121" t="s">
        <v>1757</v>
      </c>
      <c r="F66" s="121" t="s">
        <v>2176</v>
      </c>
      <c r="G66" s="121" t="s">
        <v>2177</v>
      </c>
      <c r="H66" s="121" t="s">
        <v>1667</v>
      </c>
      <c r="I66" s="121" t="s">
        <v>1769</v>
      </c>
      <c r="J66" s="121" t="s">
        <v>2178</v>
      </c>
      <c r="K66" s="121" t="s">
        <v>2179</v>
      </c>
      <c r="L66" s="121" t="s">
        <v>2180</v>
      </c>
      <c r="M66" s="121" t="s">
        <v>2181</v>
      </c>
    </row>
    <row r="67" spans="1:13" ht="92" customHeight="1" x14ac:dyDescent="0.35">
      <c r="B67" s="119" t="s">
        <v>2182</v>
      </c>
      <c r="C67" s="120">
        <v>46296</v>
      </c>
      <c r="D67" s="121" t="s">
        <v>2140</v>
      </c>
      <c r="E67" s="121" t="s">
        <v>1757</v>
      </c>
      <c r="F67" s="121" t="s">
        <v>2183</v>
      </c>
      <c r="G67" s="121" t="s">
        <v>2184</v>
      </c>
      <c r="H67" s="121" t="s">
        <v>2185</v>
      </c>
      <c r="I67" s="121" t="s">
        <v>2186</v>
      </c>
      <c r="J67" s="121" t="s">
        <v>2187</v>
      </c>
      <c r="K67" s="121" t="s">
        <v>2188</v>
      </c>
      <c r="L67" s="121" t="s">
        <v>2189</v>
      </c>
      <c r="M67" s="121" t="s">
        <v>2190</v>
      </c>
    </row>
    <row r="68" spans="1:13" ht="46" customHeight="1" x14ac:dyDescent="0.35">
      <c r="B68" s="119" t="s">
        <v>2191</v>
      </c>
      <c r="C68" s="120">
        <v>46296</v>
      </c>
      <c r="D68" s="121" t="s">
        <v>2140</v>
      </c>
      <c r="E68" s="121" t="s">
        <v>1757</v>
      </c>
      <c r="F68" s="121" t="s">
        <v>2192</v>
      </c>
      <c r="G68" s="121" t="s">
        <v>2193</v>
      </c>
      <c r="H68" s="121" t="s">
        <v>2194</v>
      </c>
      <c r="I68" s="121" t="s">
        <v>2195</v>
      </c>
      <c r="J68" s="121" t="s">
        <v>2196</v>
      </c>
      <c r="K68" s="121" t="s">
        <v>2197</v>
      </c>
      <c r="L68" s="121" t="s">
        <v>2198</v>
      </c>
      <c r="M68" s="121" t="s">
        <v>2199</v>
      </c>
    </row>
    <row r="69" spans="1:13" ht="57.5" customHeight="1" x14ac:dyDescent="0.35">
      <c r="B69" s="119" t="s">
        <v>2200</v>
      </c>
      <c r="C69" s="120">
        <v>46296</v>
      </c>
      <c r="D69" s="121" t="s">
        <v>2140</v>
      </c>
      <c r="E69" s="121" t="s">
        <v>1757</v>
      </c>
      <c r="F69" s="121" t="s">
        <v>2201</v>
      </c>
      <c r="G69" s="121" t="s">
        <v>2202</v>
      </c>
      <c r="H69" s="121" t="s">
        <v>2203</v>
      </c>
      <c r="I69" s="121" t="s">
        <v>1769</v>
      </c>
      <c r="J69" s="121" t="s">
        <v>2204</v>
      </c>
      <c r="K69" s="121" t="s">
        <v>2205</v>
      </c>
      <c r="L69" s="121" t="s">
        <v>2206</v>
      </c>
      <c r="M69" s="121" t="s">
        <v>2207</v>
      </c>
    </row>
    <row r="70" spans="1:13" ht="46" customHeight="1" x14ac:dyDescent="0.35">
      <c r="B70" s="119" t="s">
        <v>2208</v>
      </c>
      <c r="C70" s="120">
        <v>46296</v>
      </c>
      <c r="D70" s="121" t="s">
        <v>2140</v>
      </c>
      <c r="E70" s="121" t="s">
        <v>1757</v>
      </c>
      <c r="F70" s="121" t="s">
        <v>2209</v>
      </c>
      <c r="G70" s="121" t="s">
        <v>2210</v>
      </c>
      <c r="H70" s="121" t="s">
        <v>2211</v>
      </c>
      <c r="I70" s="121" t="s">
        <v>1769</v>
      </c>
      <c r="J70" s="121" t="s">
        <v>2212</v>
      </c>
      <c r="K70" s="121" t="s">
        <v>2213</v>
      </c>
      <c r="L70" s="121" t="s">
        <v>2214</v>
      </c>
      <c r="M70" s="121" t="s">
        <v>2215</v>
      </c>
    </row>
    <row r="71" spans="1:13" ht="57.5" customHeight="1" x14ac:dyDescent="0.35">
      <c r="B71" s="119" t="s">
        <v>2216</v>
      </c>
      <c r="C71" s="120">
        <v>46296</v>
      </c>
      <c r="D71" s="121" t="s">
        <v>2140</v>
      </c>
      <c r="E71" s="121" t="s">
        <v>1757</v>
      </c>
      <c r="F71" s="121" t="s">
        <v>2217</v>
      </c>
      <c r="G71" s="121" t="s">
        <v>2218</v>
      </c>
      <c r="H71" s="121" t="s">
        <v>2219</v>
      </c>
      <c r="I71" s="121" t="s">
        <v>2220</v>
      </c>
      <c r="J71" s="121" t="s">
        <v>2221</v>
      </c>
      <c r="K71" s="121" t="s">
        <v>2222</v>
      </c>
      <c r="L71" s="121" t="s">
        <v>2223</v>
      </c>
      <c r="M71" s="121" t="s">
        <v>2224</v>
      </c>
    </row>
    <row r="72" spans="1:13" ht="25.5" customHeight="1" x14ac:dyDescent="0.35"/>
    <row r="74" spans="1:13" ht="15" customHeight="1" x14ac:dyDescent="0.35">
      <c r="A74" s="38" t="s">
        <v>5</v>
      </c>
      <c r="B74" s="39" t="s">
        <v>2225</v>
      </c>
      <c r="C74" s="27"/>
      <c r="D74" s="27"/>
      <c r="E74" s="27"/>
      <c r="F74" s="27"/>
      <c r="G74" s="27"/>
      <c r="H74" s="27"/>
      <c r="I74" s="27"/>
      <c r="J74" s="27"/>
      <c r="K74" s="27"/>
      <c r="L74" s="27"/>
      <c r="M74" s="27"/>
    </row>
    <row r="76" spans="1:13" ht="38" customHeight="1" x14ac:dyDescent="0.35">
      <c r="B76" s="140" t="s">
        <v>2226</v>
      </c>
      <c r="C76" s="135"/>
      <c r="D76" s="135"/>
      <c r="E76" s="139" t="s">
        <v>2227</v>
      </c>
      <c r="F76" s="135"/>
      <c r="G76" s="135"/>
      <c r="H76" s="135"/>
      <c r="I76" s="135"/>
      <c r="J76" s="135"/>
      <c r="K76" s="135"/>
      <c r="L76" s="135"/>
      <c r="M76" s="135"/>
    </row>
    <row r="77" spans="1:13" ht="25.5" customHeight="1" x14ac:dyDescent="0.35">
      <c r="B77" s="140" t="s">
        <v>2228</v>
      </c>
      <c r="C77" s="135"/>
      <c r="D77" s="135"/>
      <c r="E77" s="139" t="s">
        <v>2229</v>
      </c>
      <c r="F77" s="135"/>
      <c r="G77" s="135"/>
      <c r="H77" s="135"/>
      <c r="I77" s="135"/>
      <c r="J77" s="135"/>
      <c r="K77" s="135"/>
      <c r="L77" s="135"/>
      <c r="M77" s="135"/>
    </row>
    <row r="78" spans="1:13" ht="38" customHeight="1" x14ac:dyDescent="0.35">
      <c r="B78" s="140" t="s">
        <v>2230</v>
      </c>
      <c r="C78" s="135"/>
      <c r="D78" s="135"/>
      <c r="E78" s="139" t="s">
        <v>2231</v>
      </c>
      <c r="F78" s="135"/>
      <c r="G78" s="135"/>
      <c r="H78" s="135"/>
      <c r="I78" s="135"/>
      <c r="J78" s="135"/>
      <c r="K78" s="135"/>
      <c r="L78" s="135"/>
      <c r="M78" s="135"/>
    </row>
    <row r="79" spans="1:13" ht="25.5" customHeight="1" x14ac:dyDescent="0.35">
      <c r="B79" s="140" t="s">
        <v>2232</v>
      </c>
      <c r="C79" s="135"/>
      <c r="D79" s="135"/>
      <c r="E79" s="139" t="s">
        <v>2233</v>
      </c>
      <c r="F79" s="135"/>
      <c r="G79" s="135"/>
      <c r="H79" s="135"/>
      <c r="I79" s="135"/>
      <c r="J79" s="135"/>
      <c r="K79" s="135"/>
      <c r="L79" s="135"/>
      <c r="M79" s="135"/>
    </row>
    <row r="80" spans="1:13" ht="25.5" customHeight="1" x14ac:dyDescent="0.35">
      <c r="B80" s="140" t="s">
        <v>2234</v>
      </c>
      <c r="C80" s="135"/>
      <c r="D80" s="135"/>
      <c r="E80" s="139" t="s">
        <v>2235</v>
      </c>
      <c r="F80" s="135"/>
      <c r="G80" s="135"/>
      <c r="H80" s="135"/>
      <c r="I80" s="135"/>
      <c r="J80" s="135"/>
      <c r="K80" s="135"/>
      <c r="L80" s="135"/>
      <c r="M80" s="135"/>
    </row>
    <row r="81" spans="1:13" ht="38" customHeight="1" x14ac:dyDescent="0.35">
      <c r="B81" s="140" t="s">
        <v>2236</v>
      </c>
      <c r="C81" s="135"/>
      <c r="D81" s="135"/>
      <c r="E81" s="139" t="s">
        <v>2237</v>
      </c>
      <c r="F81" s="135"/>
      <c r="G81" s="135"/>
      <c r="H81" s="135"/>
      <c r="I81" s="135"/>
      <c r="J81" s="135"/>
      <c r="K81" s="135"/>
      <c r="L81" s="135"/>
      <c r="M81" s="135"/>
    </row>
    <row r="82" spans="1:13" ht="25.5" customHeight="1" x14ac:dyDescent="0.35">
      <c r="B82" s="140" t="s">
        <v>2238</v>
      </c>
      <c r="C82" s="135"/>
      <c r="D82" s="135"/>
      <c r="E82" s="122">
        <f>COUNTIF(M10:M71,"*review*")+COUNTIF(M10:M71,"Awaiting*")+COUNTIF(M10:M71,"Blocked*")</f>
        <v>0</v>
      </c>
    </row>
    <row r="83" spans="1:13" ht="25.5" customHeight="1" x14ac:dyDescent="0.35">
      <c r="B83" s="140" t="s">
        <v>2239</v>
      </c>
      <c r="C83" s="135"/>
      <c r="D83" s="135"/>
      <c r="E83" s="139" t="s">
        <v>2240</v>
      </c>
      <c r="F83" s="135"/>
      <c r="G83" s="135"/>
      <c r="H83" s="135"/>
      <c r="I83" s="135"/>
      <c r="J83" s="135"/>
      <c r="K83" s="135"/>
      <c r="L83" s="135"/>
      <c r="M83" s="135"/>
    </row>
    <row r="84" spans="1:13" ht="15" customHeight="1" x14ac:dyDescent="0.35">
      <c r="A84" s="38"/>
      <c r="B84" s="29"/>
    </row>
    <row r="85" spans="1:13" ht="15.5" x14ac:dyDescent="0.35">
      <c r="A85" s="38" t="s">
        <v>5</v>
      </c>
      <c r="B85" s="29" t="s">
        <v>93</v>
      </c>
    </row>
  </sheetData>
  <mergeCells count="15">
    <mergeCell ref="E83:M83"/>
    <mergeCell ref="B83:D83"/>
    <mergeCell ref="E79:M79"/>
    <mergeCell ref="B77:D77"/>
    <mergeCell ref="B82:D82"/>
    <mergeCell ref="B78:D78"/>
    <mergeCell ref="B81:D81"/>
    <mergeCell ref="E77:M77"/>
    <mergeCell ref="E80:M80"/>
    <mergeCell ref="E76:M76"/>
    <mergeCell ref="B80:D80"/>
    <mergeCell ref="B76:D76"/>
    <mergeCell ref="E81:M81"/>
    <mergeCell ref="B79:D79"/>
    <mergeCell ref="E78:M78"/>
  </mergeCells>
  <conditionalFormatting sqref="M10:M71">
    <cfRule type="expression" dxfId="6" priority="1">
      <formula>ISNUMBER(SEARCH("Resolved",M10))</formula>
    </cfRule>
    <cfRule type="expression" dxfId="5" priority="2">
      <formula>ISNUMBER(SEARCH("review",M10))</formula>
    </cfRule>
    <cfRule type="expression" dxfId="4" priority="3">
      <formula>OR(ISNUMBER(SEARCH("Awaiting",M10)),ISNUMBER(SEARCH("Blocked",M10)))</formula>
    </cfRule>
  </conditionalFormatting>
  <pageMargins left="0.4" right="0.4" top="0.4" bottom="0.4" header="0.511811023622047" footer="0.511811023622047"/>
  <pageSetup paperSize="8" scale="19"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pageSetUpPr fitToPage="1"/>
  </sheetPr>
  <dimension ref="A1:K33"/>
  <sheetViews>
    <sheetView showGridLines="0" view="pageBreakPreview" zoomScale="85" workbookViewId="0">
      <pane ySplit="8" topLeftCell="A9" activePane="bottomLeft" state="frozen"/>
      <selection pane="bottomLeft" activeCell="A9" sqref="A9"/>
    </sheetView>
  </sheetViews>
  <sheetFormatPr defaultRowHeight="14.5" x14ac:dyDescent="0.35"/>
  <cols>
    <col min="1" max="1" width="4.81640625" style="3" customWidth="1"/>
    <col min="2" max="2" width="60" style="3" customWidth="1"/>
    <col min="3" max="3" width="7" style="3" customWidth="1"/>
    <col min="4" max="4" width="2" style="3" customWidth="1"/>
    <col min="5" max="8" width="12.26953125" style="3" customWidth="1"/>
    <col min="9" max="9" width="3" style="3" customWidth="1"/>
    <col min="10" max="10" width="95" style="3" customWidth="1"/>
    <col min="11" max="11" width="14" style="3" customWidth="1"/>
  </cols>
  <sheetData>
    <row r="1" spans="1:11" ht="12" customHeight="1" x14ac:dyDescent="0.35">
      <c r="A1" s="15"/>
      <c r="B1" s="15"/>
      <c r="C1" s="15"/>
      <c r="D1" s="15"/>
      <c r="E1" s="15"/>
      <c r="F1" s="15"/>
      <c r="G1" s="15"/>
      <c r="H1" s="15"/>
      <c r="I1" s="15"/>
      <c r="J1" s="15"/>
      <c r="K1" s="15"/>
    </row>
    <row r="2" spans="1:11" ht="12" customHeight="1" x14ac:dyDescent="0.35">
      <c r="A2" s="15"/>
      <c r="B2" s="15"/>
      <c r="C2" s="15"/>
      <c r="D2" s="15"/>
      <c r="E2" s="15"/>
      <c r="F2" s="15"/>
      <c r="G2" s="15"/>
      <c r="H2" s="15"/>
      <c r="I2" s="15"/>
      <c r="J2" s="15"/>
      <c r="K2" s="15"/>
    </row>
    <row r="3" spans="1:11" ht="23.25" customHeight="1" x14ac:dyDescent="0.4">
      <c r="A3" s="15"/>
      <c r="B3" s="16" t="str">
        <f ca="1">MID(CELL("filename",B3),FIND("]",CELL("filename",B3))+1,256)</f>
        <v>Decisions to revisit</v>
      </c>
      <c r="C3" s="15"/>
      <c r="D3" s="15"/>
      <c r="E3" s="15"/>
      <c r="F3" s="15"/>
      <c r="G3" s="15"/>
      <c r="H3" s="15"/>
      <c r="I3" s="15"/>
      <c r="J3" s="15"/>
      <c r="K3" s="15"/>
    </row>
    <row r="4" spans="1:11" ht="12" customHeight="1" x14ac:dyDescent="0.35">
      <c r="A4" s="15"/>
      <c r="B4" s="15"/>
      <c r="C4" s="15"/>
      <c r="D4" s="15"/>
      <c r="E4" s="15"/>
      <c r="F4" s="15"/>
      <c r="G4" s="15"/>
      <c r="H4" s="15"/>
      <c r="I4" s="15"/>
      <c r="J4" s="15"/>
      <c r="K4" s="15"/>
    </row>
    <row r="5" spans="1:11" ht="12" customHeight="1" x14ac:dyDescent="0.35"/>
    <row r="6" spans="1:11" ht="15.5" x14ac:dyDescent="0.35">
      <c r="G6" s="25" t="s">
        <v>94</v>
      </c>
    </row>
    <row r="7" spans="1:11" ht="15.5" x14ac:dyDescent="0.35">
      <c r="B7" s="123" t="s">
        <v>95</v>
      </c>
      <c r="C7" s="124" t="s">
        <v>2241</v>
      </c>
      <c r="D7" s="125"/>
      <c r="E7" s="126" t="s">
        <v>97</v>
      </c>
      <c r="F7" s="126" t="str">
        <f>TEXT(VALUE(LEFT(E7, 4)) + 1, "####")&amp;IF(VALUE(LEFT(E7, 4)) + 1 &lt;= 2025, "A", "P")</f>
        <v>2023A</v>
      </c>
      <c r="G7" s="126" t="str">
        <f>TEXT(VALUE(LEFT(F7, 4)) + 1, "####")&amp;IF(VALUE(LEFT(F7, 4)) + 1 &lt;= 2025, "A", "P")</f>
        <v>2024A</v>
      </c>
      <c r="H7" s="126" t="str">
        <f>TEXT(VALUE(LEFT(G7, 4)) + 1, "####")&amp;IF(VALUE(LEFT(G7, 4)) + 1 &lt;= 2025, "A", "P")</f>
        <v>2025A</v>
      </c>
      <c r="J7" s="22" t="s">
        <v>2242</v>
      </c>
      <c r="K7" s="22" t="s">
        <v>2243</v>
      </c>
    </row>
    <row r="8" spans="1:11" ht="15.5" x14ac:dyDescent="0.35">
      <c r="B8" s="127" t="s">
        <v>99</v>
      </c>
      <c r="C8" s="128"/>
      <c r="D8" s="128"/>
      <c r="E8" s="129">
        <v>44926</v>
      </c>
      <c r="F8" s="129">
        <v>45291</v>
      </c>
      <c r="G8" s="129">
        <v>45657</v>
      </c>
      <c r="H8" s="129">
        <v>46022</v>
      </c>
    </row>
    <row r="10" spans="1:11" ht="15" customHeight="1" x14ac:dyDescent="0.35">
      <c r="A10" s="17" t="s">
        <v>5</v>
      </c>
      <c r="B10" s="18" t="s">
        <v>2244</v>
      </c>
      <c r="C10" s="15"/>
      <c r="D10" s="15"/>
      <c r="E10" s="15"/>
      <c r="F10" s="15"/>
      <c r="G10" s="15"/>
      <c r="H10" s="15"/>
      <c r="I10" s="15"/>
      <c r="J10" s="15"/>
    </row>
    <row r="12" spans="1:11" ht="50" customHeight="1" x14ac:dyDescent="0.35">
      <c r="B12" s="130" t="s">
        <v>2245</v>
      </c>
      <c r="C12" s="131" t="s">
        <v>2246</v>
      </c>
      <c r="F12" s="132">
        <f>'Reformation &amp; Profitability'!F569</f>
        <v>-9</v>
      </c>
      <c r="G12" s="132">
        <f>'Reformation &amp; Profitability'!G569</f>
        <v>191</v>
      </c>
      <c r="H12" s="132">
        <f>'Reformation &amp; Profitability'!H569</f>
        <v>167</v>
      </c>
      <c r="J12" s="89" t="s">
        <v>2247</v>
      </c>
      <c r="K12" s="133" t="s">
        <v>2243</v>
      </c>
    </row>
    <row r="13" spans="1:11" ht="75" customHeight="1" x14ac:dyDescent="0.35">
      <c r="B13" s="130" t="s">
        <v>2248</v>
      </c>
      <c r="C13" s="131" t="s">
        <v>2249</v>
      </c>
      <c r="F13" s="132">
        <f>'Reformation &amp; Profitability'!F576</f>
        <v>4</v>
      </c>
      <c r="G13" s="132">
        <f>'Reformation &amp; Profitability'!G576</f>
        <v>-65</v>
      </c>
      <c r="H13" s="132">
        <f>'Reformation &amp; Profitability'!H576</f>
        <v>-189</v>
      </c>
      <c r="J13" s="89" t="s">
        <v>2250</v>
      </c>
      <c r="K13" s="133" t="s">
        <v>2243</v>
      </c>
    </row>
    <row r="14" spans="1:11" ht="27" customHeight="1" x14ac:dyDescent="0.35">
      <c r="B14" s="130" t="s">
        <v>2251</v>
      </c>
      <c r="C14" s="131" t="s">
        <v>2252</v>
      </c>
      <c r="F14" s="132">
        <f>'Reformation &amp; Profitability'!F632</f>
        <v>782</v>
      </c>
      <c r="G14" s="132">
        <f>'Reformation &amp; Profitability'!G632</f>
        <v>1793</v>
      </c>
      <c r="H14" s="132">
        <f>'Reformation &amp; Profitability'!H632</f>
        <v>2268</v>
      </c>
      <c r="J14" s="89" t="s">
        <v>2253</v>
      </c>
      <c r="K14" s="133" t="s">
        <v>2243</v>
      </c>
    </row>
    <row r="15" spans="1:11" ht="37.5" customHeight="1" x14ac:dyDescent="0.35">
      <c r="B15" s="130" t="s">
        <v>2254</v>
      </c>
      <c r="C15" s="131" t="s">
        <v>2255</v>
      </c>
      <c r="F15" s="132">
        <f>'Reformation &amp; Profitability'!F736</f>
        <v>-107</v>
      </c>
      <c r="G15" s="132">
        <f>'Reformation &amp; Profitability'!G736</f>
        <v>-44</v>
      </c>
      <c r="H15" s="132">
        <f>'Reformation &amp; Profitability'!H736</f>
        <v>-89</v>
      </c>
      <c r="J15" s="89" t="s">
        <v>2256</v>
      </c>
      <c r="K15" s="133" t="s">
        <v>2243</v>
      </c>
    </row>
    <row r="16" spans="1:11" ht="50" customHeight="1" x14ac:dyDescent="0.35">
      <c r="B16" s="130" t="s">
        <v>2257</v>
      </c>
      <c r="C16" s="131" t="s">
        <v>2258</v>
      </c>
      <c r="F16" s="132">
        <f>'Reformation &amp; Profitability'!F735</f>
        <v>-644</v>
      </c>
      <c r="G16" s="132">
        <f>'Reformation &amp; Profitability'!G735</f>
        <v>-290</v>
      </c>
      <c r="H16" s="132">
        <f>'Reformation &amp; Profitability'!H735</f>
        <v>-51</v>
      </c>
      <c r="J16" s="89" t="s">
        <v>2259</v>
      </c>
      <c r="K16" s="133" t="s">
        <v>2243</v>
      </c>
    </row>
    <row r="17" spans="1:11" ht="50" customHeight="1" x14ac:dyDescent="0.35">
      <c r="B17" s="130" t="s">
        <v>2260</v>
      </c>
      <c r="C17" s="131" t="s">
        <v>2261</v>
      </c>
      <c r="J17" s="89" t="s">
        <v>2262</v>
      </c>
      <c r="K17" s="133" t="s">
        <v>2243</v>
      </c>
    </row>
    <row r="18" spans="1:11" ht="50" customHeight="1" x14ac:dyDescent="0.35">
      <c r="B18" s="130" t="s">
        <v>2263</v>
      </c>
      <c r="C18" s="131" t="s">
        <v>2264</v>
      </c>
      <c r="F18" s="132">
        <f>'Reformation &amp; Profitability'!F644</f>
        <v>-25</v>
      </c>
      <c r="G18" s="132">
        <f>'Reformation &amp; Profitability'!G644</f>
        <v>-18</v>
      </c>
      <c r="H18" s="132">
        <f>'Reformation &amp; Profitability'!H644</f>
        <v>-33</v>
      </c>
      <c r="J18" s="89" t="s">
        <v>2265</v>
      </c>
      <c r="K18" s="133" t="s">
        <v>2243</v>
      </c>
    </row>
    <row r="19" spans="1:11" ht="37.5" customHeight="1" x14ac:dyDescent="0.35">
      <c r="B19" s="130" t="s">
        <v>2266</v>
      </c>
      <c r="C19" s="131" t="s">
        <v>2267</v>
      </c>
      <c r="F19" s="132">
        <f>'Reformation &amp; Profitability'!F646</f>
        <v>0</v>
      </c>
      <c r="G19" s="132">
        <f>'Reformation &amp; Profitability'!G646</f>
        <v>0</v>
      </c>
      <c r="H19" s="132">
        <f>'Reformation &amp; Profitability'!H646</f>
        <v>97</v>
      </c>
      <c r="J19" s="89" t="s">
        <v>2268</v>
      </c>
      <c r="K19" s="133" t="s">
        <v>2243</v>
      </c>
    </row>
    <row r="20" spans="1:11" ht="27" customHeight="1" x14ac:dyDescent="0.35">
      <c r="B20" s="130" t="s">
        <v>2269</v>
      </c>
      <c r="C20" s="131" t="s">
        <v>2270</v>
      </c>
      <c r="F20" s="132">
        <f>'Reformation &amp; Profitability'!F645</f>
        <v>0</v>
      </c>
      <c r="G20" s="132">
        <f>'Reformation &amp; Profitability'!G645</f>
        <v>-6</v>
      </c>
      <c r="H20" s="132">
        <f>'Reformation &amp; Profitability'!H645</f>
        <v>0</v>
      </c>
      <c r="J20" s="89" t="s">
        <v>2271</v>
      </c>
      <c r="K20" s="133" t="s">
        <v>2243</v>
      </c>
    </row>
    <row r="21" spans="1:11" ht="37.5" customHeight="1" x14ac:dyDescent="0.35">
      <c r="B21" s="130" t="s">
        <v>2272</v>
      </c>
      <c r="C21" s="131" t="s">
        <v>2273</v>
      </c>
      <c r="F21" s="132">
        <f>'Reformation &amp; Profitability'!F620</f>
        <v>-23</v>
      </c>
      <c r="G21" s="132">
        <f>'Reformation &amp; Profitability'!G620</f>
        <v>0</v>
      </c>
      <c r="H21" s="132">
        <f>'Reformation &amp; Profitability'!H620</f>
        <v>-108</v>
      </c>
      <c r="J21" s="89" t="s">
        <v>2274</v>
      </c>
      <c r="K21" s="133" t="s">
        <v>2243</v>
      </c>
    </row>
    <row r="22" spans="1:11" ht="27" customHeight="1" x14ac:dyDescent="0.35">
      <c r="B22" s="130" t="s">
        <v>2275</v>
      </c>
      <c r="C22" s="131" t="s">
        <v>2276</v>
      </c>
      <c r="J22" s="89" t="s">
        <v>2277</v>
      </c>
      <c r="K22" s="133" t="s">
        <v>2243</v>
      </c>
    </row>
    <row r="23" spans="1:11" ht="27" customHeight="1" x14ac:dyDescent="0.35">
      <c r="B23" s="130" t="s">
        <v>2278</v>
      </c>
      <c r="C23" s="131" t="s">
        <v>2279</v>
      </c>
      <c r="F23" s="132">
        <f>'Reformation &amp; Profitability'!F682</f>
        <v>6</v>
      </c>
      <c r="G23" s="132">
        <f>'Reformation &amp; Profitability'!G682</f>
        <v>14</v>
      </c>
      <c r="H23" s="132">
        <f>'Reformation &amp; Profitability'!H682</f>
        <v>0</v>
      </c>
      <c r="J23" s="89" t="s">
        <v>2280</v>
      </c>
      <c r="K23" s="133" t="s">
        <v>2243</v>
      </c>
    </row>
    <row r="24" spans="1:11" ht="27" customHeight="1" x14ac:dyDescent="0.35">
      <c r="B24" s="130" t="s">
        <v>2281</v>
      </c>
      <c r="C24" s="131" t="s">
        <v>2282</v>
      </c>
      <c r="F24" s="132">
        <f>'Reformation &amp; Profitability'!F696</f>
        <v>-194.92024539877301</v>
      </c>
      <c r="G24" s="132">
        <f>'Reformation &amp; Profitability'!G696</f>
        <v>-356.39640410958901</v>
      </c>
      <c r="H24" s="132">
        <f>'Reformation &amp; Profitability'!H696</f>
        <v>-383.77544529262087</v>
      </c>
      <c r="J24" s="89" t="s">
        <v>2283</v>
      </c>
      <c r="K24" s="133" t="s">
        <v>2243</v>
      </c>
    </row>
    <row r="25" spans="1:11" ht="27" customHeight="1" x14ac:dyDescent="0.35">
      <c r="B25" s="130" t="s">
        <v>2284</v>
      </c>
      <c r="C25" s="131" t="s">
        <v>2285</v>
      </c>
      <c r="F25" s="132">
        <f>'Reformation &amp; Profitability'!F591</f>
        <v>29</v>
      </c>
      <c r="G25" s="132">
        <f>'Reformation &amp; Profitability'!G591</f>
        <v>16</v>
      </c>
      <c r="H25" s="132">
        <f>'Reformation &amp; Profitability'!H591</f>
        <v>21</v>
      </c>
      <c r="J25" s="89" t="s">
        <v>2286</v>
      </c>
      <c r="K25" s="133" t="s">
        <v>2243</v>
      </c>
    </row>
    <row r="26" spans="1:11" ht="27" customHeight="1" x14ac:dyDescent="0.35">
      <c r="B26" s="130" t="s">
        <v>2287</v>
      </c>
      <c r="C26" s="131" t="s">
        <v>2288</v>
      </c>
      <c r="F26" s="132">
        <f>'Reformation &amp; Profitability'!F569</f>
        <v>-9</v>
      </c>
      <c r="G26" s="132">
        <f>'Reformation &amp; Profitability'!G569</f>
        <v>191</v>
      </c>
      <c r="H26" s="132">
        <f>'Reformation &amp; Profitability'!H569</f>
        <v>167</v>
      </c>
      <c r="J26" s="89" t="s">
        <v>2289</v>
      </c>
      <c r="K26" s="133" t="s">
        <v>2243</v>
      </c>
    </row>
    <row r="28" spans="1:11" ht="15" customHeight="1" x14ac:dyDescent="0.35">
      <c r="A28" s="17" t="s">
        <v>5</v>
      </c>
      <c r="B28" s="18" t="s">
        <v>88</v>
      </c>
      <c r="C28" s="15"/>
      <c r="D28" s="15"/>
      <c r="E28" s="15"/>
      <c r="F28" s="15"/>
      <c r="G28" s="15"/>
      <c r="H28" s="15"/>
      <c r="I28" s="15"/>
      <c r="J28" s="15"/>
    </row>
    <row r="30" spans="1:11" x14ac:dyDescent="0.35">
      <c r="B30" s="20" t="s">
        <v>2290</v>
      </c>
    </row>
    <row r="31" spans="1:11" x14ac:dyDescent="0.35">
      <c r="B31" s="23" t="s">
        <v>92</v>
      </c>
      <c r="C31" s="15"/>
      <c r="D31" s="15"/>
      <c r="E31" s="15"/>
      <c r="F31" s="15"/>
      <c r="G31" s="15"/>
      <c r="H31" s="15"/>
      <c r="I31" s="15"/>
      <c r="J31" s="24" t="s">
        <v>2291</v>
      </c>
    </row>
    <row r="33" spans="1:2" ht="15.5" x14ac:dyDescent="0.35">
      <c r="A33" s="17" t="s">
        <v>5</v>
      </c>
      <c r="B33" s="25" t="s">
        <v>93</v>
      </c>
    </row>
  </sheetData>
  <conditionalFormatting sqref="J31">
    <cfRule type="cellIs" dxfId="3" priority="1" operator="equal">
      <formula>"OK"</formula>
    </cfRule>
    <cfRule type="cellIs" dxfId="2" priority="2" operator="equal">
      <formula>"ALL OK"</formula>
    </cfRule>
    <cfRule type="cellIs" dxfId="1" priority="3" operator="equal">
      <formula>"CHECK"</formula>
    </cfRule>
    <cfRule type="cellIs" dxfId="0" priority="4" operator="equal">
      <formula>"source missing"</formula>
    </cfRule>
  </conditionalFormatting>
  <hyperlinks>
    <hyperlink ref="K12" location="'Reformation &amp; Profitability'!B569" display="Go to" xr:uid="{00000000-0004-0000-0600-000000000000}"/>
    <hyperlink ref="K13" location="'Reformation &amp; Profitability'!B576" display="Go to" xr:uid="{00000000-0004-0000-0600-000001000000}"/>
    <hyperlink ref="K14" location="'Reformation &amp; Profitability'!B632" display="Go to" xr:uid="{00000000-0004-0000-0600-000002000000}"/>
    <hyperlink ref="K15" location="'Reformation &amp; Profitability'!B736" display="Go to" xr:uid="{00000000-0004-0000-0600-000003000000}"/>
    <hyperlink ref="K16" location="'Reformation &amp; Profitability'!B735" display="Go to" xr:uid="{00000000-0004-0000-0600-000004000000}"/>
    <hyperlink ref="K17" location="'Reformation &amp; Profitability'!B561" display="Go to" xr:uid="{00000000-0004-0000-0600-000005000000}"/>
    <hyperlink ref="K18" location="'Reformation &amp; Profitability'!B644" display="Go to" xr:uid="{00000000-0004-0000-0600-000006000000}"/>
    <hyperlink ref="K19" location="'Reformation &amp; Profitability'!B646" display="Go to" xr:uid="{00000000-0004-0000-0600-000007000000}"/>
    <hyperlink ref="K20" location="'Reformation &amp; Profitability'!B645" display="Go to" xr:uid="{00000000-0004-0000-0600-000008000000}"/>
    <hyperlink ref="K21" location="'Reformation &amp; Profitability'!B620" display="Go to" xr:uid="{00000000-0004-0000-0600-000009000000}"/>
    <hyperlink ref="K22" location="'Reformation &amp; Profitability'!B668" display="Go to" xr:uid="{00000000-0004-0000-0600-00000A000000}"/>
    <hyperlink ref="K23" location="'Reformation &amp; Profitability'!B682" display="Go to" xr:uid="{00000000-0004-0000-0600-00000B000000}"/>
    <hyperlink ref="K24" location="'Reformation &amp; Profitability'!B696" display="Go to" xr:uid="{00000000-0004-0000-0600-00000C000000}"/>
    <hyperlink ref="K25" location="'Reformation &amp; Profitability'!B591" display="Go to" xr:uid="{00000000-0004-0000-0600-00000D000000}"/>
    <hyperlink ref="K26" location="'Reformation &amp; Profitability'!B569" display="Go to" xr:uid="{00000000-0004-0000-0600-00000E000000}"/>
  </hyperlinks>
  <pageMargins left="0.4" right="0.4" top="0.4" bottom="0.4" header="0.5" footer="0.5"/>
  <pageSetup paperSize="9" scale="5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2F2F2"/>
  </sheetPr>
  <dimension ref="A1:F1"/>
  <sheetViews>
    <sheetView view="pageBreakPreview" zoomScaleNormal="100" workbookViewId="0"/>
  </sheetViews>
  <sheetFormatPr defaultColWidth="8.6328125" defaultRowHeight="14.5" x14ac:dyDescent="0.35"/>
  <sheetData>
    <row r="1" spans="1:6" ht="15" customHeight="1" x14ac:dyDescent="0.35">
      <c r="A1" s="26">
        <v>6</v>
      </c>
      <c r="B1" s="26" t="s">
        <v>2292</v>
      </c>
      <c r="C1" s="26" t="s">
        <v>2293</v>
      </c>
      <c r="D1" s="26" t="s">
        <v>2294</v>
      </c>
      <c r="E1" s="26" t="s">
        <v>2295</v>
      </c>
      <c r="F1" s="26" t="s">
        <v>2296</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Frontpage</vt:lpstr>
      <vt:lpstr>Table of contents</vt:lpstr>
      <vt:lpstr>Reformation &amp; Profitability</vt:lpstr>
      <vt:lpstr>Reported Financials</vt:lpstr>
      <vt:lpstr>Input financials</vt:lpstr>
      <vt:lpstr>Log</vt:lpstr>
      <vt:lpstr>Decisions to revisit</vt:lpstr>
      <vt:lpstr>_CIQHiddenCacheSheet</vt:lpstr>
      <vt:lpstr>'Decisions to revisit'!Print_Area</vt:lpstr>
      <vt:lpstr>Frontpage!Print_Area</vt:lpstr>
      <vt:lpstr>'Input financials'!Print_Area</vt:lpstr>
      <vt:lpstr>Log!Print_Area</vt:lpstr>
      <vt:lpstr>'Reformation &amp; Profitability'!Print_Area</vt:lpstr>
      <vt:lpstr>'Reported Financials'!Print_Area</vt:lpstr>
      <vt:lpstr>'Table of 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Freya Rosenstand</dc:creator>
  <cp:lastModifiedBy>Ivan Varga</cp:lastModifiedBy>
  <cp:revision>0</cp:revision>
  <cp:lastPrinted>2026-06-21T14:45:06Z</cp:lastPrinted>
  <dcterms:created xsi:type="dcterms:W3CDTF">2026-06-10T08:35:01Z</dcterms:created>
  <dcterms:modified xsi:type="dcterms:W3CDTF">2026-10-07T11:20:36Z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0x0101007784D5A394CDFE47B05DF646FEE6C70B</vt:lpwstr>
  </property>
</Properties>
</file>